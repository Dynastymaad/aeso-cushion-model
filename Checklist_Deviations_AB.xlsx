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cenario" sheetId="3" state="visible" r:id="rId3"/>
    <sheet xmlns:r="http://schemas.openxmlformats.org/officeDocument/2006/relationships" name="Charts" sheetId="4" state="visible" r:id="rId4"/>
    <sheet xmlns:r="http://schemas.openxmlformats.org/officeDocument/2006/relationships" name="Data" sheetId="5" state="visible" r:id="rId5"/>
    <sheet xmlns:r="http://schemas.openxmlformats.org/officeDocument/2006/relationships" name="Next_14_Days" sheetId="6" state="visible" r:id="rId6"/>
    <sheet xmlns:r="http://schemas.openxmlformats.org/officeDocument/2006/relationships" name="Last_30_Days" sheetId="7" state="visible" r:id="rId7"/>
    <sheet xmlns:r="http://schemas.openxmlformats.org/officeDocument/2006/relationships" name="Historical" sheetId="8" state="visible" r:id="rId8"/>
  </sheets>
  <definedNames>
    <definedName name="_xlnm._FilterDatabase" localSheetId="7" hidden="1">'Historical'!$A$15:$AD$736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#,##0.0"/>
    <numFmt numFmtId="167" formatCode="0.0000"/>
    <numFmt numFmtId="168" formatCode="0.0"/>
  </numFmts>
  <fonts count="8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sz val="12"/>
    </font>
    <font>
      <name val="Arial"/>
      <color rgb="00008000"/>
      <sz val="10"/>
    </font>
    <font>
      <name val="Arial"/>
      <color rgb="00808080"/>
      <sz val="9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5" fontId="3" fillId="2" borderId="0" pivotButton="0" quotePrefix="0" xfId="0"/>
    <xf numFmtId="0" fontId="1" fillId="3" borderId="0" applyAlignment="1" pivotButton="0" quotePrefix="0" xfId="0">
      <alignment wrapText="1"/>
    </xf>
    <xf numFmtId="166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3" fontId="7" fillId="0" borderId="0" pivotButton="0" quotePrefix="0" xfId="0"/>
    <xf numFmtId="3" fontId="0" fillId="0" borderId="0" pivotButton="0" quotePrefix="0" xfId="0"/>
    <xf numFmtId="3" fontId="3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0" fontId="1" fillId="0" borderId="0" applyAlignment="1" pivotButton="0" quotePrefix="0" xfId="0">
      <alignment vertical="top" wrapText="1"/>
    </xf>
    <xf numFmtId="165" fontId="2" fillId="0" borderId="0" pivotButton="0" quotePrefix="0" xfId="0"/>
    <xf numFmtId="166" fontId="3" fillId="0" borderId="0" pivotButton="0" quotePrefix="0" xfId="0"/>
    <xf numFmtId="4" fontId="3" fillId="0" borderId="0" pivotButton="0" quotePrefix="0" xfId="0"/>
    <xf numFmtId="165" fontId="2" fillId="2" borderId="0" pivotButton="0" quotePrefix="0" xfId="0"/>
    <xf numFmtId="0" fontId="2" fillId="2" borderId="0" pivotButton="0" quotePrefix="0" xfId="0"/>
    <xf numFmtId="3" fontId="3" fillId="2" borderId="0" pivotButton="0" quotePrefix="0" xfId="0"/>
    <xf numFmtId="166" fontId="3" fillId="2" borderId="0" pivotButton="0" quotePrefix="0" xfId="0"/>
    <xf numFmtId="4" fontId="3" fillId="2" borderId="0" pivotButton="0" quotePrefix="0" xfId="0"/>
    <xf numFmtId="0" fontId="1" fillId="0" borderId="0" applyAlignment="1" pivotButton="0" quotePrefix="0" xfId="0">
      <alignment wrapText="1"/>
    </xf>
    <xf numFmtId="0" fontId="1" fillId="3" borderId="0" pivotButton="0" quotePrefix="0" xfId="0"/>
    <xf numFmtId="165" fontId="7" fillId="0" borderId="0" pivotButton="0" quotePrefix="0" xfId="0"/>
    <xf numFmtId="1" fontId="2" fillId="0" borderId="0" pivotButton="0" quotePrefix="0" xfId="0"/>
    <xf numFmtId="1" fontId="7" fillId="0" borderId="0" pivotButton="0" quotePrefix="0" xfId="0"/>
    <xf numFmtId="49" fontId="7" fillId="0" borderId="0" pivotButton="0" quotePrefix="0" xfId="0"/>
    <xf numFmtId="3" fontId="2" fillId="0" borderId="0" pivotButton="0" quotePrefix="0" xfId="0"/>
    <xf numFmtId="168" fontId="2" fillId="0" borderId="0" pivotButton="0" quotePrefix="0" xfId="0"/>
    <xf numFmtId="0" fontId="1" fillId="3" borderId="0" applyAlignment="1" pivotButton="0" quotePrefix="0" xfId="0">
      <alignment vertical="top" wrapText="1"/>
    </xf>
    <xf numFmtId="1" fontId="1" fillId="3" borderId="0" applyAlignment="1" pivotButton="0" quotePrefix="0" xfId="0">
      <alignment vertical="top" wrapText="1"/>
    </xf>
    <xf numFmtId="165" fontId="1" fillId="3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49" fontId="1" fillId="3" borderId="0" applyAlignment="1" pivotButton="0" quotePrefix="0" xfId="0">
      <alignment vertical="top" wrapText="1"/>
    </xf>
    <xf numFmtId="168" fontId="3" fillId="0" borderId="0" pivotButton="0" quotePrefix="0" xfId="0"/>
    <xf numFmtId="49" fontId="3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FF00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Cushion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'Scenario'!H15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'Scenario'!$H$16:$H$39</f>
            </numRef>
          </val>
        </ser>
        <ser>
          <idx val="1"/>
          <order val="1"/>
          <tx>
            <strRef>
              <f>'Scenario'!I15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'Scenario'!$I$16:$I$39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Price forecast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'Scenario'!L15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'Scenario'!$L$16:$L$39</f>
            </numRef>
          </val>
        </ser>
        <ser>
          <idx val="1"/>
          <order val="1"/>
          <tx>
            <strRef>
              <f>'Scenario'!M15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'Scenario'!$M$16:$M$39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'Data'!$A$2:$A$45</f>
            </numRef>
          </cat>
          <val>
            <numRef>
              <f>'Data'!$C$2:$C$45</f>
            </numRef>
          </val>
        </ser>
        <ser>
          <idx val="1"/>
          <order val="1"/>
          <tx>
            <strRef>
              <f>'Data'!E1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'Data'!$A$2:$A$45</f>
            </numRef>
          </cat>
          <val>
            <numRef>
              <f>'Data'!$E$2:$E$45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'Data'!$A$2:$A$45</f>
            </numRef>
          </cat>
          <val>
            <numRef>
              <f>'Data'!$G$2:$G$45</f>
            </numRef>
          </val>
        </ser>
        <ser>
          <idx val="1"/>
          <order val="1"/>
          <tx>
            <strRef>
              <f>'Data'!H1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'Data'!$A$2:$A$45</f>
            </numRef>
          </cat>
          <val>
            <numRef>
              <f>'Data'!$H$2:$H$45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'Data'!I1</f>
            </strRef>
          </tx>
          <spPr>
            <a:ln xmlns:a="http://schemas.openxmlformats.org/drawingml/2006/main">
              <a:prstDash val="solid"/>
            </a:ln>
          </spPr>
          <cat>
            <numRef>
              <f>'Data'!$A$2:$A$45</f>
            </numRef>
          </cat>
          <val>
            <numRef>
              <f>'Data'!$I$2:$I$45</f>
            </numRef>
          </val>
        </ser>
        <ser>
          <idx val="1"/>
          <order val="1"/>
          <tx>
            <strRef>
              <f>'Data'!J1</f>
            </strRef>
          </tx>
          <spPr>
            <a:ln xmlns:a="http://schemas.openxmlformats.org/drawingml/2006/main">
              <a:prstDash val="solid"/>
            </a:ln>
          </spPr>
          <cat>
            <numRef>
              <f>'Data'!$A$2:$A$45</f>
            </numRef>
          </cat>
          <val>
            <numRef>
              <f>'Data'!$J$2:$J$45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'Data'!P1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'Data'!$A$2:$A$45</f>
            </numRef>
          </cat>
          <val>
            <numRef>
              <f>'Data'!$P$2:$P$45</f>
            </numRef>
          </val>
        </ser>
        <ser>
          <idx val="1"/>
          <order val="1"/>
          <tx>
            <strRef>
              <f>'Data'!Q1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'Data'!$A$2:$A$45</f>
            </numRef>
          </cat>
          <val>
            <numRef>
              <f>'Data'!$Q$2:$Q$45</f>
            </numRef>
          </val>
        </ser>
        <ser>
          <idx val="2"/>
          <order val="2"/>
          <tx>
            <strRef>
              <f>'Data'!AI1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'Data'!$A$2:$A$45</f>
            </numRef>
          </cat>
          <val>
            <numRef>
              <f>'Data'!$AI$2:$AI$45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'Data'!R1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'Data'!$A$2:$A$45</f>
            </numRef>
          </cat>
          <val>
            <numRef>
              <f>'Data'!$R$2:$R$45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'Data'!$A$2:$A$45</f>
            </numRef>
          </cat>
          <val>
            <numRef>
              <f>'Data'!$K$2:$K$45</f>
            </numRef>
          </val>
        </ser>
        <ser>
          <idx val="1"/>
          <order val="1"/>
          <tx>
            <strRef>
              <f>'Data'!L1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'Data'!$A$2:$A$45</f>
            </numRef>
          </cat>
          <val>
            <numRef>
              <f>'Data'!$L$2:$L$45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'Data'!X1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'Data'!$A$2:$A$45</f>
            </numRef>
          </cat>
          <val>
            <numRef>
              <f>'Data'!$X$2:$X$45</f>
            </numRef>
          </val>
        </ser>
        <ser>
          <idx val="1"/>
          <order val="1"/>
          <tx>
            <strRef>
              <f>'Data'!AA1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'Data'!$A$2:$A$45</f>
            </numRef>
          </cat>
          <val>
            <numRef>
              <f>'Data'!$AA$2:$AA$45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'Data'!AC1</f>
            </strRef>
          </tx>
          <spPr>
            <a:ln xmlns:a="http://schemas.openxmlformats.org/drawingml/2006/main">
              <a:prstDash val="solid"/>
            </a:ln>
          </spPr>
          <cat>
            <numRef>
              <f>'Data'!$A$2:$A$45</f>
            </numRef>
          </cat>
          <val>
            <numRef>
              <f>'Data'!$AC$2:$AC$45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Imports: ATC and actual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'Data'!S1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'Data'!$A$2:$A$45</f>
            </numRef>
          </cat>
          <val>
            <numRef>
              <f>'Data'!$S$2:$S$45</f>
            </numRef>
          </val>
        </ser>
        <ser>
          <idx val="1"/>
          <order val="1"/>
          <tx>
            <strRef>
              <f>'Data'!T1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'Data'!$A$2:$A$45</f>
            </numRef>
          </cat>
          <val>
            <numRef>
              <f>'Data'!$T$2:$T$45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'Data'!$A$2:$A$45</f>
            </numRef>
          </cat>
          <val>
            <numRef>
              <f>'Data'!$AD$2:$AD$45</f>
            </numRef>
          </val>
        </ser>
        <ser>
          <idx val="1"/>
          <order val="1"/>
          <tx>
            <strRef>
              <f>'Data'!AE1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'Data'!$A$2:$A$45</f>
            </numRef>
          </cat>
          <val>
            <numRef>
              <f>'Data'!$AE$2:$AE$45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'Data'!AF1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'Data'!$A$2:$A$45</f>
            </numRef>
          </cat>
          <val>
            <numRef>
              <f>'Data'!$AF$2:$AF$45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'Data'!U1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'Data'!$A$2:$A$45</f>
            </numRef>
          </cat>
          <val>
            <numRef>
              <f>'Data'!$U$2:$U$45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Tightest cushion vs peak settle - forward (last 30 days)</a:t>
            </a:r>
          </a:p>
        </rich>
      </tx>
    </title>
    <plotArea>
      <scatterChart>
        <ser>
          <idx val="0"/>
          <order val="0"/>
          <tx>
            <v>last 30 days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'Data'!$P$2:$P$31</f>
            </numRef>
          </xVal>
          <yVal>
            <numRef>
              <f>'Data'!$AC$2:$AC$31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last 30 days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'Data'!$M$2:$M$31</f>
            </numRef>
          </xVal>
          <yVal>
            <numRef>
              <f>'Data'!$AC$2:$AC$31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last 30 days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'Data'!$F$2:$F$31</f>
            </numRef>
          </xVal>
          <yVal>
            <numRef>
              <f>'Data'!$AC$2:$AC$31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last 30 days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'Data'!$R$2:$R$31</f>
            </numRef>
          </xVal>
          <yVal>
            <numRef>
              <f>'Data'!$X$2:$X$31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Tightest cushion vs pool price HE8-23, all history</a:t>
            </a:r>
          </a:p>
        </rich>
      </tx>
    </title>
    <plotArea>
      <scatterChart>
        <ser>
          <idx val="0"/>
          <order val="0"/>
          <tx>
            <v>days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xVal>
            <numRef>
              <f>'Historical'!$W$16:$W$736</f>
            </numRef>
          </xVal>
          <yVal>
            <numRef>
              <f>'Historical'!$F$16:$F$736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Cushion, tightest HE8-23 (MW)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Relationship Type="http://schemas.openxmlformats.org/officeDocument/2006/relationships/chart" Target="/xl/charts/chart16.xml" Id="rId14"/><Relationship Type="http://schemas.openxmlformats.org/officeDocument/2006/relationships/chart" Target="/xl/charts/chart17.xml" Id="rId15"/><Relationship Type="http://schemas.openxmlformats.org/officeDocument/2006/relationships/chart" Target="/xl/charts/chart18.xml" Id="rId1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41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41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18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Pre-model checklist (Alberta) -- how to read this workbook</t>
        </is>
      </c>
    </row>
    <row r="2">
      <c r="A2" s="2" t="inlineStr"/>
    </row>
    <row r="3">
      <c r="A3" s="2" t="inlineStr">
        <is>
          <t>Summary: one row per item. Tomorrow vs the average of the last 14 and last 30 delivery days, the 30-day spread (SD, min, max), and the next-14-day average vs the last 30.</t>
        </is>
      </c>
    </row>
    <row r="4">
      <c r="A4" s="2" t="inlineStr">
        <is>
          <t xml:space="preserve">   Flag HIGH / LOW = tomorrow is at least one standard deviation above / below the last 30 days.</t>
        </is>
      </c>
    </row>
    <row r="5">
      <c r="A5" s="2" t="inlineStr">
        <is>
          <t>Next_14_Days: each of the next 14 days, raw value then the difference vs the last-14 and last-30 means. Red / green = the difference is bigger than one 30-day SD.</t>
        </is>
      </c>
    </row>
    <row r="6">
      <c r="A6" s="2" t="inlineStr">
        <is>
          <t>Last_30_Days: each of the last 30 days (newest first), raw value then the difference vs the last-14 and last-30 means.</t>
        </is>
      </c>
    </row>
    <row r="7">
      <c r="A7" s="2" t="inlineStr">
        <is>
          <t>Scenario: change load, wind, solar, baseload gas / simple cycle availability and net imports (optionally for a range of hours) and see tomorrow's cushion, thermal remaining, price forecast and score change by hour.</t>
        </is>
      </c>
    </row>
    <row r="8">
      <c r="A8" s="2" t="inlineStr">
        <is>
          <t>Charts: the key series over the last 30 days and the next 14 (forecasts), plus scatter plots of what drove the peak settle against the day-ahead forward over the last 30 days.</t>
        </is>
      </c>
    </row>
    <row r="9">
      <c r="A9" s="2" t="inlineStr">
        <is>
          <t>Data: the raw daily numbers (blue = inputs written by the script; yellow row = tomorrow). Every average and difference elsewhere is a formula on this sheet. Green values = links to Data.</t>
        </is>
      </c>
    </row>
    <row r="10">
      <c r="A10" s="2" t="inlineStr">
        <is>
          <t>Historical: every settled day since the feed starts (newest first): pool price, fundamentals and cushion as the model saw them. Yellow cells at the top pull the days with a similar cushion (same month, calm / windy); Match = 1 marks them, and each row also shows how it settled against its own analogs (Anomaly).</t>
        </is>
      </c>
    </row>
    <row r="11">
      <c r="A11" s="2" t="inlineStr"/>
    </row>
    <row r="12">
      <c r="A12" s="3" t="inlineStr">
        <is>
          <t>What each row is</t>
        </is>
      </c>
    </row>
    <row r="13">
      <c r="A13" s="2" t="inlineStr">
        <is>
          <t>History rows use what was known at the day-ahead vintage (AESO load / wind forecasts issued 12-40 h ahead) plus what then happened (actual load, wind, availability, pool price).</t>
        </is>
      </c>
    </row>
    <row r="14">
      <c r="A14" s="2" t="inlineStr">
        <is>
          <t>Tomorrow and forward rows use AESO's 14-day load forecast, the 216-hour wind and solar forecasts (ECMWF outlook beyond them), the gencap available-capability feed (15 days) and the 90-day outage report.</t>
        </is>
      </c>
    </row>
    <row r="15">
      <c r="A15" s="2" t="inlineStr">
        <is>
          <t>Peak = HE8-23 (Alberta convention). Weather is the average of Calgary, Edmonton and Pincher Creek (Open-Meteo); forward weather is blank until wx.py is run for the forecast.</t>
        </is>
      </c>
    </row>
    <row r="16">
      <c r="A16" s="2" t="inlineStr">
        <is>
          <t>Cushion = gas + SC + bio + wind + solar - (load - net imports). Thermal remaining = baseload gas (cogen + CC + GFS) available - what it must serve after wind, solar, imports, hydro, storage and bio.</t>
        </is>
      </c>
    </row>
    <row r="17">
      <c r="A17" s="2" t="inlineStr">
        <is>
          <t>Forward cushion assumes net imports at their last-30-day mean; the Scenario tab lets you change that.</t>
        </is>
      </c>
    </row>
    <row r="18">
      <c r="A18" s="2" t="inlineStr">
        <is>
          <t>Items that cannot exist yet are blank: actuals for tomorrow and beyond, forward prices past the last curve settle, trips and misses for unfinished days.</t>
        </is>
      </c>
    </row>
    <row r="19">
      <c r="A19" s="2" t="inlineStr"/>
    </row>
    <row r="20">
      <c r="A20" s="3" t="inlineStr">
        <is>
          <t>How to use it before the model</t>
        </is>
      </c>
    </row>
    <row r="21">
      <c r="A21" s="2" t="inlineStr">
        <is>
          <t>1. Summary flags: what is unusual tomorrow vs the last month (HIGH / LOW).</t>
        </is>
      </c>
    </row>
    <row r="22">
      <c r="A22" s="2" t="inlineStr">
        <is>
          <t>2. Cushion and thermal remaining: below 1,200 MW at the tightest peak hour is the spike zone (measured: 55% of such days print a $300 hour).</t>
        </is>
      </c>
    </row>
    <row r="23">
      <c r="A23" s="2" t="inlineStr">
        <is>
          <t>3. Wind: the forecast miss has been the largest source of price error at every horizon; a low-wind forecast on a cold or thin-thermal day is a coin flip for a spike.</t>
        </is>
      </c>
    </row>
    <row r="24">
      <c r="A24" s="2" t="inlineStr">
        <is>
          <t>4. Outages: the 90-day report is the plan; it runs light and slips. Trips are what the day-ahead view misses.</t>
        </is>
      </c>
    </row>
    <row r="25">
      <c r="A25" s="2" t="inlineStr">
        <is>
          <t>5. Next_14_Days: step changes in scheduled availability, load and wind that are coming.</t>
        </is>
      </c>
    </row>
    <row r="26">
      <c r="A26" s="2" t="inlineStr"/>
    </row>
    <row r="27">
      <c r="A27" s="3" t="inlineStr">
        <is>
          <t>Sources</t>
        </is>
      </c>
    </row>
    <row r="28">
      <c r="A28" s="2" t="inlineStr">
        <is>
          <t>CANPOWER composition (actuals); vendor load / wind forecast vintages (Warehouse); AESO API (load, gencap, ITC, pool price); AESO ETS wind / solar / outage reports; forward curve files (AESO daily, Mid-C, AB-NIT); Open-Meteo.</t>
        </is>
      </c>
    </row>
    <row r="29">
      <c r="A29" s="2" t="inlineStr">
        <is>
          <t>Built for delivery day 2026-09-30. Rebuild: python checklist_ab.py . Checklist_Deviations_AB.xlsx  (add a date as a third argument to build for another delivery day).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9" customWidth="1" min="3" max="3"/>
    <col width="11" customWidth="1" min="4" max="4"/>
    <col width="12" customWidth="1" min="5" max="5"/>
    <col width="13" customWidth="1" min="6" max="6"/>
    <col width="12" customWidth="1" min="7" max="7"/>
    <col width="13" customWidth="1" min="8" max="8"/>
    <col width="11" customWidth="1" min="9" max="9"/>
    <col width="10" customWidth="1" min="10" max="10"/>
    <col width="7" customWidth="1" min="11" max="11"/>
    <col width="11" customWidth="1" min="12" max="12"/>
    <col width="11" customWidth="1" min="13" max="13"/>
    <col width="12" customWidth="1" min="14" max="14"/>
    <col width="13" customWidth="1" min="15" max="15"/>
    <col width="50" customWidth="1" min="16" max="16"/>
  </cols>
  <sheetData>
    <row r="1">
      <c r="A1" s="1" t="inlineStr">
        <is>
          <t>Pre-model checklist (Alberta): tomorrow vs the last 14 and 30 days</t>
        </is>
      </c>
    </row>
    <row r="2">
      <c r="A2" s="4" t="inlineStr">
        <is>
          <t>Tomorrow (delivery day)</t>
        </is>
      </c>
      <c r="D2" s="5" t="n">
        <v>46295</v>
      </c>
    </row>
    <row r="3">
      <c r="A3" s="4" t="inlineStr">
        <is>
          <t>Last-14 / last-30 = the 14 / 30 delivery days before tomorrow. Next-14 = tomorrow + the 13 days after it. z = (tomorrow - last-30 mean) / last-30 SD; HIGH / LOW = at least one SD away.</t>
        </is>
      </c>
    </row>
    <row r="4"/>
    <row r="5">
      <c r="A5" s="6" t="inlineStr">
        <is>
          <t>Group</t>
        </is>
      </c>
      <c r="B5" s="6" t="inlineStr">
        <is>
          <t>Item</t>
        </is>
      </c>
      <c r="C5" s="6" t="inlineStr">
        <is>
          <t>Unit</t>
        </is>
      </c>
      <c r="D5" s="6" t="inlineStr">
        <is>
          <t>Tomorrow</t>
        </is>
      </c>
      <c r="E5" s="6" t="inlineStr">
        <is>
          <t>Last-14 mean</t>
        </is>
      </c>
      <c r="F5" s="6" t="inlineStr">
        <is>
          <t>Tomorrow - last-14</t>
        </is>
      </c>
      <c r="G5" s="6" t="inlineStr">
        <is>
          <t>Last-30 mean</t>
        </is>
      </c>
      <c r="H5" s="6" t="inlineStr">
        <is>
          <t>Tomorrow - last-30</t>
        </is>
      </c>
      <c r="I5" s="6" t="inlineStr">
        <is>
          <t>Last-30 SD</t>
        </is>
      </c>
      <c r="J5" s="6" t="inlineStr">
        <is>
          <t>z vs last-30</t>
        </is>
      </c>
      <c r="K5" s="6" t="inlineStr">
        <is>
          <t>Flag</t>
        </is>
      </c>
      <c r="L5" s="6" t="inlineStr">
        <is>
          <t>Last-30 min</t>
        </is>
      </c>
      <c r="M5" s="6" t="inlineStr">
        <is>
          <t>Last-30 max</t>
        </is>
      </c>
      <c r="N5" s="6" t="inlineStr">
        <is>
          <t>Next-14 mean</t>
        </is>
      </c>
      <c r="O5" s="6" t="inlineStr">
        <is>
          <t>Next-14 - last-30</t>
        </is>
      </c>
      <c r="P5" s="6" t="inlineStr">
        <is>
          <t>Source</t>
        </is>
      </c>
    </row>
    <row r="6">
      <c r="A6" s="2" t="inlineStr">
        <is>
          <t>Load</t>
        </is>
      </c>
      <c r="B6" s="2" t="inlineStr">
        <is>
          <t>AESO load forecast, daily peak</t>
        </is>
      </c>
      <c r="C6" s="2" t="inlineStr">
        <is>
          <t>MW</t>
        </is>
      </c>
      <c r="D6" s="7">
        <f>IFERROR(IF(INDEX(Data!$C$2:$C$45,MATCH($D$2,Data!$A$2:$A$45,0))="","",INDEX(Data!$C$2:$C$45,MATCH($D$2,Data!$A$2:$A$45,0))),"")</f>
        <v/>
      </c>
      <c r="E6" s="8">
        <f>IFERROR(AVERAGEIFS(Data!$C$2:$C$45,Data!$A$2:$A$45,"&gt;="&amp;$D$2-14,Data!$A$2:$A$45,"&lt;"&amp;$D$2),"")</f>
        <v/>
      </c>
      <c r="F6" s="8">
        <f>IF(AND(ISNUMBER(D6),ISNUMBER(E6)),D6-E6,"")</f>
        <v/>
      </c>
      <c r="G6" s="8">
        <f>IFERROR(AVERAGEIFS(Data!$C$2:$C$45,Data!$A$2:$A$45,"&gt;="&amp;$D$2-30,Data!$A$2:$A$45,"&lt;"&amp;$D$2),"")</f>
        <v/>
      </c>
      <c r="H6" s="8">
        <f>IF(AND(ISNUMBER(D6),ISNUMBER(G6)),D6-G6,"")</f>
        <v/>
      </c>
      <c r="I6" s="8">
        <f>IFERROR(SQRT(SUMPRODUCT((Data!$A$2:$A$45&gt;=$D$2-30)*(Data!$A$2:$A$45&lt;$D$2)*ISNUMBER(Data!$C$2:$C$45),(Data!$C$2:$C$45-G6)^2)/(COUNTIFS(Data!$A$2:$A$45,"&gt;="&amp;$D$2-30,Data!$A$2:$A$45,"&lt;"&amp;$D$2,Data!$C$2:$C$45,"&lt;&gt;")-1)),"")</f>
        <v/>
      </c>
      <c r="J6" s="8">
        <f>IF(AND(ISNUMBER(H6),ISNUMBER(I6)),IF(I6&gt;0,H6/I6,""),"")</f>
        <v/>
      </c>
      <c r="K6" s="8">
        <f>IF(ISNUMBER(J6),IF(J6&gt;=1,"HIGH",IF(J6&lt;=-1,"LOW","")),"")</f>
        <v/>
      </c>
      <c r="L6" s="8">
        <f>IFERROR(_xlfn.MINIFS(Data!$C$2:$C$45,Data!$A$2:$A$45,"&gt;="&amp;$D$2-30,Data!$A$2:$A$45,"&lt;"&amp;$D$2),"")</f>
        <v/>
      </c>
      <c r="M6" s="8">
        <f>IFERROR(_xlfn.MAXIFS(Data!$C$2:$C$45,Data!$A$2:$A$45,"&gt;="&amp;$D$2-30,Data!$A$2:$A$45,"&lt;"&amp;$D$2),"")</f>
        <v/>
      </c>
      <c r="N6" s="8">
        <f>IFERROR(AVERAGEIFS(Data!$C$2:$C$45,Data!$A$2:$A$45,"&gt;="&amp;$D$2,Data!$A$2:$A$45,"&lt;="&amp;$D$2+13),"")</f>
        <v/>
      </c>
      <c r="O6" s="8">
        <f>IF(AND(ISNUMBER(N6),ISNUMBER(G6)),N6-G6,"")</f>
        <v/>
      </c>
      <c r="P6" s="9" t="inlineStr">
        <is>
          <t>AESO day-ahead vintage (history); AESO 14-day load forecast (forward)</t>
        </is>
      </c>
    </row>
    <row r="7">
      <c r="A7" s="2" t="inlineStr">
        <is>
          <t>Load</t>
        </is>
      </c>
      <c r="B7" s="2" t="inlineStr">
        <is>
          <t>AESO load forecast, HE8-23 avg</t>
        </is>
      </c>
      <c r="C7" s="2" t="inlineStr">
        <is>
          <t>MW</t>
        </is>
      </c>
      <c r="D7" s="7">
        <f>IFERROR(IF(INDEX(Data!$D$2:$D$45,MATCH($D$2,Data!$A$2:$A$45,0))="","",INDEX(Data!$D$2:$D$45,MATCH($D$2,Data!$A$2:$A$45,0))),"")</f>
        <v/>
      </c>
      <c r="E7" s="8">
        <f>IFERROR(AVERAGEIFS(Data!$D$2:$D$45,Data!$A$2:$A$45,"&gt;="&amp;$D$2-14,Data!$A$2:$A$45,"&lt;"&amp;$D$2),"")</f>
        <v/>
      </c>
      <c r="F7" s="8">
        <f>IF(AND(ISNUMBER(D7),ISNUMBER(E7)),D7-E7,"")</f>
        <v/>
      </c>
      <c r="G7" s="8">
        <f>IFERROR(AVERAGEIFS(Data!$D$2:$D$45,Data!$A$2:$A$45,"&gt;="&amp;$D$2-30,Data!$A$2:$A$45,"&lt;"&amp;$D$2),"")</f>
        <v/>
      </c>
      <c r="H7" s="8">
        <f>IF(AND(ISNUMBER(D7),ISNUMBER(G7)),D7-G7,"")</f>
        <v/>
      </c>
      <c r="I7" s="8">
        <f>IFERROR(SQRT(SUMPRODUCT((Data!$A$2:$A$45&gt;=$D$2-30)*(Data!$A$2:$A$45&lt;$D$2)*ISNUMBER(Data!$D$2:$D$45),(Data!$D$2:$D$45-G7)^2)/(COUNTIFS(Data!$A$2:$A$45,"&gt;="&amp;$D$2-30,Data!$A$2:$A$45,"&lt;"&amp;$D$2,Data!$D$2:$D$45,"&lt;&gt;")-1)),"")</f>
        <v/>
      </c>
      <c r="J7" s="8">
        <f>IF(AND(ISNUMBER(H7),ISNUMBER(I7)),IF(I7&gt;0,H7/I7,""),"")</f>
        <v/>
      </c>
      <c r="K7" s="8">
        <f>IF(ISNUMBER(J7),IF(J7&gt;=1,"HIGH",IF(J7&lt;=-1,"LOW","")),"")</f>
        <v/>
      </c>
      <c r="L7" s="8">
        <f>IFERROR(_xlfn.MINIFS(Data!$D$2:$D$45,Data!$A$2:$A$45,"&gt;="&amp;$D$2-30,Data!$A$2:$A$45,"&lt;"&amp;$D$2),"")</f>
        <v/>
      </c>
      <c r="M7" s="8">
        <f>IFERROR(_xlfn.MAXIFS(Data!$D$2:$D$45,Data!$A$2:$A$45,"&gt;="&amp;$D$2-30,Data!$A$2:$A$45,"&lt;"&amp;$D$2),"")</f>
        <v/>
      </c>
      <c r="N7" s="8">
        <f>IFERROR(AVERAGEIFS(Data!$D$2:$D$45,Data!$A$2:$A$45,"&gt;="&amp;$D$2,Data!$A$2:$A$45,"&lt;="&amp;$D$2+13),"")</f>
        <v/>
      </c>
      <c r="O7" s="8">
        <f>IF(AND(ISNUMBER(N7),ISNUMBER(G7)),N7-G7,"")</f>
        <v/>
      </c>
      <c r="P7" s="9" t="inlineStr">
        <is>
          <t>same</t>
        </is>
      </c>
    </row>
    <row r="8">
      <c r="A8" s="2" t="inlineStr">
        <is>
          <t>Load</t>
        </is>
      </c>
      <c r="B8" s="2" t="inlineStr">
        <is>
          <t>Load actual, daily peak</t>
        </is>
      </c>
      <c r="C8" s="2" t="inlineStr">
        <is>
          <t>MW</t>
        </is>
      </c>
      <c r="D8" s="7">
        <f>IFERROR(IF(INDEX(Data!$E$2:$E$45,MATCH($D$2,Data!$A$2:$A$45,0))="","",INDEX(Data!$E$2:$E$45,MATCH($D$2,Data!$A$2:$A$45,0))),"")</f>
        <v/>
      </c>
      <c r="E8" s="8">
        <f>IFERROR(AVERAGEIFS(Data!$E$2:$E$45,Data!$A$2:$A$45,"&gt;="&amp;$D$2-14,Data!$A$2:$A$45,"&lt;"&amp;$D$2),"")</f>
        <v/>
      </c>
      <c r="F8" s="8">
        <f>IF(AND(ISNUMBER(D8),ISNUMBER(E8)),D8-E8,"")</f>
        <v/>
      </c>
      <c r="G8" s="8">
        <f>IFERROR(AVERAGEIFS(Data!$E$2:$E$45,Data!$A$2:$A$45,"&gt;="&amp;$D$2-30,Data!$A$2:$A$45,"&lt;"&amp;$D$2),"")</f>
        <v/>
      </c>
      <c r="H8" s="8">
        <f>IF(AND(ISNUMBER(D8),ISNUMBER(G8)),D8-G8,"")</f>
        <v/>
      </c>
      <c r="I8" s="8">
        <f>IFERROR(SQRT(SUMPRODUCT((Data!$A$2:$A$45&gt;=$D$2-30)*(Data!$A$2:$A$45&lt;$D$2)*ISNUMBER(Data!$E$2:$E$45),(Data!$E$2:$E$45-G8)^2)/(COUNTIFS(Data!$A$2:$A$45,"&gt;="&amp;$D$2-30,Data!$A$2:$A$45,"&lt;"&amp;$D$2,Data!$E$2:$E$45,"&lt;&gt;")-1)),"")</f>
        <v/>
      </c>
      <c r="J8" s="8">
        <f>IF(AND(ISNUMBER(H8),ISNUMBER(I8)),IF(I8&gt;0,H8/I8,""),"")</f>
        <v/>
      </c>
      <c r="K8" s="8">
        <f>IF(ISNUMBER(J8),IF(J8&gt;=1,"HIGH",IF(J8&lt;=-1,"LOW","")),"")</f>
        <v/>
      </c>
      <c r="L8" s="8">
        <f>IFERROR(_xlfn.MINIFS(Data!$E$2:$E$45,Data!$A$2:$A$45,"&gt;="&amp;$D$2-30,Data!$A$2:$A$45,"&lt;"&amp;$D$2),"")</f>
        <v/>
      </c>
      <c r="M8" s="8">
        <f>IFERROR(_xlfn.MAXIFS(Data!$E$2:$E$45,Data!$A$2:$A$45,"&gt;="&amp;$D$2-30,Data!$A$2:$A$45,"&lt;"&amp;$D$2),"")</f>
        <v/>
      </c>
      <c r="N8" s="8">
        <f>IFERROR(AVERAGEIFS(Data!$E$2:$E$45,Data!$A$2:$A$45,"&gt;="&amp;$D$2,Data!$A$2:$A$45,"&lt;="&amp;$D$2+13),"")</f>
        <v/>
      </c>
      <c r="O8" s="8">
        <f>IF(AND(ISNUMBER(N8),ISNUMBER(G8)),N8-G8,"")</f>
        <v/>
      </c>
      <c r="P8" s="9" t="inlineStr">
        <is>
          <t>CANPOWER composition</t>
        </is>
      </c>
    </row>
    <row r="9">
      <c r="A9" s="2" t="inlineStr">
        <is>
          <t>Load</t>
        </is>
      </c>
      <c r="B9" s="2" t="inlineStr">
        <is>
          <t>Load miss: actual peak - day-ahead forecast peak</t>
        </is>
      </c>
      <c r="C9" s="2" t="inlineStr">
        <is>
          <t>MW</t>
        </is>
      </c>
      <c r="D9" s="7">
        <f>IFERROR(IF(INDEX(Data!$F$2:$F$45,MATCH($D$2,Data!$A$2:$A$45,0))="","",INDEX(Data!$F$2:$F$45,MATCH($D$2,Data!$A$2:$A$45,0))),"")</f>
        <v/>
      </c>
      <c r="E9" s="8">
        <f>IFERROR(AVERAGEIFS(Data!$F$2:$F$45,Data!$A$2:$A$45,"&gt;="&amp;$D$2-14,Data!$A$2:$A$45,"&lt;"&amp;$D$2),"")</f>
        <v/>
      </c>
      <c r="F9" s="8">
        <f>IF(AND(ISNUMBER(D9),ISNUMBER(E9)),D9-E9,"")</f>
        <v/>
      </c>
      <c r="G9" s="8">
        <f>IFERROR(AVERAGEIFS(Data!$F$2:$F$45,Data!$A$2:$A$45,"&gt;="&amp;$D$2-30,Data!$A$2:$A$45,"&lt;"&amp;$D$2),"")</f>
        <v/>
      </c>
      <c r="H9" s="8">
        <f>IF(AND(ISNUMBER(D9),ISNUMBER(G9)),D9-G9,"")</f>
        <v/>
      </c>
      <c r="I9" s="8">
        <f>IFERROR(SQRT(SUMPRODUCT((Data!$A$2:$A$45&gt;=$D$2-30)*(Data!$A$2:$A$45&lt;$D$2)*ISNUMBER(Data!$F$2:$F$45),(Data!$F$2:$F$45-G9)^2)/(COUNTIFS(Data!$A$2:$A$45,"&gt;="&amp;$D$2-30,Data!$A$2:$A$45,"&lt;"&amp;$D$2,Data!$F$2:$F$45,"&lt;&gt;")-1)),"")</f>
        <v/>
      </c>
      <c r="J9" s="8">
        <f>IF(AND(ISNUMBER(H9),ISNUMBER(I9)),IF(I9&gt;0,H9/I9,""),"")</f>
        <v/>
      </c>
      <c r="K9" s="8">
        <f>IF(ISNUMBER(J9),IF(J9&gt;=1,"HIGH",IF(J9&lt;=-1,"LOW","")),"")</f>
        <v/>
      </c>
      <c r="L9" s="8">
        <f>IFERROR(_xlfn.MINIFS(Data!$F$2:$F$45,Data!$A$2:$A$45,"&gt;="&amp;$D$2-30,Data!$A$2:$A$45,"&lt;"&amp;$D$2),"")</f>
        <v/>
      </c>
      <c r="M9" s="8">
        <f>IFERROR(_xlfn.MAXIFS(Data!$F$2:$F$45,Data!$A$2:$A$45,"&gt;="&amp;$D$2-30,Data!$A$2:$A$45,"&lt;"&amp;$D$2),"")</f>
        <v/>
      </c>
      <c r="N9" s="8">
        <f>IFERROR(AVERAGEIFS(Data!$F$2:$F$45,Data!$A$2:$A$45,"&gt;="&amp;$D$2,Data!$A$2:$A$45,"&lt;="&amp;$D$2+13),"")</f>
        <v/>
      </c>
      <c r="O9" s="8">
        <f>IF(AND(ISNUMBER(N9),ISNUMBER(G9)),N9-G9,"")</f>
        <v/>
      </c>
      <c r="P9" s="9" t="inlineStr">
        <is>
          <t>derived</t>
        </is>
      </c>
    </row>
    <row r="10">
      <c r="A10" s="2" t="inlineStr">
        <is>
          <t>Supply</t>
        </is>
      </c>
      <c r="B10" s="2" t="inlineStr">
        <is>
          <t>Baseload gas available (cogen + CC + GFS), HE8-23 avg</t>
        </is>
      </c>
      <c r="C10" s="2" t="inlineStr">
        <is>
          <t>MW</t>
        </is>
      </c>
      <c r="D10" s="7">
        <f>IFERROR(IF(INDEX(Data!$G$2:$G$45,MATCH($D$2,Data!$A$2:$A$45,0))="","",INDEX(Data!$G$2:$G$45,MATCH($D$2,Data!$A$2:$A$45,0))),"")</f>
        <v/>
      </c>
      <c r="E10" s="8">
        <f>IFERROR(AVERAGEIFS(Data!$G$2:$G$45,Data!$A$2:$A$45,"&gt;="&amp;$D$2-14,Data!$A$2:$A$45,"&lt;"&amp;$D$2),"")</f>
        <v/>
      </c>
      <c r="F10" s="8">
        <f>IF(AND(ISNUMBER(D10),ISNUMBER(E10)),D10-E10,"")</f>
        <v/>
      </c>
      <c r="G10" s="8">
        <f>IFERROR(AVERAGEIFS(Data!$G$2:$G$45,Data!$A$2:$A$45,"&gt;="&amp;$D$2-30,Data!$A$2:$A$45,"&lt;"&amp;$D$2),"")</f>
        <v/>
      </c>
      <c r="H10" s="8">
        <f>IF(AND(ISNUMBER(D10),ISNUMBER(G10)),D10-G10,"")</f>
        <v/>
      </c>
      <c r="I10" s="8">
        <f>IFERROR(SQRT(SUMPRODUCT((Data!$A$2:$A$45&gt;=$D$2-30)*(Data!$A$2:$A$45&lt;$D$2)*ISNUMBER(Data!$G$2:$G$45),(Data!$G$2:$G$45-G10)^2)/(COUNTIFS(Data!$A$2:$A$45,"&gt;="&amp;$D$2-30,Data!$A$2:$A$45,"&lt;"&amp;$D$2,Data!$G$2:$G$45,"&lt;&gt;")-1)),"")</f>
        <v/>
      </c>
      <c r="J10" s="8">
        <f>IF(AND(ISNUMBER(H10),ISNUMBER(I10)),IF(I10&gt;0,H10/I10,""),"")</f>
        <v/>
      </c>
      <c r="K10" s="8">
        <f>IF(ISNUMBER(J10),IF(J10&gt;=1,"HIGH",IF(J10&lt;=-1,"LOW","")),"")</f>
        <v/>
      </c>
      <c r="L10" s="8">
        <f>IFERROR(_xlfn.MINIFS(Data!$G$2:$G$45,Data!$A$2:$A$45,"&gt;="&amp;$D$2-30,Data!$A$2:$A$45,"&lt;"&amp;$D$2),"")</f>
        <v/>
      </c>
      <c r="M10" s="8">
        <f>IFERROR(_xlfn.MAXIFS(Data!$G$2:$G$45,Data!$A$2:$A$45,"&gt;="&amp;$D$2-30,Data!$A$2:$A$45,"&lt;"&amp;$D$2),"")</f>
        <v/>
      </c>
      <c r="N10" s="8">
        <f>IFERROR(AVERAGEIFS(Data!$G$2:$G$45,Data!$A$2:$A$45,"&gt;="&amp;$D$2,Data!$A$2:$A$45,"&lt;="&amp;$D$2+13),"")</f>
        <v/>
      </c>
      <c r="O10" s="8">
        <f>IF(AND(ISNUMBER(N10),ISNUMBER(G10)),N10-G10,"")</f>
        <v/>
      </c>
      <c r="P10" s="9" t="inlineStr">
        <is>
          <t>composition (history); AESO gencap AC (forward)</t>
        </is>
      </c>
    </row>
    <row r="11">
      <c r="A11" s="2" t="inlineStr">
        <is>
          <t>Supply</t>
        </is>
      </c>
      <c r="B11" s="2" t="inlineStr">
        <is>
          <t>Simple cycle available, HE8-23 avg</t>
        </is>
      </c>
      <c r="C11" s="2" t="inlineStr">
        <is>
          <t>MW</t>
        </is>
      </c>
      <c r="D11" s="7">
        <f>IFERROR(IF(INDEX(Data!$H$2:$H$45,MATCH($D$2,Data!$A$2:$A$45,0))="","",INDEX(Data!$H$2:$H$45,MATCH($D$2,Data!$A$2:$A$45,0))),"")</f>
        <v/>
      </c>
      <c r="E11" s="8">
        <f>IFERROR(AVERAGEIFS(Data!$H$2:$H$45,Data!$A$2:$A$45,"&gt;="&amp;$D$2-14,Data!$A$2:$A$45,"&lt;"&amp;$D$2),"")</f>
        <v/>
      </c>
      <c r="F11" s="8">
        <f>IF(AND(ISNUMBER(D11),ISNUMBER(E11)),D11-E11,"")</f>
        <v/>
      </c>
      <c r="G11" s="8">
        <f>IFERROR(AVERAGEIFS(Data!$H$2:$H$45,Data!$A$2:$A$45,"&gt;="&amp;$D$2-30,Data!$A$2:$A$45,"&lt;"&amp;$D$2),"")</f>
        <v/>
      </c>
      <c r="H11" s="8">
        <f>IF(AND(ISNUMBER(D11),ISNUMBER(G11)),D11-G11,"")</f>
        <v/>
      </c>
      <c r="I11" s="8">
        <f>IFERROR(SQRT(SUMPRODUCT((Data!$A$2:$A$45&gt;=$D$2-30)*(Data!$A$2:$A$45&lt;$D$2)*ISNUMBER(Data!$H$2:$H$45),(Data!$H$2:$H$45-G11)^2)/(COUNTIFS(Data!$A$2:$A$45,"&gt;="&amp;$D$2-30,Data!$A$2:$A$45,"&lt;"&amp;$D$2,Data!$H$2:$H$45,"&lt;&gt;")-1)),"")</f>
        <v/>
      </c>
      <c r="J11" s="8">
        <f>IF(AND(ISNUMBER(H11),ISNUMBER(I11)),IF(I11&gt;0,H11/I11,""),"")</f>
        <v/>
      </c>
      <c r="K11" s="8">
        <f>IF(ISNUMBER(J11),IF(J11&gt;=1,"HIGH",IF(J11&lt;=-1,"LOW","")),"")</f>
        <v/>
      </c>
      <c r="L11" s="8">
        <f>IFERROR(_xlfn.MINIFS(Data!$H$2:$H$45,Data!$A$2:$A$45,"&gt;="&amp;$D$2-30,Data!$A$2:$A$45,"&lt;"&amp;$D$2),"")</f>
        <v/>
      </c>
      <c r="M11" s="8">
        <f>IFERROR(_xlfn.MAXIFS(Data!$H$2:$H$45,Data!$A$2:$A$45,"&gt;="&amp;$D$2-30,Data!$A$2:$A$45,"&lt;"&amp;$D$2),"")</f>
        <v/>
      </c>
      <c r="N11" s="8">
        <f>IFERROR(AVERAGEIFS(Data!$H$2:$H$45,Data!$A$2:$A$45,"&gt;="&amp;$D$2,Data!$A$2:$A$45,"&lt;="&amp;$D$2+13),"")</f>
        <v/>
      </c>
      <c r="O11" s="8">
        <f>IF(AND(ISNUMBER(N11),ISNUMBER(G11)),N11-G11,"")</f>
        <v/>
      </c>
      <c r="P11" s="9" t="inlineStr">
        <is>
          <t>same</t>
        </is>
      </c>
    </row>
    <row r="12">
      <c r="A12" s="2" t="inlineStr">
        <is>
          <t>Outages</t>
        </is>
      </c>
      <c r="B12" s="2" t="inlineStr">
        <is>
          <t>Thermal MW unavailable in the 90-day outage report (SC+cogen+CC+GFS)</t>
        </is>
      </c>
      <c r="C12" s="2" t="inlineStr">
        <is>
          <t>MW</t>
        </is>
      </c>
      <c r="D12" s="7">
        <f>IFERROR(IF(INDEX(Data!$I$2:$I$45,MATCH($D$2,Data!$A$2:$A$45,0))="","",INDEX(Data!$I$2:$I$45,MATCH($D$2,Data!$A$2:$A$45,0))),"")</f>
        <v/>
      </c>
      <c r="E12" s="8">
        <f>IFERROR(AVERAGEIFS(Data!$I$2:$I$45,Data!$A$2:$A$45,"&gt;="&amp;$D$2-14,Data!$A$2:$A$45,"&lt;"&amp;$D$2),"")</f>
        <v/>
      </c>
      <c r="F12" s="8">
        <f>IF(AND(ISNUMBER(D12),ISNUMBER(E12)),D12-E12,"")</f>
        <v/>
      </c>
      <c r="G12" s="8">
        <f>IFERROR(AVERAGEIFS(Data!$I$2:$I$45,Data!$A$2:$A$45,"&gt;="&amp;$D$2-30,Data!$A$2:$A$45,"&lt;"&amp;$D$2),"")</f>
        <v/>
      </c>
      <c r="H12" s="8">
        <f>IF(AND(ISNUMBER(D12),ISNUMBER(G12)),D12-G12,"")</f>
        <v/>
      </c>
      <c r="I12" s="8">
        <f>IFERROR(SQRT(SUMPRODUCT((Data!$A$2:$A$45&gt;=$D$2-30)*(Data!$A$2:$A$45&lt;$D$2)*ISNUMBER(Data!$I$2:$I$45),(Data!$I$2:$I$45-G12)^2)/(COUNTIFS(Data!$A$2:$A$45,"&gt;="&amp;$D$2-30,Data!$A$2:$A$45,"&lt;"&amp;$D$2,Data!$I$2:$I$45,"&lt;&gt;")-1)),"")</f>
        <v/>
      </c>
      <c r="J12" s="8">
        <f>IF(AND(ISNUMBER(H12),ISNUMBER(I12)),IF(I12&gt;0,H12/I12,""),"")</f>
        <v/>
      </c>
      <c r="K12" s="8">
        <f>IF(ISNUMBER(J12),IF(J12&gt;=1,"HIGH",IF(J12&lt;=-1,"LOW","")),"")</f>
        <v/>
      </c>
      <c r="L12" s="8">
        <f>IFERROR(_xlfn.MINIFS(Data!$I$2:$I$45,Data!$A$2:$A$45,"&gt;="&amp;$D$2-30,Data!$A$2:$A$45,"&lt;"&amp;$D$2),"")</f>
        <v/>
      </c>
      <c r="M12" s="8">
        <f>IFERROR(_xlfn.MAXIFS(Data!$I$2:$I$45,Data!$A$2:$A$45,"&gt;="&amp;$D$2-30,Data!$A$2:$A$45,"&lt;"&amp;$D$2),"")</f>
        <v/>
      </c>
      <c r="N12" s="8">
        <f>IFERROR(AVERAGEIFS(Data!$I$2:$I$45,Data!$A$2:$A$45,"&gt;="&amp;$D$2,Data!$A$2:$A$45,"&lt;="&amp;$D$2+13),"")</f>
        <v/>
      </c>
      <c r="O12" s="8">
        <f>IF(AND(ISNUMBER(N12),ISNUMBER(G12)),N12-G12,"")</f>
        <v/>
      </c>
      <c r="P12" s="9" t="inlineStr">
        <is>
          <t>AESO daily outage report</t>
        </is>
      </c>
    </row>
    <row r="13">
      <c r="A13" s="2" t="inlineStr">
        <is>
          <t>Outages</t>
        </is>
      </c>
      <c r="B13" s="2" t="inlineStr">
        <is>
          <t>Trips: largest hour-over-hour drop in baseload gas available</t>
        </is>
      </c>
      <c r="C13" s="2" t="inlineStr">
        <is>
          <t>MW</t>
        </is>
      </c>
      <c r="D13" s="7">
        <f>IFERROR(IF(INDEX(Data!$J$2:$J$45,MATCH($D$2,Data!$A$2:$A$45,0))="","",INDEX(Data!$J$2:$J$45,MATCH($D$2,Data!$A$2:$A$45,0))),"")</f>
        <v/>
      </c>
      <c r="E13" s="8">
        <f>IFERROR(AVERAGEIFS(Data!$J$2:$J$45,Data!$A$2:$A$45,"&gt;="&amp;$D$2-14,Data!$A$2:$A$45,"&lt;"&amp;$D$2),"")</f>
        <v/>
      </c>
      <c r="F13" s="8">
        <f>IF(AND(ISNUMBER(D13),ISNUMBER(E13)),D13-E13,"")</f>
        <v/>
      </c>
      <c r="G13" s="8">
        <f>IFERROR(AVERAGEIFS(Data!$J$2:$J$45,Data!$A$2:$A$45,"&gt;="&amp;$D$2-30,Data!$A$2:$A$45,"&lt;"&amp;$D$2),"")</f>
        <v/>
      </c>
      <c r="H13" s="8">
        <f>IF(AND(ISNUMBER(D13),ISNUMBER(G13)),D13-G13,"")</f>
        <v/>
      </c>
      <c r="I13" s="8">
        <f>IFERROR(SQRT(SUMPRODUCT((Data!$A$2:$A$45&gt;=$D$2-30)*(Data!$A$2:$A$45&lt;$D$2)*ISNUMBER(Data!$J$2:$J$45),(Data!$J$2:$J$45-G13)^2)/(COUNTIFS(Data!$A$2:$A$45,"&gt;="&amp;$D$2-30,Data!$A$2:$A$45,"&lt;"&amp;$D$2,Data!$J$2:$J$45,"&lt;&gt;")-1)),"")</f>
        <v/>
      </c>
      <c r="J13" s="8">
        <f>IF(AND(ISNUMBER(H13),ISNUMBER(I13)),IF(I13&gt;0,H13/I13,""),"")</f>
        <v/>
      </c>
      <c r="K13" s="8">
        <f>IF(ISNUMBER(J13),IF(J13&gt;=1,"HIGH",IF(J13&lt;=-1,"LOW","")),"")</f>
        <v/>
      </c>
      <c r="L13" s="8">
        <f>IFERROR(_xlfn.MINIFS(Data!$J$2:$J$45,Data!$A$2:$A$45,"&gt;="&amp;$D$2-30,Data!$A$2:$A$45,"&lt;"&amp;$D$2),"")</f>
        <v/>
      </c>
      <c r="M13" s="8">
        <f>IFERROR(_xlfn.MAXIFS(Data!$J$2:$J$45,Data!$A$2:$A$45,"&gt;="&amp;$D$2-30,Data!$A$2:$A$45,"&lt;"&amp;$D$2),"")</f>
        <v/>
      </c>
      <c r="N13" s="8">
        <f>IFERROR(AVERAGEIFS(Data!$J$2:$J$45,Data!$A$2:$A$45,"&gt;="&amp;$D$2,Data!$A$2:$A$45,"&lt;="&amp;$D$2+13),"")</f>
        <v/>
      </c>
      <c r="O13" s="8">
        <f>IF(AND(ISNUMBER(N13),ISNUMBER(G13)),N13-G13,"")</f>
        <v/>
      </c>
      <c r="P13" s="9" t="inlineStr">
        <is>
          <t>composition</t>
        </is>
      </c>
    </row>
    <row r="14">
      <c r="A14" s="2" t="inlineStr">
        <is>
          <t>Renewables</t>
        </is>
      </c>
      <c r="B14" s="2" t="inlineStr">
        <is>
          <t>Wind forecast, HE8-23 avg</t>
        </is>
      </c>
      <c r="C14" s="2" t="inlineStr">
        <is>
          <t>MW</t>
        </is>
      </c>
      <c r="D14" s="7">
        <f>IFERROR(IF(INDEX(Data!$K$2:$K$45,MATCH($D$2,Data!$A$2:$A$45,0))="","",INDEX(Data!$K$2:$K$45,MATCH($D$2,Data!$A$2:$A$45,0))),"")</f>
        <v/>
      </c>
      <c r="E14" s="8">
        <f>IFERROR(AVERAGEIFS(Data!$K$2:$K$45,Data!$A$2:$A$45,"&gt;="&amp;$D$2-14,Data!$A$2:$A$45,"&lt;"&amp;$D$2),"")</f>
        <v/>
      </c>
      <c r="F14" s="8">
        <f>IF(AND(ISNUMBER(D14),ISNUMBER(E14)),D14-E14,"")</f>
        <v/>
      </c>
      <c r="G14" s="8">
        <f>IFERROR(AVERAGEIFS(Data!$K$2:$K$45,Data!$A$2:$A$45,"&gt;="&amp;$D$2-30,Data!$A$2:$A$45,"&lt;"&amp;$D$2),"")</f>
        <v/>
      </c>
      <c r="H14" s="8">
        <f>IF(AND(ISNUMBER(D14),ISNUMBER(G14)),D14-G14,"")</f>
        <v/>
      </c>
      <c r="I14" s="8">
        <f>IFERROR(SQRT(SUMPRODUCT((Data!$A$2:$A$45&gt;=$D$2-30)*(Data!$A$2:$A$45&lt;$D$2)*ISNUMBER(Data!$K$2:$K$45),(Data!$K$2:$K$45-G14)^2)/(COUNTIFS(Data!$A$2:$A$45,"&gt;="&amp;$D$2-30,Data!$A$2:$A$45,"&lt;"&amp;$D$2,Data!$K$2:$K$45,"&lt;&gt;")-1)),"")</f>
        <v/>
      </c>
      <c r="J14" s="8">
        <f>IF(AND(ISNUMBER(H14),ISNUMBER(I14)),IF(I14&gt;0,H14/I14,""),"")</f>
        <v/>
      </c>
      <c r="K14" s="8">
        <f>IF(ISNUMBER(J14),IF(J14&gt;=1,"HIGH",IF(J14&lt;=-1,"LOW","")),"")</f>
        <v/>
      </c>
      <c r="L14" s="8">
        <f>IFERROR(_xlfn.MINIFS(Data!$K$2:$K$45,Data!$A$2:$A$45,"&gt;="&amp;$D$2-30,Data!$A$2:$A$45,"&lt;"&amp;$D$2),"")</f>
        <v/>
      </c>
      <c r="M14" s="8">
        <f>IFERROR(_xlfn.MAXIFS(Data!$K$2:$K$45,Data!$A$2:$A$45,"&gt;="&amp;$D$2-30,Data!$A$2:$A$45,"&lt;"&amp;$D$2),"")</f>
        <v/>
      </c>
      <c r="N14" s="8">
        <f>IFERROR(AVERAGEIFS(Data!$K$2:$K$45,Data!$A$2:$A$45,"&gt;="&amp;$D$2,Data!$A$2:$A$45,"&lt;="&amp;$D$2+13),"")</f>
        <v/>
      </c>
      <c r="O14" s="8">
        <f>IF(AND(ISNUMBER(N14),ISNUMBER(G14)),N14-G14,"")</f>
        <v/>
      </c>
      <c r="P14" s="9" t="inlineStr">
        <is>
          <t>AESO day-ahead vintage (history); AESO 216-h forecast then ECMWF outlook (forward)</t>
        </is>
      </c>
    </row>
    <row r="15">
      <c r="A15" s="2" t="inlineStr">
        <is>
          <t>Renewables</t>
        </is>
      </c>
      <c r="B15" s="2" t="inlineStr">
        <is>
          <t>Wind actual, HE8-23 avg</t>
        </is>
      </c>
      <c r="C15" s="2" t="inlineStr">
        <is>
          <t>MW</t>
        </is>
      </c>
      <c r="D15" s="7">
        <f>IFERROR(IF(INDEX(Data!$L$2:$L$45,MATCH($D$2,Data!$A$2:$A$45,0))="","",INDEX(Data!$L$2:$L$45,MATCH($D$2,Data!$A$2:$A$45,0))),"")</f>
        <v/>
      </c>
      <c r="E15" s="8">
        <f>IFERROR(AVERAGEIFS(Data!$L$2:$L$45,Data!$A$2:$A$45,"&gt;="&amp;$D$2-14,Data!$A$2:$A$45,"&lt;"&amp;$D$2),"")</f>
        <v/>
      </c>
      <c r="F15" s="8">
        <f>IF(AND(ISNUMBER(D15),ISNUMBER(E15)),D15-E15,"")</f>
        <v/>
      </c>
      <c r="G15" s="8">
        <f>IFERROR(AVERAGEIFS(Data!$L$2:$L$45,Data!$A$2:$A$45,"&gt;="&amp;$D$2-30,Data!$A$2:$A$45,"&lt;"&amp;$D$2),"")</f>
        <v/>
      </c>
      <c r="H15" s="8">
        <f>IF(AND(ISNUMBER(D15),ISNUMBER(G15)),D15-G15,"")</f>
        <v/>
      </c>
      <c r="I15" s="8">
        <f>IFERROR(SQRT(SUMPRODUCT((Data!$A$2:$A$45&gt;=$D$2-30)*(Data!$A$2:$A$45&lt;$D$2)*ISNUMBER(Data!$L$2:$L$45),(Data!$L$2:$L$45-G15)^2)/(COUNTIFS(Data!$A$2:$A$45,"&gt;="&amp;$D$2-30,Data!$A$2:$A$45,"&lt;"&amp;$D$2,Data!$L$2:$L$45,"&lt;&gt;")-1)),"")</f>
        <v/>
      </c>
      <c r="J15" s="8">
        <f>IF(AND(ISNUMBER(H15),ISNUMBER(I15)),IF(I15&gt;0,H15/I15,""),"")</f>
        <v/>
      </c>
      <c r="K15" s="8">
        <f>IF(ISNUMBER(J15),IF(J15&gt;=1,"HIGH",IF(J15&lt;=-1,"LOW","")),"")</f>
        <v/>
      </c>
      <c r="L15" s="8">
        <f>IFERROR(_xlfn.MINIFS(Data!$L$2:$L$45,Data!$A$2:$A$45,"&gt;="&amp;$D$2-30,Data!$A$2:$A$45,"&lt;"&amp;$D$2),"")</f>
        <v/>
      </c>
      <c r="M15" s="8">
        <f>IFERROR(_xlfn.MAXIFS(Data!$L$2:$L$45,Data!$A$2:$A$45,"&gt;="&amp;$D$2-30,Data!$A$2:$A$45,"&lt;"&amp;$D$2),"")</f>
        <v/>
      </c>
      <c r="N15" s="8">
        <f>IFERROR(AVERAGEIFS(Data!$L$2:$L$45,Data!$A$2:$A$45,"&gt;="&amp;$D$2,Data!$A$2:$A$45,"&lt;="&amp;$D$2+13),"")</f>
        <v/>
      </c>
      <c r="O15" s="8">
        <f>IF(AND(ISNUMBER(N15),ISNUMBER(G15)),N15-G15,"")</f>
        <v/>
      </c>
      <c r="P15" s="9" t="inlineStr">
        <is>
          <t>composition</t>
        </is>
      </c>
    </row>
    <row r="16">
      <c r="A16" s="2" t="inlineStr">
        <is>
          <t>Renewables</t>
        </is>
      </c>
      <c r="B16" s="2" t="inlineStr">
        <is>
          <t>Wind miss: actual - day-ahead forecast, HE8-23 avg</t>
        </is>
      </c>
      <c r="C16" s="2" t="inlineStr">
        <is>
          <t>MW</t>
        </is>
      </c>
      <c r="D16" s="7">
        <f>IFERROR(IF(INDEX(Data!$M$2:$M$45,MATCH($D$2,Data!$A$2:$A$45,0))="","",INDEX(Data!$M$2:$M$45,MATCH($D$2,Data!$A$2:$A$45,0))),"")</f>
        <v/>
      </c>
      <c r="E16" s="8">
        <f>IFERROR(AVERAGEIFS(Data!$M$2:$M$45,Data!$A$2:$A$45,"&gt;="&amp;$D$2-14,Data!$A$2:$A$45,"&lt;"&amp;$D$2),"")</f>
        <v/>
      </c>
      <c r="F16" s="8">
        <f>IF(AND(ISNUMBER(D16),ISNUMBER(E16)),D16-E16,"")</f>
        <v/>
      </c>
      <c r="G16" s="8">
        <f>IFERROR(AVERAGEIFS(Data!$M$2:$M$45,Data!$A$2:$A$45,"&gt;="&amp;$D$2-30,Data!$A$2:$A$45,"&lt;"&amp;$D$2),"")</f>
        <v/>
      </c>
      <c r="H16" s="8">
        <f>IF(AND(ISNUMBER(D16),ISNUMBER(G16)),D16-G16,"")</f>
        <v/>
      </c>
      <c r="I16" s="8">
        <f>IFERROR(SQRT(SUMPRODUCT((Data!$A$2:$A$45&gt;=$D$2-30)*(Data!$A$2:$A$45&lt;$D$2)*ISNUMBER(Data!$M$2:$M$45),(Data!$M$2:$M$45-G16)^2)/(COUNTIFS(Data!$A$2:$A$45,"&gt;="&amp;$D$2-30,Data!$A$2:$A$45,"&lt;"&amp;$D$2,Data!$M$2:$M$45,"&lt;&gt;")-1)),"")</f>
        <v/>
      </c>
      <c r="J16" s="8">
        <f>IF(AND(ISNUMBER(H16),ISNUMBER(I16)),IF(I16&gt;0,H16/I16,""),"")</f>
        <v/>
      </c>
      <c r="K16" s="8">
        <f>IF(ISNUMBER(J16),IF(J16&gt;=1,"HIGH",IF(J16&lt;=-1,"LOW","")),"")</f>
        <v/>
      </c>
      <c r="L16" s="8">
        <f>IFERROR(_xlfn.MINIFS(Data!$M$2:$M$45,Data!$A$2:$A$45,"&gt;="&amp;$D$2-30,Data!$A$2:$A$45,"&lt;"&amp;$D$2),"")</f>
        <v/>
      </c>
      <c r="M16" s="8">
        <f>IFERROR(_xlfn.MAXIFS(Data!$M$2:$M$45,Data!$A$2:$A$45,"&gt;="&amp;$D$2-30,Data!$A$2:$A$45,"&lt;"&amp;$D$2),"")</f>
        <v/>
      </c>
      <c r="N16" s="8">
        <f>IFERROR(AVERAGEIFS(Data!$M$2:$M$45,Data!$A$2:$A$45,"&gt;="&amp;$D$2,Data!$A$2:$A$45,"&lt;="&amp;$D$2+13),"")</f>
        <v/>
      </c>
      <c r="O16" s="8">
        <f>IF(AND(ISNUMBER(N16),ISNUMBER(G16)),N16-G16,"")</f>
        <v/>
      </c>
      <c r="P16" s="9" t="inlineStr">
        <is>
          <t>derived</t>
        </is>
      </c>
    </row>
    <row r="17">
      <c r="A17" s="2" t="inlineStr">
        <is>
          <t>Renewables</t>
        </is>
      </c>
      <c r="B17" s="2" t="inlineStr">
        <is>
          <t>Wind capacity factor, daily mean (calm day = below 16)</t>
        </is>
      </c>
      <c r="C17" s="2" t="inlineStr">
        <is>
          <t>%</t>
        </is>
      </c>
      <c r="D17" s="7">
        <f>IFERROR(IF(INDEX(Data!$N$2:$N$45,MATCH($D$2,Data!$A$2:$A$45,0))="","",INDEX(Data!$N$2:$N$45,MATCH($D$2,Data!$A$2:$A$45,0))),"")</f>
        <v/>
      </c>
      <c r="E17" s="8">
        <f>IFERROR(AVERAGEIFS(Data!$N$2:$N$45,Data!$A$2:$A$45,"&gt;="&amp;$D$2-14,Data!$A$2:$A$45,"&lt;"&amp;$D$2),"")</f>
        <v/>
      </c>
      <c r="F17" s="8">
        <f>IF(AND(ISNUMBER(D17),ISNUMBER(E17)),D17-E17,"")</f>
        <v/>
      </c>
      <c r="G17" s="8">
        <f>IFERROR(AVERAGEIFS(Data!$N$2:$N$45,Data!$A$2:$A$45,"&gt;="&amp;$D$2-30,Data!$A$2:$A$45,"&lt;"&amp;$D$2),"")</f>
        <v/>
      </c>
      <c r="H17" s="8">
        <f>IF(AND(ISNUMBER(D17),ISNUMBER(G17)),D17-G17,"")</f>
        <v/>
      </c>
      <c r="I17" s="8">
        <f>IFERROR(SQRT(SUMPRODUCT((Data!$A$2:$A$45&gt;=$D$2-30)*(Data!$A$2:$A$45&lt;$D$2)*ISNUMBER(Data!$N$2:$N$45),(Data!$N$2:$N$45-G17)^2)/(COUNTIFS(Data!$A$2:$A$45,"&gt;="&amp;$D$2-30,Data!$A$2:$A$45,"&lt;"&amp;$D$2,Data!$N$2:$N$45,"&lt;&gt;")-1)),"")</f>
        <v/>
      </c>
      <c r="J17" s="8">
        <f>IF(AND(ISNUMBER(H17),ISNUMBER(I17)),IF(I17&gt;0,H17/I17,""),"")</f>
        <v/>
      </c>
      <c r="K17" s="8">
        <f>IF(ISNUMBER(J17),IF(J17&gt;=1,"HIGH",IF(J17&lt;=-1,"LOW","")),"")</f>
        <v/>
      </c>
      <c r="L17" s="8">
        <f>IFERROR(_xlfn.MINIFS(Data!$N$2:$N$45,Data!$A$2:$A$45,"&gt;="&amp;$D$2-30,Data!$A$2:$A$45,"&lt;"&amp;$D$2),"")</f>
        <v/>
      </c>
      <c r="M17" s="8">
        <f>IFERROR(_xlfn.MAXIFS(Data!$N$2:$N$45,Data!$A$2:$A$45,"&gt;="&amp;$D$2-30,Data!$A$2:$A$45,"&lt;"&amp;$D$2),"")</f>
        <v/>
      </c>
      <c r="N17" s="8">
        <f>IFERROR(AVERAGEIFS(Data!$N$2:$N$45,Data!$A$2:$A$45,"&gt;="&amp;$D$2,Data!$A$2:$A$45,"&lt;="&amp;$D$2+13),"")</f>
        <v/>
      </c>
      <c r="O17" s="8">
        <f>IF(AND(ISNUMBER(N17),ISNUMBER(G17)),N17-G17,"")</f>
        <v/>
      </c>
      <c r="P17" s="9" t="inlineStr">
        <is>
          <t>composition / forecast wind vs rolling 365-day max</t>
        </is>
      </c>
    </row>
    <row r="18">
      <c r="A18" s="2" t="inlineStr">
        <is>
          <t>Renewables</t>
        </is>
      </c>
      <c r="B18" s="2" t="inlineStr">
        <is>
          <t>Solar, daily max (actual history / forecast forward)</t>
        </is>
      </c>
      <c r="C18" s="2" t="inlineStr">
        <is>
          <t>MW</t>
        </is>
      </c>
      <c r="D18" s="7">
        <f>IFERROR(IF(INDEX(Data!$O$2:$O$45,MATCH($D$2,Data!$A$2:$A$45,0))="","",INDEX(Data!$O$2:$O$45,MATCH($D$2,Data!$A$2:$A$45,0))),"")</f>
        <v/>
      </c>
      <c r="E18" s="8">
        <f>IFERROR(AVERAGEIFS(Data!$O$2:$O$45,Data!$A$2:$A$45,"&gt;="&amp;$D$2-14,Data!$A$2:$A$45,"&lt;"&amp;$D$2),"")</f>
        <v/>
      </c>
      <c r="F18" s="8">
        <f>IF(AND(ISNUMBER(D18),ISNUMBER(E18)),D18-E18,"")</f>
        <v/>
      </c>
      <c r="G18" s="8">
        <f>IFERROR(AVERAGEIFS(Data!$O$2:$O$45,Data!$A$2:$A$45,"&gt;="&amp;$D$2-30,Data!$A$2:$A$45,"&lt;"&amp;$D$2),"")</f>
        <v/>
      </c>
      <c r="H18" s="8">
        <f>IF(AND(ISNUMBER(D18),ISNUMBER(G18)),D18-G18,"")</f>
        <v/>
      </c>
      <c r="I18" s="8">
        <f>IFERROR(SQRT(SUMPRODUCT((Data!$A$2:$A$45&gt;=$D$2-30)*(Data!$A$2:$A$45&lt;$D$2)*ISNUMBER(Data!$O$2:$O$45),(Data!$O$2:$O$45-G18)^2)/(COUNTIFS(Data!$A$2:$A$45,"&gt;="&amp;$D$2-30,Data!$A$2:$A$45,"&lt;"&amp;$D$2,Data!$O$2:$O$45,"&lt;&gt;")-1)),"")</f>
        <v/>
      </c>
      <c r="J18" s="8">
        <f>IF(AND(ISNUMBER(H18),ISNUMBER(I18)),IF(I18&gt;0,H18/I18,""),"")</f>
        <v/>
      </c>
      <c r="K18" s="8">
        <f>IF(ISNUMBER(J18),IF(J18&gt;=1,"HIGH",IF(J18&lt;=-1,"LOW","")),"")</f>
        <v/>
      </c>
      <c r="L18" s="8">
        <f>IFERROR(_xlfn.MINIFS(Data!$O$2:$O$45,Data!$A$2:$A$45,"&gt;="&amp;$D$2-30,Data!$A$2:$A$45,"&lt;"&amp;$D$2),"")</f>
        <v/>
      </c>
      <c r="M18" s="8">
        <f>IFERROR(_xlfn.MAXIFS(Data!$O$2:$O$45,Data!$A$2:$A$45,"&gt;="&amp;$D$2-30,Data!$A$2:$A$45,"&lt;"&amp;$D$2),"")</f>
        <v/>
      </c>
      <c r="N18" s="8">
        <f>IFERROR(AVERAGEIFS(Data!$O$2:$O$45,Data!$A$2:$A$45,"&gt;="&amp;$D$2,Data!$A$2:$A$45,"&lt;="&amp;$D$2+13),"")</f>
        <v/>
      </c>
      <c r="O18" s="8">
        <f>IF(AND(ISNUMBER(N18),ISNUMBER(G18)),N18-G18,"")</f>
        <v/>
      </c>
      <c r="P18" s="9" t="inlineStr">
        <is>
          <t>composition; AESO solar forecast</t>
        </is>
      </c>
    </row>
    <row r="19">
      <c r="A19" s="2" t="inlineStr">
        <is>
          <t>Supply</t>
        </is>
      </c>
      <c r="B19" s="2" t="inlineStr">
        <is>
          <t>Cushion (internal dispatchable supply - net demand), tightest HE8-23</t>
        </is>
      </c>
      <c r="C19" s="2" t="inlineStr">
        <is>
          <t>MW</t>
        </is>
      </c>
      <c r="D19" s="7">
        <f>IFERROR(IF(INDEX(Data!$P$2:$P$45,MATCH($D$2,Data!$A$2:$A$45,0))="","",INDEX(Data!$P$2:$P$45,MATCH($D$2,Data!$A$2:$A$45,0))),"")</f>
        <v/>
      </c>
      <c r="E19" s="8">
        <f>IFERROR(AVERAGEIFS(Data!$P$2:$P$45,Data!$A$2:$A$45,"&gt;="&amp;$D$2-14,Data!$A$2:$A$45,"&lt;"&amp;$D$2),"")</f>
        <v/>
      </c>
      <c r="F19" s="8">
        <f>IF(AND(ISNUMBER(D19),ISNUMBER(E19)),D19-E19,"")</f>
        <v/>
      </c>
      <c r="G19" s="8">
        <f>IFERROR(AVERAGEIFS(Data!$P$2:$P$45,Data!$A$2:$A$45,"&gt;="&amp;$D$2-30,Data!$A$2:$A$45,"&lt;"&amp;$D$2),"")</f>
        <v/>
      </c>
      <c r="H19" s="8">
        <f>IF(AND(ISNUMBER(D19),ISNUMBER(G19)),D19-G19,"")</f>
        <v/>
      </c>
      <c r="I19" s="8">
        <f>IFERROR(SQRT(SUMPRODUCT((Data!$A$2:$A$45&gt;=$D$2-30)*(Data!$A$2:$A$45&lt;$D$2)*ISNUMBER(Data!$P$2:$P$45),(Data!$P$2:$P$45-G19)^2)/(COUNTIFS(Data!$A$2:$A$45,"&gt;="&amp;$D$2-30,Data!$A$2:$A$45,"&lt;"&amp;$D$2,Data!$P$2:$P$45,"&lt;&gt;")-1)),"")</f>
        <v/>
      </c>
      <c r="J19" s="8">
        <f>IF(AND(ISNUMBER(H19),ISNUMBER(I19)),IF(I19&gt;0,H19/I19,""),"")</f>
        <v/>
      </c>
      <c r="K19" s="8">
        <f>IF(ISNUMBER(J19),IF(J19&gt;=1,"HIGH",IF(J19&lt;=-1,"LOW","")),"")</f>
        <v/>
      </c>
      <c r="L19" s="8">
        <f>IFERROR(_xlfn.MINIFS(Data!$P$2:$P$45,Data!$A$2:$A$45,"&gt;="&amp;$D$2-30,Data!$A$2:$A$45,"&lt;"&amp;$D$2),"")</f>
        <v/>
      </c>
      <c r="M19" s="8">
        <f>IFERROR(_xlfn.MAXIFS(Data!$P$2:$P$45,Data!$A$2:$A$45,"&gt;="&amp;$D$2-30,Data!$A$2:$A$45,"&lt;"&amp;$D$2),"")</f>
        <v/>
      </c>
      <c r="N19" s="8">
        <f>IFERROR(AVERAGEIFS(Data!$P$2:$P$45,Data!$A$2:$A$45,"&gt;="&amp;$D$2,Data!$A$2:$A$45,"&lt;="&amp;$D$2+13),"")</f>
        <v/>
      </c>
      <c r="O19" s="8">
        <f>IF(AND(ISNUMBER(N19),ISNUMBER(G19)),N19-G19,"")</f>
        <v/>
      </c>
      <c r="P19" s="9" t="inlineStr">
        <is>
          <t>composition (history); gencap + AESO forecasts + 30-day mean imports (forward)</t>
        </is>
      </c>
    </row>
    <row r="20">
      <c r="A20" s="2" t="inlineStr">
        <is>
          <t>Supply</t>
        </is>
      </c>
      <c r="B20" s="2" t="inlineStr">
        <is>
          <t>Cushion, HE8-23 avg</t>
        </is>
      </c>
      <c r="C20" s="2" t="inlineStr">
        <is>
          <t>MW</t>
        </is>
      </c>
      <c r="D20" s="7">
        <f>IFERROR(IF(INDEX(Data!$Q$2:$Q$45,MATCH($D$2,Data!$A$2:$A$45,0))="","",INDEX(Data!$Q$2:$Q$45,MATCH($D$2,Data!$A$2:$A$45,0))),"")</f>
        <v/>
      </c>
      <c r="E20" s="8">
        <f>IFERROR(AVERAGEIFS(Data!$Q$2:$Q$45,Data!$A$2:$A$45,"&gt;="&amp;$D$2-14,Data!$A$2:$A$45,"&lt;"&amp;$D$2),"")</f>
        <v/>
      </c>
      <c r="F20" s="8">
        <f>IF(AND(ISNUMBER(D20),ISNUMBER(E20)),D20-E20,"")</f>
        <v/>
      </c>
      <c r="G20" s="8">
        <f>IFERROR(AVERAGEIFS(Data!$Q$2:$Q$45,Data!$A$2:$A$45,"&gt;="&amp;$D$2-30,Data!$A$2:$A$45,"&lt;"&amp;$D$2),"")</f>
        <v/>
      </c>
      <c r="H20" s="8">
        <f>IF(AND(ISNUMBER(D20),ISNUMBER(G20)),D20-G20,"")</f>
        <v/>
      </c>
      <c r="I20" s="8">
        <f>IFERROR(SQRT(SUMPRODUCT((Data!$A$2:$A$45&gt;=$D$2-30)*(Data!$A$2:$A$45&lt;$D$2)*ISNUMBER(Data!$Q$2:$Q$45),(Data!$Q$2:$Q$45-G20)^2)/(COUNTIFS(Data!$A$2:$A$45,"&gt;="&amp;$D$2-30,Data!$A$2:$A$45,"&lt;"&amp;$D$2,Data!$Q$2:$Q$45,"&lt;&gt;")-1)),"")</f>
        <v/>
      </c>
      <c r="J20" s="8">
        <f>IF(AND(ISNUMBER(H20),ISNUMBER(I20)),IF(I20&gt;0,H20/I20,""),"")</f>
        <v/>
      </c>
      <c r="K20" s="8">
        <f>IF(ISNUMBER(J20),IF(J20&gt;=1,"HIGH",IF(J20&lt;=-1,"LOW","")),"")</f>
        <v/>
      </c>
      <c r="L20" s="8">
        <f>IFERROR(_xlfn.MINIFS(Data!$Q$2:$Q$45,Data!$A$2:$A$45,"&gt;="&amp;$D$2-30,Data!$A$2:$A$45,"&lt;"&amp;$D$2),"")</f>
        <v/>
      </c>
      <c r="M20" s="8">
        <f>IFERROR(_xlfn.MAXIFS(Data!$Q$2:$Q$45,Data!$A$2:$A$45,"&gt;="&amp;$D$2-30,Data!$A$2:$A$45,"&lt;"&amp;$D$2),"")</f>
        <v/>
      </c>
      <c r="N20" s="8">
        <f>IFERROR(AVERAGEIFS(Data!$Q$2:$Q$45,Data!$A$2:$A$45,"&gt;="&amp;$D$2,Data!$A$2:$A$45,"&lt;="&amp;$D$2+13),"")</f>
        <v/>
      </c>
      <c r="O20" s="8">
        <f>IF(AND(ISNUMBER(N20),ISNUMBER(G20)),N20-G20,"")</f>
        <v/>
      </c>
      <c r="P20" s="9" t="inlineStr">
        <is>
          <t>same</t>
        </is>
      </c>
    </row>
    <row r="21">
      <c r="A21" s="2" t="inlineStr">
        <is>
          <t>Supply</t>
        </is>
      </c>
      <c r="B21" s="2" t="inlineStr">
        <is>
          <t>Thermal remaining (baseload gas spare before SC), tightest HE8-23</t>
        </is>
      </c>
      <c r="C21" s="2" t="inlineStr">
        <is>
          <t>MW</t>
        </is>
      </c>
      <c r="D21" s="7">
        <f>IFERROR(IF(INDEX(Data!$R$2:$R$45,MATCH($D$2,Data!$A$2:$A$45,0))="","",INDEX(Data!$R$2:$R$45,MATCH($D$2,Data!$A$2:$A$45,0))),"")</f>
        <v/>
      </c>
      <c r="E21" s="8">
        <f>IFERROR(AVERAGEIFS(Data!$R$2:$R$45,Data!$A$2:$A$45,"&gt;="&amp;$D$2-14,Data!$A$2:$A$45,"&lt;"&amp;$D$2),"")</f>
        <v/>
      </c>
      <c r="F21" s="8">
        <f>IF(AND(ISNUMBER(D21),ISNUMBER(E21)),D21-E21,"")</f>
        <v/>
      </c>
      <c r="G21" s="8">
        <f>IFERROR(AVERAGEIFS(Data!$R$2:$R$45,Data!$A$2:$A$45,"&gt;="&amp;$D$2-30,Data!$A$2:$A$45,"&lt;"&amp;$D$2),"")</f>
        <v/>
      </c>
      <c r="H21" s="8">
        <f>IF(AND(ISNUMBER(D21),ISNUMBER(G21)),D21-G21,"")</f>
        <v/>
      </c>
      <c r="I21" s="8">
        <f>IFERROR(SQRT(SUMPRODUCT((Data!$A$2:$A$45&gt;=$D$2-30)*(Data!$A$2:$A$45&lt;$D$2)*ISNUMBER(Data!$R$2:$R$45),(Data!$R$2:$R$45-G21)^2)/(COUNTIFS(Data!$A$2:$A$45,"&gt;="&amp;$D$2-30,Data!$A$2:$A$45,"&lt;"&amp;$D$2,Data!$R$2:$R$45,"&lt;&gt;")-1)),"")</f>
        <v/>
      </c>
      <c r="J21" s="8">
        <f>IF(AND(ISNUMBER(H21),ISNUMBER(I21)),IF(I21&gt;0,H21/I21,""),"")</f>
        <v/>
      </c>
      <c r="K21" s="8">
        <f>IF(ISNUMBER(J21),IF(J21&gt;=1,"HIGH",IF(J21&lt;=-1,"LOW","")),"")</f>
        <v/>
      </c>
      <c r="L21" s="8">
        <f>IFERROR(_xlfn.MINIFS(Data!$R$2:$R$45,Data!$A$2:$A$45,"&gt;="&amp;$D$2-30,Data!$A$2:$A$45,"&lt;"&amp;$D$2),"")</f>
        <v/>
      </c>
      <c r="M21" s="8">
        <f>IFERROR(_xlfn.MAXIFS(Data!$R$2:$R$45,Data!$A$2:$A$45,"&gt;="&amp;$D$2-30,Data!$A$2:$A$45,"&lt;"&amp;$D$2),"")</f>
        <v/>
      </c>
      <c r="N21" s="8">
        <f>IFERROR(AVERAGEIFS(Data!$R$2:$R$45,Data!$A$2:$A$45,"&gt;="&amp;$D$2,Data!$A$2:$A$45,"&lt;="&amp;$D$2+13),"")</f>
        <v/>
      </c>
      <c r="O21" s="8">
        <f>IF(AND(ISNUMBER(N21),ISNUMBER(G21)),N21-G21,"")</f>
        <v/>
      </c>
      <c r="P21" s="9" t="inlineStr">
        <is>
          <t>same</t>
        </is>
      </c>
    </row>
    <row r="22">
      <c r="A22" s="2" t="inlineStr">
        <is>
          <t>Interties</t>
        </is>
      </c>
      <c r="B22" s="2" t="inlineStr">
        <is>
          <t>Import ATC, all paths, daily avg</t>
        </is>
      </c>
      <c r="C22" s="2" t="inlineStr">
        <is>
          <t>MW</t>
        </is>
      </c>
      <c r="D22" s="7">
        <f>IFERROR(IF(INDEX(Data!$S$2:$S$45,MATCH($D$2,Data!$A$2:$A$45,0))="","",INDEX(Data!$S$2:$S$45,MATCH($D$2,Data!$A$2:$A$45,0))),"")</f>
        <v/>
      </c>
      <c r="E22" s="8">
        <f>IFERROR(AVERAGEIFS(Data!$S$2:$S$45,Data!$A$2:$A$45,"&gt;="&amp;$D$2-14,Data!$A$2:$A$45,"&lt;"&amp;$D$2),"")</f>
        <v/>
      </c>
      <c r="F22" s="8">
        <f>IF(AND(ISNUMBER(D22),ISNUMBER(E22)),D22-E22,"")</f>
        <v/>
      </c>
      <c r="G22" s="8">
        <f>IFERROR(AVERAGEIFS(Data!$S$2:$S$45,Data!$A$2:$A$45,"&gt;="&amp;$D$2-30,Data!$A$2:$A$45,"&lt;"&amp;$D$2),"")</f>
        <v/>
      </c>
      <c r="H22" s="8">
        <f>IF(AND(ISNUMBER(D22),ISNUMBER(G22)),D22-G22,"")</f>
        <v/>
      </c>
      <c r="I22" s="8">
        <f>IFERROR(SQRT(SUMPRODUCT((Data!$A$2:$A$45&gt;=$D$2-30)*(Data!$A$2:$A$45&lt;$D$2)*ISNUMBER(Data!$S$2:$S$45),(Data!$S$2:$S$45-G22)^2)/(COUNTIFS(Data!$A$2:$A$45,"&gt;="&amp;$D$2-30,Data!$A$2:$A$45,"&lt;"&amp;$D$2,Data!$S$2:$S$45,"&lt;&gt;")-1)),"")</f>
        <v/>
      </c>
      <c r="J22" s="8">
        <f>IF(AND(ISNUMBER(H22),ISNUMBER(I22)),IF(I22&gt;0,H22/I22,""),"")</f>
        <v/>
      </c>
      <c r="K22" s="8">
        <f>IF(ISNUMBER(J22),IF(J22&gt;=1,"HIGH",IF(J22&lt;=-1,"LOW","")),"")</f>
        <v/>
      </c>
      <c r="L22" s="8">
        <f>IFERROR(_xlfn.MINIFS(Data!$S$2:$S$45,Data!$A$2:$A$45,"&gt;="&amp;$D$2-30,Data!$A$2:$A$45,"&lt;"&amp;$D$2),"")</f>
        <v/>
      </c>
      <c r="M22" s="8">
        <f>IFERROR(_xlfn.MAXIFS(Data!$S$2:$S$45,Data!$A$2:$A$45,"&gt;="&amp;$D$2-30,Data!$A$2:$A$45,"&lt;"&amp;$D$2),"")</f>
        <v/>
      </c>
      <c r="N22" s="8">
        <f>IFERROR(AVERAGEIFS(Data!$S$2:$S$45,Data!$A$2:$A$45,"&gt;="&amp;$D$2,Data!$A$2:$A$45,"&lt;="&amp;$D$2+13),"")</f>
        <v/>
      </c>
      <c r="O22" s="8">
        <f>IF(AND(ISNUMBER(N22),ISNUMBER(G22)),N22-G22,"")</f>
        <v/>
      </c>
      <c r="P22" s="9" t="inlineStr">
        <is>
          <t>AESO ITC</t>
        </is>
      </c>
    </row>
    <row r="23">
      <c r="A23" s="2" t="inlineStr">
        <is>
          <t>Interties</t>
        </is>
      </c>
      <c r="B23" s="2" t="inlineStr">
        <is>
          <t>Net imports actual scheduled, daily avg</t>
        </is>
      </c>
      <c r="C23" s="2" t="inlineStr">
        <is>
          <t>MW</t>
        </is>
      </c>
      <c r="D23" s="7">
        <f>IFERROR(IF(INDEX(Data!$T$2:$T$45,MATCH($D$2,Data!$A$2:$A$45,0))="","",INDEX(Data!$T$2:$T$45,MATCH($D$2,Data!$A$2:$A$45,0))),"")</f>
        <v/>
      </c>
      <c r="E23" s="8">
        <f>IFERROR(AVERAGEIFS(Data!$T$2:$T$45,Data!$A$2:$A$45,"&gt;="&amp;$D$2-14,Data!$A$2:$A$45,"&lt;"&amp;$D$2),"")</f>
        <v/>
      </c>
      <c r="F23" s="8">
        <f>IF(AND(ISNUMBER(D23),ISNUMBER(E23)),D23-E23,"")</f>
        <v/>
      </c>
      <c r="G23" s="8">
        <f>IFERROR(AVERAGEIFS(Data!$T$2:$T$45,Data!$A$2:$A$45,"&gt;="&amp;$D$2-30,Data!$A$2:$A$45,"&lt;"&amp;$D$2),"")</f>
        <v/>
      </c>
      <c r="H23" s="8">
        <f>IF(AND(ISNUMBER(D23),ISNUMBER(G23)),D23-G23,"")</f>
        <v/>
      </c>
      <c r="I23" s="8">
        <f>IFERROR(SQRT(SUMPRODUCT((Data!$A$2:$A$45&gt;=$D$2-30)*(Data!$A$2:$A$45&lt;$D$2)*ISNUMBER(Data!$T$2:$T$45),(Data!$T$2:$T$45-G23)^2)/(COUNTIFS(Data!$A$2:$A$45,"&gt;="&amp;$D$2-30,Data!$A$2:$A$45,"&lt;"&amp;$D$2,Data!$T$2:$T$45,"&lt;&gt;")-1)),"")</f>
        <v/>
      </c>
      <c r="J23" s="8">
        <f>IF(AND(ISNUMBER(H23),ISNUMBER(I23)),IF(I23&gt;0,H23/I23,""),"")</f>
        <v/>
      </c>
      <c r="K23" s="8">
        <f>IF(ISNUMBER(J23),IF(J23&gt;=1,"HIGH",IF(J23&lt;=-1,"LOW","")),"")</f>
        <v/>
      </c>
      <c r="L23" s="8">
        <f>IFERROR(_xlfn.MINIFS(Data!$T$2:$T$45,Data!$A$2:$A$45,"&gt;="&amp;$D$2-30,Data!$A$2:$A$45,"&lt;"&amp;$D$2),"")</f>
        <v/>
      </c>
      <c r="M23" s="8">
        <f>IFERROR(_xlfn.MAXIFS(Data!$T$2:$T$45,Data!$A$2:$A$45,"&gt;="&amp;$D$2-30,Data!$A$2:$A$45,"&lt;"&amp;$D$2),"")</f>
        <v/>
      </c>
      <c r="N23" s="8">
        <f>IFERROR(AVERAGEIFS(Data!$T$2:$T$45,Data!$A$2:$A$45,"&gt;="&amp;$D$2,Data!$A$2:$A$45,"&lt;="&amp;$D$2+13),"")</f>
        <v/>
      </c>
      <c r="O23" s="8">
        <f>IF(AND(ISNUMBER(N23),ISNUMBER(G23)),N23-G23,"")</f>
        <v/>
      </c>
      <c r="P23" s="9" t="inlineStr">
        <is>
          <t>composition</t>
        </is>
      </c>
    </row>
    <row r="24">
      <c r="A24" s="2" t="inlineStr">
        <is>
          <t>Neighbours</t>
        </is>
      </c>
      <c r="B24" s="2" t="inlineStr">
        <is>
          <t>Mid-C daily price</t>
        </is>
      </c>
      <c r="C24" s="2" t="inlineStr">
        <is>
          <t>USD/MWh</t>
        </is>
      </c>
      <c r="D24" s="7">
        <f>IFERROR(IF(INDEX(Data!$U$2:$U$45,MATCH($D$2,Data!$A$2:$A$45,0))="","",INDEX(Data!$U$2:$U$45,MATCH($D$2,Data!$A$2:$A$45,0))),"")</f>
        <v/>
      </c>
      <c r="E24" s="8">
        <f>IFERROR(AVERAGEIFS(Data!$U$2:$U$45,Data!$A$2:$A$45,"&gt;="&amp;$D$2-14,Data!$A$2:$A$45,"&lt;"&amp;$D$2),"")</f>
        <v/>
      </c>
      <c r="F24" s="8">
        <f>IF(AND(ISNUMBER(D24),ISNUMBER(E24)),D24-E24,"")</f>
        <v/>
      </c>
      <c r="G24" s="8">
        <f>IFERROR(AVERAGEIFS(Data!$U$2:$U$45,Data!$A$2:$A$45,"&gt;="&amp;$D$2-30,Data!$A$2:$A$45,"&lt;"&amp;$D$2),"")</f>
        <v/>
      </c>
      <c r="H24" s="8">
        <f>IF(AND(ISNUMBER(D24),ISNUMBER(G24)),D24-G24,"")</f>
        <v/>
      </c>
      <c r="I24" s="8">
        <f>IFERROR(SQRT(SUMPRODUCT((Data!$A$2:$A$45&gt;=$D$2-30)*(Data!$A$2:$A$45&lt;$D$2)*ISNUMBER(Data!$U$2:$U$45),(Data!$U$2:$U$45-G24)^2)/(COUNTIFS(Data!$A$2:$A$45,"&gt;="&amp;$D$2-30,Data!$A$2:$A$45,"&lt;"&amp;$D$2,Data!$U$2:$U$45,"&lt;&gt;")-1)),"")</f>
        <v/>
      </c>
      <c r="J24" s="8">
        <f>IF(AND(ISNUMBER(H24),ISNUMBER(I24)),IF(I24&gt;0,H24/I24,""),"")</f>
        <v/>
      </c>
      <c r="K24" s="8">
        <f>IF(ISNUMBER(J24),IF(J24&gt;=1,"HIGH",IF(J24&lt;=-1,"LOW","")),"")</f>
        <v/>
      </c>
      <c r="L24" s="8">
        <f>IFERROR(_xlfn.MINIFS(Data!$U$2:$U$45,Data!$A$2:$A$45,"&gt;="&amp;$D$2-30,Data!$A$2:$A$45,"&lt;"&amp;$D$2),"")</f>
        <v/>
      </c>
      <c r="M24" s="8">
        <f>IFERROR(_xlfn.MAXIFS(Data!$U$2:$U$45,Data!$A$2:$A$45,"&gt;="&amp;$D$2-30,Data!$A$2:$A$45,"&lt;"&amp;$D$2),"")</f>
        <v/>
      </c>
      <c r="N24" s="8">
        <f>IFERROR(AVERAGEIFS(Data!$U$2:$U$45,Data!$A$2:$A$45,"&gt;="&amp;$D$2,Data!$A$2:$A$45,"&lt;="&amp;$D$2+13),"")</f>
        <v/>
      </c>
      <c r="O24" s="8">
        <f>IF(AND(ISNUMBER(N24),ISNUMBER(G24)),N24-G24,"")</f>
        <v/>
      </c>
      <c r="P24" s="9" t="inlineStr">
        <is>
          <t>forward curve file</t>
        </is>
      </c>
    </row>
    <row r="25">
      <c r="A25" s="2" t="inlineStr">
        <is>
          <t>Neighbours</t>
        </is>
      </c>
      <c r="B25" s="2" t="inlineStr">
        <is>
          <t>AB-NIT gas, daily</t>
        </is>
      </c>
      <c r="C25" s="2" t="inlineStr">
        <is>
          <t>$/GJ</t>
        </is>
      </c>
      <c r="D25" s="7">
        <f>IFERROR(IF(INDEX(Data!$V$2:$V$45,MATCH($D$2,Data!$A$2:$A$45,0))="","",INDEX(Data!$V$2:$V$45,MATCH($D$2,Data!$A$2:$A$45,0))),"")</f>
        <v/>
      </c>
      <c r="E25" s="8">
        <f>IFERROR(AVERAGEIFS(Data!$V$2:$V$45,Data!$A$2:$A$45,"&gt;="&amp;$D$2-14,Data!$A$2:$A$45,"&lt;"&amp;$D$2),"")</f>
        <v/>
      </c>
      <c r="F25" s="8">
        <f>IF(AND(ISNUMBER(D25),ISNUMBER(E25)),D25-E25,"")</f>
        <v/>
      </c>
      <c r="G25" s="8">
        <f>IFERROR(AVERAGEIFS(Data!$V$2:$V$45,Data!$A$2:$A$45,"&gt;="&amp;$D$2-30,Data!$A$2:$A$45,"&lt;"&amp;$D$2),"")</f>
        <v/>
      </c>
      <c r="H25" s="8">
        <f>IF(AND(ISNUMBER(D25),ISNUMBER(G25)),D25-G25,"")</f>
        <v/>
      </c>
      <c r="I25" s="8">
        <f>IFERROR(SQRT(SUMPRODUCT((Data!$A$2:$A$45&gt;=$D$2-30)*(Data!$A$2:$A$45&lt;$D$2)*ISNUMBER(Data!$V$2:$V$45),(Data!$V$2:$V$45-G25)^2)/(COUNTIFS(Data!$A$2:$A$45,"&gt;="&amp;$D$2-30,Data!$A$2:$A$45,"&lt;"&amp;$D$2,Data!$V$2:$V$45,"&lt;&gt;")-1)),"")</f>
        <v/>
      </c>
      <c r="J25" s="8">
        <f>IF(AND(ISNUMBER(H25),ISNUMBER(I25)),IF(I25&gt;0,H25/I25,""),"")</f>
        <v/>
      </c>
      <c r="K25" s="8">
        <f>IF(ISNUMBER(J25),IF(J25&gt;=1,"HIGH",IF(J25&lt;=-1,"LOW","")),"")</f>
        <v/>
      </c>
      <c r="L25" s="8">
        <f>IFERROR(_xlfn.MINIFS(Data!$V$2:$V$45,Data!$A$2:$A$45,"&gt;="&amp;$D$2-30,Data!$A$2:$A$45,"&lt;"&amp;$D$2),"")</f>
        <v/>
      </c>
      <c r="M25" s="8">
        <f>IFERROR(_xlfn.MAXIFS(Data!$V$2:$V$45,Data!$A$2:$A$45,"&gt;="&amp;$D$2-30,Data!$A$2:$A$45,"&lt;"&amp;$D$2),"")</f>
        <v/>
      </c>
      <c r="N25" s="8">
        <f>IFERROR(AVERAGEIFS(Data!$V$2:$V$45,Data!$A$2:$A$45,"&gt;="&amp;$D$2,Data!$A$2:$A$45,"&lt;="&amp;$D$2+13),"")</f>
        <v/>
      </c>
      <c r="O25" s="8">
        <f>IF(AND(ISNUMBER(N25),ISNUMBER(G25)),N25-G25,"")</f>
        <v/>
      </c>
      <c r="P25" s="9" t="inlineStr">
        <is>
          <t>forward curve file</t>
        </is>
      </c>
    </row>
    <row r="26">
      <c r="A26" s="2" t="inlineStr">
        <is>
          <t>Prices</t>
        </is>
      </c>
      <c r="B26" s="2" t="inlineStr">
        <is>
          <t>Pool price, 7x24 avg</t>
        </is>
      </c>
      <c r="C26" s="2" t="inlineStr">
        <is>
          <t>$/MWh</t>
        </is>
      </c>
      <c r="D26" s="7">
        <f>IFERROR(IF(INDEX(Data!$W$2:$W$45,MATCH($D$2,Data!$A$2:$A$45,0))="","",INDEX(Data!$W$2:$W$45,MATCH($D$2,Data!$A$2:$A$45,0))),"")</f>
        <v/>
      </c>
      <c r="E26" s="8">
        <f>IFERROR(AVERAGEIFS(Data!$W$2:$W$45,Data!$A$2:$A$45,"&gt;="&amp;$D$2-14,Data!$A$2:$A$45,"&lt;"&amp;$D$2),"")</f>
        <v/>
      </c>
      <c r="F26" s="8">
        <f>IF(AND(ISNUMBER(D26),ISNUMBER(E26)),D26-E26,"")</f>
        <v/>
      </c>
      <c r="G26" s="8">
        <f>IFERROR(AVERAGEIFS(Data!$W$2:$W$45,Data!$A$2:$A$45,"&gt;="&amp;$D$2-30,Data!$A$2:$A$45,"&lt;"&amp;$D$2),"")</f>
        <v/>
      </c>
      <c r="H26" s="8">
        <f>IF(AND(ISNUMBER(D26),ISNUMBER(G26)),D26-G26,"")</f>
        <v/>
      </c>
      <c r="I26" s="8">
        <f>IFERROR(SQRT(SUMPRODUCT((Data!$A$2:$A$45&gt;=$D$2-30)*(Data!$A$2:$A$45&lt;$D$2)*ISNUMBER(Data!$W$2:$W$45),(Data!$W$2:$W$45-G26)^2)/(COUNTIFS(Data!$A$2:$A$45,"&gt;="&amp;$D$2-30,Data!$A$2:$A$45,"&lt;"&amp;$D$2,Data!$W$2:$W$45,"&lt;&gt;")-1)),"")</f>
        <v/>
      </c>
      <c r="J26" s="8">
        <f>IF(AND(ISNUMBER(H26),ISNUMBER(I26)),IF(I26&gt;0,H26/I26,""),"")</f>
        <v/>
      </c>
      <c r="K26" s="8">
        <f>IF(ISNUMBER(J26),IF(J26&gt;=1,"HIGH",IF(J26&lt;=-1,"LOW","")),"")</f>
        <v/>
      </c>
      <c r="L26" s="8">
        <f>IFERROR(_xlfn.MINIFS(Data!$W$2:$W$45,Data!$A$2:$A$45,"&gt;="&amp;$D$2-30,Data!$A$2:$A$45,"&lt;"&amp;$D$2),"")</f>
        <v/>
      </c>
      <c r="M26" s="8">
        <f>IFERROR(_xlfn.MAXIFS(Data!$W$2:$W$45,Data!$A$2:$A$45,"&gt;="&amp;$D$2-30,Data!$A$2:$A$45,"&lt;"&amp;$D$2),"")</f>
        <v/>
      </c>
      <c r="N26" s="8">
        <f>IFERROR(AVERAGEIFS(Data!$W$2:$W$45,Data!$A$2:$A$45,"&gt;="&amp;$D$2,Data!$A$2:$A$45,"&lt;="&amp;$D$2+13),"")</f>
        <v/>
      </c>
      <c r="O26" s="8">
        <f>IF(AND(ISNUMBER(N26),ISNUMBER(G26)),N26-G26,"")</f>
        <v/>
      </c>
      <c r="P26" s="9" t="inlineStr">
        <is>
          <t>AESO</t>
        </is>
      </c>
    </row>
    <row r="27">
      <c r="A27" s="2" t="inlineStr">
        <is>
          <t>Prices</t>
        </is>
      </c>
      <c r="B27" s="2" t="inlineStr">
        <is>
          <t>Pool price, HE8-23 avg</t>
        </is>
      </c>
      <c r="C27" s="2" t="inlineStr">
        <is>
          <t>$/MWh</t>
        </is>
      </c>
      <c r="D27" s="7">
        <f>IFERROR(IF(INDEX(Data!$X$2:$X$45,MATCH($D$2,Data!$A$2:$A$45,0))="","",INDEX(Data!$X$2:$X$45,MATCH($D$2,Data!$A$2:$A$45,0))),"")</f>
        <v/>
      </c>
      <c r="E27" s="8">
        <f>IFERROR(AVERAGEIFS(Data!$X$2:$X$45,Data!$A$2:$A$45,"&gt;="&amp;$D$2-14,Data!$A$2:$A$45,"&lt;"&amp;$D$2),"")</f>
        <v/>
      </c>
      <c r="F27" s="8">
        <f>IF(AND(ISNUMBER(D27),ISNUMBER(E27)),D27-E27,"")</f>
        <v/>
      </c>
      <c r="G27" s="8">
        <f>IFERROR(AVERAGEIFS(Data!$X$2:$X$45,Data!$A$2:$A$45,"&gt;="&amp;$D$2-30,Data!$A$2:$A$45,"&lt;"&amp;$D$2),"")</f>
        <v/>
      </c>
      <c r="H27" s="8">
        <f>IF(AND(ISNUMBER(D27),ISNUMBER(G27)),D27-G27,"")</f>
        <v/>
      </c>
      <c r="I27" s="8">
        <f>IFERROR(SQRT(SUMPRODUCT((Data!$A$2:$A$45&gt;=$D$2-30)*(Data!$A$2:$A$45&lt;$D$2)*ISNUMBER(Data!$X$2:$X$45),(Data!$X$2:$X$45-G27)^2)/(COUNTIFS(Data!$A$2:$A$45,"&gt;="&amp;$D$2-30,Data!$A$2:$A$45,"&lt;"&amp;$D$2,Data!$X$2:$X$45,"&lt;&gt;")-1)),"")</f>
        <v/>
      </c>
      <c r="J27" s="8">
        <f>IF(AND(ISNUMBER(H27),ISNUMBER(I27)),IF(I27&gt;0,H27/I27,""),"")</f>
        <v/>
      </c>
      <c r="K27" s="8">
        <f>IF(ISNUMBER(J27),IF(J27&gt;=1,"HIGH",IF(J27&lt;=-1,"LOW","")),"")</f>
        <v/>
      </c>
      <c r="L27" s="8">
        <f>IFERROR(_xlfn.MINIFS(Data!$X$2:$X$45,Data!$A$2:$A$45,"&gt;="&amp;$D$2-30,Data!$A$2:$A$45,"&lt;"&amp;$D$2),"")</f>
        <v/>
      </c>
      <c r="M27" s="8">
        <f>IFERROR(_xlfn.MAXIFS(Data!$X$2:$X$45,Data!$A$2:$A$45,"&gt;="&amp;$D$2-30,Data!$A$2:$A$45,"&lt;"&amp;$D$2),"")</f>
        <v/>
      </c>
      <c r="N27" s="8">
        <f>IFERROR(AVERAGEIFS(Data!$X$2:$X$45,Data!$A$2:$A$45,"&gt;="&amp;$D$2,Data!$A$2:$A$45,"&lt;="&amp;$D$2+13),"")</f>
        <v/>
      </c>
      <c r="O27" s="8">
        <f>IF(AND(ISNUMBER(N27),ISNUMBER(G27)),N27-G27,"")</f>
        <v/>
      </c>
      <c r="P27" s="9" t="inlineStr">
        <is>
          <t>AESO</t>
        </is>
      </c>
    </row>
    <row r="28">
      <c r="A28" s="2" t="inlineStr">
        <is>
          <t>Prices</t>
        </is>
      </c>
      <c r="B28" s="2" t="inlineStr">
        <is>
          <t>Pool price, worst hour</t>
        </is>
      </c>
      <c r="C28" s="2" t="inlineStr">
        <is>
          <t>$/MWh</t>
        </is>
      </c>
      <c r="D28" s="7">
        <f>IFERROR(IF(INDEX(Data!$Y$2:$Y$45,MATCH($D$2,Data!$A$2:$A$45,0))="","",INDEX(Data!$Y$2:$Y$45,MATCH($D$2,Data!$A$2:$A$45,0))),"")</f>
        <v/>
      </c>
      <c r="E28" s="8">
        <f>IFERROR(AVERAGEIFS(Data!$Y$2:$Y$45,Data!$A$2:$A$45,"&gt;="&amp;$D$2-14,Data!$A$2:$A$45,"&lt;"&amp;$D$2),"")</f>
        <v/>
      </c>
      <c r="F28" s="8">
        <f>IF(AND(ISNUMBER(D28),ISNUMBER(E28)),D28-E28,"")</f>
        <v/>
      </c>
      <c r="G28" s="8">
        <f>IFERROR(AVERAGEIFS(Data!$Y$2:$Y$45,Data!$A$2:$A$45,"&gt;="&amp;$D$2-30,Data!$A$2:$A$45,"&lt;"&amp;$D$2),"")</f>
        <v/>
      </c>
      <c r="H28" s="8">
        <f>IF(AND(ISNUMBER(D28),ISNUMBER(G28)),D28-G28,"")</f>
        <v/>
      </c>
      <c r="I28" s="8">
        <f>IFERROR(SQRT(SUMPRODUCT((Data!$A$2:$A$45&gt;=$D$2-30)*(Data!$A$2:$A$45&lt;$D$2)*ISNUMBER(Data!$Y$2:$Y$45),(Data!$Y$2:$Y$45-G28)^2)/(COUNTIFS(Data!$A$2:$A$45,"&gt;="&amp;$D$2-30,Data!$A$2:$A$45,"&lt;"&amp;$D$2,Data!$Y$2:$Y$45,"&lt;&gt;")-1)),"")</f>
        <v/>
      </c>
      <c r="J28" s="8">
        <f>IF(AND(ISNUMBER(H28),ISNUMBER(I28)),IF(I28&gt;0,H28/I28,""),"")</f>
        <v/>
      </c>
      <c r="K28" s="8">
        <f>IF(ISNUMBER(J28),IF(J28&gt;=1,"HIGH",IF(J28&lt;=-1,"LOW","")),"")</f>
        <v/>
      </c>
      <c r="L28" s="8">
        <f>IFERROR(_xlfn.MINIFS(Data!$Y$2:$Y$45,Data!$A$2:$A$45,"&gt;="&amp;$D$2-30,Data!$A$2:$A$45,"&lt;"&amp;$D$2),"")</f>
        <v/>
      </c>
      <c r="M28" s="8">
        <f>IFERROR(_xlfn.MAXIFS(Data!$Y$2:$Y$45,Data!$A$2:$A$45,"&gt;="&amp;$D$2-30,Data!$A$2:$A$45,"&lt;"&amp;$D$2),"")</f>
        <v/>
      </c>
      <c r="N28" s="8">
        <f>IFERROR(AVERAGEIFS(Data!$Y$2:$Y$45,Data!$A$2:$A$45,"&gt;="&amp;$D$2,Data!$A$2:$A$45,"&lt;="&amp;$D$2+13),"")</f>
        <v/>
      </c>
      <c r="O28" s="8">
        <f>IF(AND(ISNUMBER(N28),ISNUMBER(G28)),N28-G28,"")</f>
        <v/>
      </c>
      <c r="P28" s="9" t="inlineStr">
        <is>
          <t>AESO</t>
        </is>
      </c>
    </row>
    <row r="29">
      <c r="A29" s="2" t="inlineStr">
        <is>
          <t>Prices</t>
        </is>
      </c>
      <c r="B29" s="2" t="inlineStr">
        <is>
          <t>Hours over $100</t>
        </is>
      </c>
      <c r="C29" s="2" t="inlineStr">
        <is>
          <t>hours</t>
        </is>
      </c>
      <c r="D29" s="7">
        <f>IFERROR(IF(INDEX(Data!$Z$2:$Z$45,MATCH($D$2,Data!$A$2:$A$45,0))="","",INDEX(Data!$Z$2:$Z$45,MATCH($D$2,Data!$A$2:$A$45,0))),"")</f>
        <v/>
      </c>
      <c r="E29" s="8">
        <f>IFERROR(AVERAGEIFS(Data!$Z$2:$Z$45,Data!$A$2:$A$45,"&gt;="&amp;$D$2-14,Data!$A$2:$A$45,"&lt;"&amp;$D$2),"")</f>
        <v/>
      </c>
      <c r="F29" s="8">
        <f>IF(AND(ISNUMBER(D29),ISNUMBER(E29)),D29-E29,"")</f>
        <v/>
      </c>
      <c r="G29" s="8">
        <f>IFERROR(AVERAGEIFS(Data!$Z$2:$Z$45,Data!$A$2:$A$45,"&gt;="&amp;$D$2-30,Data!$A$2:$A$45,"&lt;"&amp;$D$2),"")</f>
        <v/>
      </c>
      <c r="H29" s="8">
        <f>IF(AND(ISNUMBER(D29),ISNUMBER(G29)),D29-G29,"")</f>
        <v/>
      </c>
      <c r="I29" s="8">
        <f>IFERROR(SQRT(SUMPRODUCT((Data!$A$2:$A$45&gt;=$D$2-30)*(Data!$A$2:$A$45&lt;$D$2)*ISNUMBER(Data!$Z$2:$Z$45),(Data!$Z$2:$Z$45-G29)^2)/(COUNTIFS(Data!$A$2:$A$45,"&gt;="&amp;$D$2-30,Data!$A$2:$A$45,"&lt;"&amp;$D$2,Data!$Z$2:$Z$45,"&lt;&gt;")-1)),"")</f>
        <v/>
      </c>
      <c r="J29" s="8">
        <f>IF(AND(ISNUMBER(H29),ISNUMBER(I29)),IF(I29&gt;0,H29/I29,""),"")</f>
        <v/>
      </c>
      <c r="K29" s="8">
        <f>IF(ISNUMBER(J29),IF(J29&gt;=1,"HIGH",IF(J29&lt;=-1,"LOW","")),"")</f>
        <v/>
      </c>
      <c r="L29" s="8">
        <f>IFERROR(_xlfn.MINIFS(Data!$Z$2:$Z$45,Data!$A$2:$A$45,"&gt;="&amp;$D$2-30,Data!$A$2:$A$45,"&lt;"&amp;$D$2),"")</f>
        <v/>
      </c>
      <c r="M29" s="8">
        <f>IFERROR(_xlfn.MAXIFS(Data!$Z$2:$Z$45,Data!$A$2:$A$45,"&gt;="&amp;$D$2-30,Data!$A$2:$A$45,"&lt;"&amp;$D$2),"")</f>
        <v/>
      </c>
      <c r="N29" s="8">
        <f>IFERROR(AVERAGEIFS(Data!$Z$2:$Z$45,Data!$A$2:$A$45,"&gt;="&amp;$D$2,Data!$A$2:$A$45,"&lt;="&amp;$D$2+13),"")</f>
        <v/>
      </c>
      <c r="O29" s="8">
        <f>IF(AND(ISNUMBER(N29),ISNUMBER(G29)),N29-G29,"")</f>
        <v/>
      </c>
      <c r="P29" s="9" t="inlineStr">
        <is>
          <t>AESO</t>
        </is>
      </c>
    </row>
    <row r="30">
      <c r="A30" s="2" t="inlineStr">
        <is>
          <t>Prices</t>
        </is>
      </c>
      <c r="B30" s="2" t="inlineStr">
        <is>
          <t>Day-ahead forward, peak (XDQ), last settle before delivery</t>
        </is>
      </c>
      <c r="C30" s="2" t="inlineStr">
        <is>
          <t>$/MWh</t>
        </is>
      </c>
      <c r="D30" s="7">
        <f>IFERROR(IF(INDEX(Data!$AA$2:$AA$45,MATCH($D$2,Data!$A$2:$A$45,0))="","",INDEX(Data!$AA$2:$AA$45,MATCH($D$2,Data!$A$2:$A$45,0))),"")</f>
        <v/>
      </c>
      <c r="E30" s="8">
        <f>IFERROR(AVERAGEIFS(Data!$AA$2:$AA$45,Data!$A$2:$A$45,"&gt;="&amp;$D$2-14,Data!$A$2:$A$45,"&lt;"&amp;$D$2),"")</f>
        <v/>
      </c>
      <c r="F30" s="8">
        <f>IF(AND(ISNUMBER(D30),ISNUMBER(E30)),D30-E30,"")</f>
        <v/>
      </c>
      <c r="G30" s="8">
        <f>IFERROR(AVERAGEIFS(Data!$AA$2:$AA$45,Data!$A$2:$A$45,"&gt;="&amp;$D$2-30,Data!$A$2:$A$45,"&lt;"&amp;$D$2),"")</f>
        <v/>
      </c>
      <c r="H30" s="8">
        <f>IF(AND(ISNUMBER(D30),ISNUMBER(G30)),D30-G30,"")</f>
        <v/>
      </c>
      <c r="I30" s="8">
        <f>IFERROR(SQRT(SUMPRODUCT((Data!$A$2:$A$45&gt;=$D$2-30)*(Data!$A$2:$A$45&lt;$D$2)*ISNUMBER(Data!$AA$2:$AA$45),(Data!$AA$2:$AA$45-G30)^2)/(COUNTIFS(Data!$A$2:$A$45,"&gt;="&amp;$D$2-30,Data!$A$2:$A$45,"&lt;"&amp;$D$2,Data!$AA$2:$AA$45,"&lt;&gt;")-1)),"")</f>
        <v/>
      </c>
      <c r="J30" s="8">
        <f>IF(AND(ISNUMBER(H30),ISNUMBER(I30)),IF(I30&gt;0,H30/I30,""),"")</f>
        <v/>
      </c>
      <c r="K30" s="8">
        <f>IF(ISNUMBER(J30),IF(J30&gt;=1,"HIGH",IF(J30&lt;=-1,"LOW","")),"")</f>
        <v/>
      </c>
      <c r="L30" s="8">
        <f>IFERROR(_xlfn.MINIFS(Data!$AA$2:$AA$45,Data!$A$2:$A$45,"&gt;="&amp;$D$2-30,Data!$A$2:$A$45,"&lt;"&amp;$D$2),"")</f>
        <v/>
      </c>
      <c r="M30" s="8">
        <f>IFERROR(_xlfn.MAXIFS(Data!$AA$2:$AA$45,Data!$A$2:$A$45,"&gt;="&amp;$D$2-30,Data!$A$2:$A$45,"&lt;"&amp;$D$2),"")</f>
        <v/>
      </c>
      <c r="N30" s="8">
        <f>IFERROR(AVERAGEIFS(Data!$AA$2:$AA$45,Data!$A$2:$A$45,"&gt;="&amp;$D$2,Data!$A$2:$A$45,"&lt;="&amp;$D$2+13),"")</f>
        <v/>
      </c>
      <c r="O30" s="8">
        <f>IF(AND(ISNUMBER(N30),ISNUMBER(G30)),N30-G30,"")</f>
        <v/>
      </c>
      <c r="P30" s="9" t="inlineStr">
        <is>
          <t>forward curve file</t>
        </is>
      </c>
    </row>
    <row r="31">
      <c r="A31" s="2" t="inlineStr">
        <is>
          <t>Prices</t>
        </is>
      </c>
      <c r="B31" s="2" t="inlineStr">
        <is>
          <t>Day-ahead forward, flat (XDT), last settle before delivery</t>
        </is>
      </c>
      <c r="C31" s="2" t="inlineStr">
        <is>
          <t>$/MWh</t>
        </is>
      </c>
      <c r="D31" s="7">
        <f>IFERROR(IF(INDEX(Data!$AB$2:$AB$45,MATCH($D$2,Data!$A$2:$A$45,0))="","",INDEX(Data!$AB$2:$AB$45,MATCH($D$2,Data!$A$2:$A$45,0))),"")</f>
        <v/>
      </c>
      <c r="E31" s="8">
        <f>IFERROR(AVERAGEIFS(Data!$AB$2:$AB$45,Data!$A$2:$A$45,"&gt;="&amp;$D$2-14,Data!$A$2:$A$45,"&lt;"&amp;$D$2),"")</f>
        <v/>
      </c>
      <c r="F31" s="8">
        <f>IF(AND(ISNUMBER(D31),ISNUMBER(E31)),D31-E31,"")</f>
        <v/>
      </c>
      <c r="G31" s="8">
        <f>IFERROR(AVERAGEIFS(Data!$AB$2:$AB$45,Data!$A$2:$A$45,"&gt;="&amp;$D$2-30,Data!$A$2:$A$45,"&lt;"&amp;$D$2),"")</f>
        <v/>
      </c>
      <c r="H31" s="8">
        <f>IF(AND(ISNUMBER(D31),ISNUMBER(G31)),D31-G31,"")</f>
        <v/>
      </c>
      <c r="I31" s="8">
        <f>IFERROR(SQRT(SUMPRODUCT((Data!$A$2:$A$45&gt;=$D$2-30)*(Data!$A$2:$A$45&lt;$D$2)*ISNUMBER(Data!$AB$2:$AB$45),(Data!$AB$2:$AB$45-G31)^2)/(COUNTIFS(Data!$A$2:$A$45,"&gt;="&amp;$D$2-30,Data!$A$2:$A$45,"&lt;"&amp;$D$2,Data!$AB$2:$AB$45,"&lt;&gt;")-1)),"")</f>
        <v/>
      </c>
      <c r="J31" s="8">
        <f>IF(AND(ISNUMBER(H31),ISNUMBER(I31)),IF(I31&gt;0,H31/I31,""),"")</f>
        <v/>
      </c>
      <c r="K31" s="8">
        <f>IF(ISNUMBER(J31),IF(J31&gt;=1,"HIGH",IF(J31&lt;=-1,"LOW","")),"")</f>
        <v/>
      </c>
      <c r="L31" s="8">
        <f>IFERROR(_xlfn.MINIFS(Data!$AB$2:$AB$45,Data!$A$2:$A$45,"&gt;="&amp;$D$2-30,Data!$A$2:$A$45,"&lt;"&amp;$D$2),"")</f>
        <v/>
      </c>
      <c r="M31" s="8">
        <f>IFERROR(_xlfn.MAXIFS(Data!$AB$2:$AB$45,Data!$A$2:$A$45,"&gt;="&amp;$D$2-30,Data!$A$2:$A$45,"&lt;"&amp;$D$2),"")</f>
        <v/>
      </c>
      <c r="N31" s="8">
        <f>IFERROR(AVERAGEIFS(Data!$AB$2:$AB$45,Data!$A$2:$A$45,"&gt;="&amp;$D$2,Data!$A$2:$A$45,"&lt;="&amp;$D$2+13),"")</f>
        <v/>
      </c>
      <c r="O31" s="8">
        <f>IF(AND(ISNUMBER(N31),ISNUMBER(G31)),N31-G31,"")</f>
        <v/>
      </c>
      <c r="P31" s="9" t="inlineStr">
        <is>
          <t>forward curve file</t>
        </is>
      </c>
    </row>
    <row r="32">
      <c r="A32" s="2" t="inlineStr">
        <is>
          <t>Prices</t>
        </is>
      </c>
      <c r="B32" s="2" t="inlineStr">
        <is>
          <t>Peak settle - day-ahead forward (+ = buys won)</t>
        </is>
      </c>
      <c r="C32" s="2" t="inlineStr">
        <is>
          <t>$/MWh</t>
        </is>
      </c>
      <c r="D32" s="7">
        <f>IFERROR(IF(INDEX(Data!$AC$2:$AC$45,MATCH($D$2,Data!$A$2:$A$45,0))="","",INDEX(Data!$AC$2:$AC$45,MATCH($D$2,Data!$A$2:$A$45,0))),"")</f>
        <v/>
      </c>
      <c r="E32" s="8">
        <f>IFERROR(AVERAGEIFS(Data!$AC$2:$AC$45,Data!$A$2:$A$45,"&gt;="&amp;$D$2-14,Data!$A$2:$A$45,"&lt;"&amp;$D$2),"")</f>
        <v/>
      </c>
      <c r="F32" s="8">
        <f>IF(AND(ISNUMBER(D32),ISNUMBER(E32)),D32-E32,"")</f>
        <v/>
      </c>
      <c r="G32" s="8">
        <f>IFERROR(AVERAGEIFS(Data!$AC$2:$AC$45,Data!$A$2:$A$45,"&gt;="&amp;$D$2-30,Data!$A$2:$A$45,"&lt;"&amp;$D$2),"")</f>
        <v/>
      </c>
      <c r="H32" s="8">
        <f>IF(AND(ISNUMBER(D32),ISNUMBER(G32)),D32-G32,"")</f>
        <v/>
      </c>
      <c r="I32" s="8">
        <f>IFERROR(SQRT(SUMPRODUCT((Data!$A$2:$A$45&gt;=$D$2-30)*(Data!$A$2:$A$45&lt;$D$2)*ISNUMBER(Data!$AC$2:$AC$45),(Data!$AC$2:$AC$45-G32)^2)/(COUNTIFS(Data!$A$2:$A$45,"&gt;="&amp;$D$2-30,Data!$A$2:$A$45,"&lt;"&amp;$D$2,Data!$AC$2:$AC$45,"&lt;&gt;")-1)),"")</f>
        <v/>
      </c>
      <c r="J32" s="8">
        <f>IF(AND(ISNUMBER(H32),ISNUMBER(I32)),IF(I32&gt;0,H32/I32,""),"")</f>
        <v/>
      </c>
      <c r="K32" s="8">
        <f>IF(ISNUMBER(J32),IF(J32&gt;=1,"HIGH",IF(J32&lt;=-1,"LOW","")),"")</f>
        <v/>
      </c>
      <c r="L32" s="8">
        <f>IFERROR(_xlfn.MINIFS(Data!$AC$2:$AC$45,Data!$A$2:$A$45,"&gt;="&amp;$D$2-30,Data!$A$2:$A$45,"&lt;"&amp;$D$2),"")</f>
        <v/>
      </c>
      <c r="M32" s="8">
        <f>IFERROR(_xlfn.MAXIFS(Data!$AC$2:$AC$45,Data!$A$2:$A$45,"&gt;="&amp;$D$2-30,Data!$A$2:$A$45,"&lt;"&amp;$D$2),"")</f>
        <v/>
      </c>
      <c r="N32" s="8">
        <f>IFERROR(AVERAGEIFS(Data!$AC$2:$AC$45,Data!$A$2:$A$45,"&gt;="&amp;$D$2,Data!$A$2:$A$45,"&lt;="&amp;$D$2+13),"")</f>
        <v/>
      </c>
      <c r="O32" s="8">
        <f>IF(AND(ISNUMBER(N32),ISNUMBER(G32)),N32-G32,"")</f>
        <v/>
      </c>
      <c r="P32" s="9" t="inlineStr">
        <is>
          <t>derived</t>
        </is>
      </c>
    </row>
    <row r="33">
      <c r="A33" s="2" t="inlineStr">
        <is>
          <t>Weather</t>
        </is>
      </c>
      <c r="B33" s="2" t="inlineStr">
        <is>
          <t>Max temperature, province avg (Calgary / Edmonton / Pincher)</t>
        </is>
      </c>
      <c r="C33" s="2" t="inlineStr">
        <is>
          <t>deg C</t>
        </is>
      </c>
      <c r="D33" s="7">
        <f>IFERROR(IF(INDEX(Data!$AD$2:$AD$45,MATCH($D$2,Data!$A$2:$A$45,0))="","",INDEX(Data!$AD$2:$AD$45,MATCH($D$2,Data!$A$2:$A$45,0))),"")</f>
        <v/>
      </c>
      <c r="E33" s="8">
        <f>IFERROR(AVERAGEIFS(Data!$AD$2:$AD$45,Data!$A$2:$A$45,"&gt;="&amp;$D$2-14,Data!$A$2:$A$45,"&lt;"&amp;$D$2),"")</f>
        <v/>
      </c>
      <c r="F33" s="8">
        <f>IF(AND(ISNUMBER(D33),ISNUMBER(E33)),D33-E33,"")</f>
        <v/>
      </c>
      <c r="G33" s="8">
        <f>IFERROR(AVERAGEIFS(Data!$AD$2:$AD$45,Data!$A$2:$A$45,"&gt;="&amp;$D$2-30,Data!$A$2:$A$45,"&lt;"&amp;$D$2),"")</f>
        <v/>
      </c>
      <c r="H33" s="8">
        <f>IF(AND(ISNUMBER(D33),ISNUMBER(G33)),D33-G33,"")</f>
        <v/>
      </c>
      <c r="I33" s="8">
        <f>IFERROR(SQRT(SUMPRODUCT((Data!$A$2:$A$45&gt;=$D$2-30)*(Data!$A$2:$A$45&lt;$D$2)*ISNUMBER(Data!$AD$2:$AD$45),(Data!$AD$2:$AD$45-G33)^2)/(COUNTIFS(Data!$A$2:$A$45,"&gt;="&amp;$D$2-30,Data!$A$2:$A$45,"&lt;"&amp;$D$2,Data!$AD$2:$AD$45,"&lt;&gt;")-1)),"")</f>
        <v/>
      </c>
      <c r="J33" s="8">
        <f>IF(AND(ISNUMBER(H33),ISNUMBER(I33)),IF(I33&gt;0,H33/I33,""),"")</f>
        <v/>
      </c>
      <c r="K33" s="8">
        <f>IF(ISNUMBER(J33),IF(J33&gt;=1,"HIGH",IF(J33&lt;=-1,"LOW","")),"")</f>
        <v/>
      </c>
      <c r="L33" s="8">
        <f>IFERROR(_xlfn.MINIFS(Data!$AD$2:$AD$45,Data!$A$2:$A$45,"&gt;="&amp;$D$2-30,Data!$A$2:$A$45,"&lt;"&amp;$D$2),"")</f>
        <v/>
      </c>
      <c r="M33" s="8">
        <f>IFERROR(_xlfn.MAXIFS(Data!$AD$2:$AD$45,Data!$A$2:$A$45,"&gt;="&amp;$D$2-30,Data!$A$2:$A$45,"&lt;"&amp;$D$2),"")</f>
        <v/>
      </c>
      <c r="N33" s="8">
        <f>IFERROR(AVERAGEIFS(Data!$AD$2:$AD$45,Data!$A$2:$A$45,"&gt;="&amp;$D$2,Data!$A$2:$A$45,"&lt;="&amp;$D$2+13),"")</f>
        <v/>
      </c>
      <c r="O33" s="8">
        <f>IF(AND(ISNUMBER(N33),ISNUMBER(G33)),N33-G33,"")</f>
        <v/>
      </c>
      <c r="P33" s="9" t="inlineStr">
        <is>
          <t>Open-Meteo</t>
        </is>
      </c>
    </row>
    <row r="34">
      <c r="A34" s="2" t="inlineStr">
        <is>
          <t>Weather</t>
        </is>
      </c>
      <c r="B34" s="2" t="inlineStr">
        <is>
          <t>Mean temperature, province avg</t>
        </is>
      </c>
      <c r="C34" s="2" t="inlineStr">
        <is>
          <t>deg C</t>
        </is>
      </c>
      <c r="D34" s="7">
        <f>IFERROR(IF(INDEX(Data!$AE$2:$AE$45,MATCH($D$2,Data!$A$2:$A$45,0))="","",INDEX(Data!$AE$2:$AE$45,MATCH($D$2,Data!$A$2:$A$45,0))),"")</f>
        <v/>
      </c>
      <c r="E34" s="8">
        <f>IFERROR(AVERAGEIFS(Data!$AE$2:$AE$45,Data!$A$2:$A$45,"&gt;="&amp;$D$2-14,Data!$A$2:$A$45,"&lt;"&amp;$D$2),"")</f>
        <v/>
      </c>
      <c r="F34" s="8">
        <f>IF(AND(ISNUMBER(D34),ISNUMBER(E34)),D34-E34,"")</f>
        <v/>
      </c>
      <c r="G34" s="8">
        <f>IFERROR(AVERAGEIFS(Data!$AE$2:$AE$45,Data!$A$2:$A$45,"&gt;="&amp;$D$2-30,Data!$A$2:$A$45,"&lt;"&amp;$D$2),"")</f>
        <v/>
      </c>
      <c r="H34" s="8">
        <f>IF(AND(ISNUMBER(D34),ISNUMBER(G34)),D34-G34,"")</f>
        <v/>
      </c>
      <c r="I34" s="8">
        <f>IFERROR(SQRT(SUMPRODUCT((Data!$A$2:$A$45&gt;=$D$2-30)*(Data!$A$2:$A$45&lt;$D$2)*ISNUMBER(Data!$AE$2:$AE$45),(Data!$AE$2:$AE$45-G34)^2)/(COUNTIFS(Data!$A$2:$A$45,"&gt;="&amp;$D$2-30,Data!$A$2:$A$45,"&lt;"&amp;$D$2,Data!$AE$2:$AE$45,"&lt;&gt;")-1)),"")</f>
        <v/>
      </c>
      <c r="J34" s="8">
        <f>IF(AND(ISNUMBER(H34),ISNUMBER(I34)),IF(I34&gt;0,H34/I34,""),"")</f>
        <v/>
      </c>
      <c r="K34" s="8">
        <f>IF(ISNUMBER(J34),IF(J34&gt;=1,"HIGH",IF(J34&lt;=-1,"LOW","")),"")</f>
        <v/>
      </c>
      <c r="L34" s="8">
        <f>IFERROR(_xlfn.MINIFS(Data!$AE$2:$AE$45,Data!$A$2:$A$45,"&gt;="&amp;$D$2-30,Data!$A$2:$A$45,"&lt;"&amp;$D$2),"")</f>
        <v/>
      </c>
      <c r="M34" s="8">
        <f>IFERROR(_xlfn.MAXIFS(Data!$AE$2:$AE$45,Data!$A$2:$A$45,"&gt;="&amp;$D$2-30,Data!$A$2:$A$45,"&lt;"&amp;$D$2),"")</f>
        <v/>
      </c>
      <c r="N34" s="8">
        <f>IFERROR(AVERAGEIFS(Data!$AE$2:$AE$45,Data!$A$2:$A$45,"&gt;="&amp;$D$2,Data!$A$2:$A$45,"&lt;="&amp;$D$2+13),"")</f>
        <v/>
      </c>
      <c r="O34" s="8">
        <f>IF(AND(ISNUMBER(N34),ISNUMBER(G34)),N34-G34,"")</f>
        <v/>
      </c>
      <c r="P34" s="9" t="inlineStr">
        <is>
          <t>Open-Meteo</t>
        </is>
      </c>
    </row>
    <row r="35">
      <c r="A35" s="2" t="inlineStr">
        <is>
          <t>Weather</t>
        </is>
      </c>
      <c r="B35" s="2" t="inlineStr">
        <is>
          <t>Wind at 100 m, province avg, HE8-23</t>
        </is>
      </c>
      <c r="C35" s="2" t="inlineStr">
        <is>
          <t>km/h</t>
        </is>
      </c>
      <c r="D35" s="7">
        <f>IFERROR(IF(INDEX(Data!$AF$2:$AF$45,MATCH($D$2,Data!$A$2:$A$45,0))="","",INDEX(Data!$AF$2:$AF$45,MATCH($D$2,Data!$A$2:$A$45,0))),"")</f>
        <v/>
      </c>
      <c r="E35" s="8">
        <f>IFERROR(AVERAGEIFS(Data!$AF$2:$AF$45,Data!$A$2:$A$45,"&gt;="&amp;$D$2-14,Data!$A$2:$A$45,"&lt;"&amp;$D$2),"")</f>
        <v/>
      </c>
      <c r="F35" s="8">
        <f>IF(AND(ISNUMBER(D35),ISNUMBER(E35)),D35-E35,"")</f>
        <v/>
      </c>
      <c r="G35" s="8">
        <f>IFERROR(AVERAGEIFS(Data!$AF$2:$AF$45,Data!$A$2:$A$45,"&gt;="&amp;$D$2-30,Data!$A$2:$A$45,"&lt;"&amp;$D$2),"")</f>
        <v/>
      </c>
      <c r="H35" s="8">
        <f>IF(AND(ISNUMBER(D35),ISNUMBER(G35)),D35-G35,"")</f>
        <v/>
      </c>
      <c r="I35" s="8">
        <f>IFERROR(SQRT(SUMPRODUCT((Data!$A$2:$A$45&gt;=$D$2-30)*(Data!$A$2:$A$45&lt;$D$2)*ISNUMBER(Data!$AF$2:$AF$45),(Data!$AF$2:$AF$45-G35)^2)/(COUNTIFS(Data!$A$2:$A$45,"&gt;="&amp;$D$2-30,Data!$A$2:$A$45,"&lt;"&amp;$D$2,Data!$AF$2:$AF$45,"&lt;&gt;")-1)),"")</f>
        <v/>
      </c>
      <c r="J35" s="8">
        <f>IF(AND(ISNUMBER(H35),ISNUMBER(I35)),IF(I35&gt;0,H35/I35,""),"")</f>
        <v/>
      </c>
      <c r="K35" s="8">
        <f>IF(ISNUMBER(J35),IF(J35&gt;=1,"HIGH",IF(J35&lt;=-1,"LOW","")),"")</f>
        <v/>
      </c>
      <c r="L35" s="8">
        <f>IFERROR(_xlfn.MINIFS(Data!$AF$2:$AF$45,Data!$A$2:$A$45,"&gt;="&amp;$D$2-30,Data!$A$2:$A$45,"&lt;"&amp;$D$2),"")</f>
        <v/>
      </c>
      <c r="M35" s="8">
        <f>IFERROR(_xlfn.MAXIFS(Data!$AF$2:$AF$45,Data!$A$2:$A$45,"&gt;="&amp;$D$2-30,Data!$A$2:$A$45,"&lt;"&amp;$D$2),"")</f>
        <v/>
      </c>
      <c r="N35" s="8">
        <f>IFERROR(AVERAGEIFS(Data!$AF$2:$AF$45,Data!$A$2:$A$45,"&gt;="&amp;$D$2,Data!$A$2:$A$45,"&lt;="&amp;$D$2+13),"")</f>
        <v/>
      </c>
      <c r="O35" s="8">
        <f>IF(AND(ISNUMBER(N35),ISNUMBER(G35)),N35-G35,"")</f>
        <v/>
      </c>
      <c r="P35" s="9" t="inlineStr">
        <is>
          <t>Open-Meteo</t>
        </is>
      </c>
    </row>
    <row r="36">
      <c r="A36" s="2" t="inlineStr">
        <is>
          <t>Weather</t>
        </is>
      </c>
      <c r="B36" s="2" t="inlineStr">
        <is>
          <t>Solar radiation, 11:00-16:00 avg</t>
        </is>
      </c>
      <c r="C36" s="2" t="inlineStr">
        <is>
          <t>W/m2</t>
        </is>
      </c>
      <c r="D36" s="7">
        <f>IFERROR(IF(INDEX(Data!$AG$2:$AG$45,MATCH($D$2,Data!$A$2:$A$45,0))="","",INDEX(Data!$AG$2:$AG$45,MATCH($D$2,Data!$A$2:$A$45,0))),"")</f>
        <v/>
      </c>
      <c r="E36" s="8">
        <f>IFERROR(AVERAGEIFS(Data!$AG$2:$AG$45,Data!$A$2:$A$45,"&gt;="&amp;$D$2-14,Data!$A$2:$A$45,"&lt;"&amp;$D$2),"")</f>
        <v/>
      </c>
      <c r="F36" s="8">
        <f>IF(AND(ISNUMBER(D36),ISNUMBER(E36)),D36-E36,"")</f>
        <v/>
      </c>
      <c r="G36" s="8">
        <f>IFERROR(AVERAGEIFS(Data!$AG$2:$AG$45,Data!$A$2:$A$45,"&gt;="&amp;$D$2-30,Data!$A$2:$A$45,"&lt;"&amp;$D$2),"")</f>
        <v/>
      </c>
      <c r="H36" s="8">
        <f>IF(AND(ISNUMBER(D36),ISNUMBER(G36)),D36-G36,"")</f>
        <v/>
      </c>
      <c r="I36" s="8">
        <f>IFERROR(SQRT(SUMPRODUCT((Data!$A$2:$A$45&gt;=$D$2-30)*(Data!$A$2:$A$45&lt;$D$2)*ISNUMBER(Data!$AG$2:$AG$45),(Data!$AG$2:$AG$45-G36)^2)/(COUNTIFS(Data!$A$2:$A$45,"&gt;="&amp;$D$2-30,Data!$A$2:$A$45,"&lt;"&amp;$D$2,Data!$AG$2:$AG$45,"&lt;&gt;")-1)),"")</f>
        <v/>
      </c>
      <c r="J36" s="8">
        <f>IF(AND(ISNUMBER(H36),ISNUMBER(I36)),IF(I36&gt;0,H36/I36,""),"")</f>
        <v/>
      </c>
      <c r="K36" s="8">
        <f>IF(ISNUMBER(J36),IF(J36&gt;=1,"HIGH",IF(J36&lt;=-1,"LOW","")),"")</f>
        <v/>
      </c>
      <c r="L36" s="8">
        <f>IFERROR(_xlfn.MINIFS(Data!$AG$2:$AG$45,Data!$A$2:$A$45,"&gt;="&amp;$D$2-30,Data!$A$2:$A$45,"&lt;"&amp;$D$2),"")</f>
        <v/>
      </c>
      <c r="M36" s="8">
        <f>IFERROR(_xlfn.MAXIFS(Data!$AG$2:$AG$45,Data!$A$2:$A$45,"&gt;="&amp;$D$2-30,Data!$A$2:$A$45,"&lt;"&amp;$D$2),"")</f>
        <v/>
      </c>
      <c r="N36" s="8">
        <f>IFERROR(AVERAGEIFS(Data!$AG$2:$AG$45,Data!$A$2:$A$45,"&gt;="&amp;$D$2,Data!$A$2:$A$45,"&lt;="&amp;$D$2+13),"")</f>
        <v/>
      </c>
      <c r="O36" s="8">
        <f>IF(AND(ISNUMBER(N36),ISNUMBER(G36)),N36-G36,"")</f>
        <v/>
      </c>
      <c r="P36" s="9" t="inlineStr">
        <is>
          <t>Open-Meteo</t>
        </is>
      </c>
    </row>
    <row r="37">
      <c r="A37" s="2" t="inlineStr">
        <is>
          <t>Weather</t>
        </is>
      </c>
      <c r="B37" s="2" t="inlineStr">
        <is>
          <t>Cloud cover, 11:00-16:00 avg</t>
        </is>
      </c>
      <c r="C37" s="2" t="inlineStr">
        <is>
          <t>%</t>
        </is>
      </c>
      <c r="D37" s="7">
        <f>IFERROR(IF(INDEX(Data!$AH$2:$AH$45,MATCH($D$2,Data!$A$2:$A$45,0))="","",INDEX(Data!$AH$2:$AH$45,MATCH($D$2,Data!$A$2:$A$45,0))),"")</f>
        <v/>
      </c>
      <c r="E37" s="8">
        <f>IFERROR(AVERAGEIFS(Data!$AH$2:$AH$45,Data!$A$2:$A$45,"&gt;="&amp;$D$2-14,Data!$A$2:$A$45,"&lt;"&amp;$D$2),"")</f>
        <v/>
      </c>
      <c r="F37" s="8">
        <f>IF(AND(ISNUMBER(D37),ISNUMBER(E37)),D37-E37,"")</f>
        <v/>
      </c>
      <c r="G37" s="8">
        <f>IFERROR(AVERAGEIFS(Data!$AH$2:$AH$45,Data!$A$2:$A$45,"&gt;="&amp;$D$2-30,Data!$A$2:$A$45,"&lt;"&amp;$D$2),"")</f>
        <v/>
      </c>
      <c r="H37" s="8">
        <f>IF(AND(ISNUMBER(D37),ISNUMBER(G37)),D37-G37,"")</f>
        <v/>
      </c>
      <c r="I37" s="8">
        <f>IFERROR(SQRT(SUMPRODUCT((Data!$A$2:$A$45&gt;=$D$2-30)*(Data!$A$2:$A$45&lt;$D$2)*ISNUMBER(Data!$AH$2:$AH$45),(Data!$AH$2:$AH$45-G37)^2)/(COUNTIFS(Data!$A$2:$A$45,"&gt;="&amp;$D$2-30,Data!$A$2:$A$45,"&lt;"&amp;$D$2,Data!$AH$2:$AH$45,"&lt;&gt;")-1)),"")</f>
        <v/>
      </c>
      <c r="J37" s="8">
        <f>IF(AND(ISNUMBER(H37),ISNUMBER(I37)),IF(I37&gt;0,H37/I37,""),"")</f>
        <v/>
      </c>
      <c r="K37" s="8">
        <f>IF(ISNUMBER(J37),IF(J37&gt;=1,"HIGH",IF(J37&lt;=-1,"LOW","")),"")</f>
        <v/>
      </c>
      <c r="L37" s="8">
        <f>IFERROR(_xlfn.MINIFS(Data!$AH$2:$AH$45,Data!$A$2:$A$45,"&gt;="&amp;$D$2-30,Data!$A$2:$A$45,"&lt;"&amp;$D$2),"")</f>
        <v/>
      </c>
      <c r="M37" s="8">
        <f>IFERROR(_xlfn.MAXIFS(Data!$AH$2:$AH$45,Data!$A$2:$A$45,"&gt;="&amp;$D$2-30,Data!$A$2:$A$45,"&lt;"&amp;$D$2),"")</f>
        <v/>
      </c>
      <c r="N37" s="8">
        <f>IFERROR(AVERAGEIFS(Data!$AH$2:$AH$45,Data!$A$2:$A$45,"&gt;="&amp;$D$2,Data!$A$2:$A$45,"&lt;="&amp;$D$2+13),"")</f>
        <v/>
      </c>
      <c r="O37" s="8">
        <f>IF(AND(ISNUMBER(N37),ISNUMBER(G37)),N37-G37,"")</f>
        <v/>
      </c>
      <c r="P37" s="9" t="inlineStr">
        <is>
          <t>Open-Meteo</t>
        </is>
      </c>
    </row>
    <row r="38">
      <c r="A38" s="2" t="inlineStr">
        <is>
          <t>Reference</t>
        </is>
      </c>
      <c r="B38" s="2" t="inlineStr">
        <is>
          <t>Tight line: cushion below this = spike zone</t>
        </is>
      </c>
      <c r="C38" s="2" t="inlineStr">
        <is>
          <t>MW</t>
        </is>
      </c>
      <c r="D38" s="7">
        <f>IFERROR(IF(INDEX(Data!$AI$2:$AI$45,MATCH($D$2,Data!$A$2:$A$45,0))="","",INDEX(Data!$AI$2:$AI$45,MATCH($D$2,Data!$A$2:$A$45,0))),"")</f>
        <v/>
      </c>
      <c r="E38" s="8">
        <f>IFERROR(AVERAGEIFS(Data!$AI$2:$AI$45,Data!$A$2:$A$45,"&gt;="&amp;$D$2-14,Data!$A$2:$A$45,"&lt;"&amp;$D$2),"")</f>
        <v/>
      </c>
      <c r="F38" s="8">
        <f>IF(AND(ISNUMBER(D38),ISNUMBER(E38)),D38-E38,"")</f>
        <v/>
      </c>
      <c r="G38" s="8">
        <f>IFERROR(AVERAGEIFS(Data!$AI$2:$AI$45,Data!$A$2:$A$45,"&gt;="&amp;$D$2-30,Data!$A$2:$A$45,"&lt;"&amp;$D$2),"")</f>
        <v/>
      </c>
      <c r="H38" s="8">
        <f>IF(AND(ISNUMBER(D38),ISNUMBER(G38)),D38-G38,"")</f>
        <v/>
      </c>
      <c r="I38" s="8">
        <f>IFERROR(SQRT(SUMPRODUCT((Data!$A$2:$A$45&gt;=$D$2-30)*(Data!$A$2:$A$45&lt;$D$2)*ISNUMBER(Data!$AI$2:$AI$45),(Data!$AI$2:$AI$45-G38)^2)/(COUNTIFS(Data!$A$2:$A$45,"&gt;="&amp;$D$2-30,Data!$A$2:$A$45,"&lt;"&amp;$D$2,Data!$AI$2:$AI$45,"&lt;&gt;")-1)),"")</f>
        <v/>
      </c>
      <c r="J38" s="8">
        <f>IF(AND(ISNUMBER(H38),ISNUMBER(I38)),IF(I38&gt;0,H38/I38,""),"")</f>
        <v/>
      </c>
      <c r="K38" s="8">
        <f>IF(ISNUMBER(J38),IF(J38&gt;=1,"HIGH",IF(J38&lt;=-1,"LOW","")),"")</f>
        <v/>
      </c>
      <c r="L38" s="8">
        <f>IFERROR(_xlfn.MINIFS(Data!$AI$2:$AI$45,Data!$A$2:$A$45,"&gt;="&amp;$D$2-30,Data!$A$2:$A$45,"&lt;"&amp;$D$2),"")</f>
        <v/>
      </c>
      <c r="M38" s="8">
        <f>IFERROR(_xlfn.MAXIFS(Data!$AI$2:$AI$45,Data!$A$2:$A$45,"&gt;="&amp;$D$2-30,Data!$A$2:$A$45,"&lt;"&amp;$D$2),"")</f>
        <v/>
      </c>
      <c r="N38" s="8">
        <f>IFERROR(AVERAGEIFS(Data!$AI$2:$AI$45,Data!$A$2:$A$45,"&gt;="&amp;$D$2,Data!$A$2:$A$45,"&lt;="&amp;$D$2+13),"")</f>
        <v/>
      </c>
      <c r="O38" s="8">
        <f>IF(AND(ISNUMBER(N38),ISNUMBER(G38)),N38-G38,"")</f>
        <v/>
      </c>
      <c r="P38" s="9" t="inlineStr">
        <is>
          <t>model</t>
        </is>
      </c>
    </row>
  </sheetData>
  <conditionalFormatting sqref="K6:K38">
    <cfRule type="cellIs" priority="1" operator="equal" dxfId="0">
      <formula>"HIGH"</formula>
    </cfRule>
    <cfRule type="cellIs" priority="2" operator="equal" dxfId="1">
      <formula>"LOW"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selection activeCell="A1" sqref="A1"/>
    </sheetView>
  </sheetViews>
  <sheetFormatPr baseColWidth="8" defaultRowHeight="15"/>
  <cols>
    <col width="44" customWidth="1" min="1" max="1"/>
    <col width="9" customWidth="1" min="2" max="2"/>
    <col width="9" customWidth="1" min="3" max="3"/>
    <col width="9" customWidth="1" min="4" max="4"/>
    <col width="11" customWidth="1" min="5" max="5"/>
    <col width="9" customWidth="1" min="6" max="6"/>
    <col width="9" customWidth="1" min="7" max="7"/>
    <col width="11" customWidth="1" min="8" max="8"/>
    <col width="11" customWidth="1" min="9" max="9"/>
    <col width="12" customWidth="1" min="10" max="10"/>
    <col width="12" customWidth="1" min="11" max="11"/>
    <col width="11" customWidth="1" min="12" max="12"/>
    <col width="11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2" customWidth="1" min="19" max="19"/>
    <col width="9" customWidth="1" min="20" max="20"/>
    <col width="10" customWidth="1" min="21" max="21"/>
    <col width="11" customWidth="1" min="22" max="22"/>
    <col width="11" customWidth="1" min="23" max="23"/>
  </cols>
  <sheetData>
    <row r="1">
      <c r="A1" s="1" t="inlineStr">
        <is>
          <t>Scenario for 2026-09-30: change the yellow inputs; the cushion, thermal remaining, the price forecast and the score move hour by hour</t>
        </is>
      </c>
    </row>
    <row r="2">
      <c r="A2" s="4" t="inlineStr">
        <is>
          <t>Cushion = gas + SC + bio + wind + solar - (load - net imports). Price moves by a log-linear response to cushion fitted per time block on the last 120 days. Score: 5 tight (cushion below the tight line), 4 watch, 3 neutral, 1 long. A scenario, not a forecast.</t>
        </is>
      </c>
    </row>
    <row r="3">
      <c r="S3" s="3" t="inlineStr">
        <is>
          <t>Result</t>
        </is>
      </c>
      <c r="V3" s="4" t="inlineStr">
        <is>
          <t>Base</t>
        </is>
      </c>
      <c r="W3" s="4" t="inlineStr">
        <is>
          <t>Scenario</t>
        </is>
      </c>
    </row>
    <row r="4">
      <c r="A4" s="2" t="inlineStr">
        <is>
          <t>Load change (MW, + = more load)</t>
        </is>
      </c>
      <c r="D4" s="10" t="n">
        <v>0</v>
      </c>
      <c r="E4" s="9" t="inlineStr">
        <is>
          <t>e.g. +400 for a colder day than AESO assumes</t>
        </is>
      </c>
      <c r="H4" s="3" t="inlineStr">
        <is>
          <t>Score thresholds (cushion, MW)</t>
        </is>
      </c>
      <c r="S4" s="4" t="inlineStr">
        <is>
          <t>Tightest cushion HE8-23</t>
        </is>
      </c>
      <c r="V4" s="11">
        <f>MIN(H23:H38)</f>
        <v/>
      </c>
      <c r="W4" s="11">
        <f>MIN(I23:I38)</f>
        <v/>
      </c>
    </row>
    <row r="5">
      <c r="A5" s="2" t="inlineStr">
        <is>
          <t>Wind change (% of forecast, - = less wind)</t>
        </is>
      </c>
      <c r="D5" s="10" t="n">
        <v>0</v>
      </c>
      <c r="E5" s="9" t="inlineStr">
        <is>
          <t>e.g. -50 for a calm evening</t>
        </is>
      </c>
      <c r="H5" s="4" t="inlineStr">
        <is>
          <t>Tight (score 5): cushion below</t>
        </is>
      </c>
      <c r="K5" s="10" t="n">
        <v>1200</v>
      </c>
      <c r="S5" s="4" t="inlineStr">
        <is>
          <t>Tightest thermal remaining HE8-23</t>
        </is>
      </c>
      <c r="V5" s="11">
        <f>MIN(J23:J38)</f>
        <v/>
      </c>
      <c r="W5" s="11">
        <f>MIN(K23:K38)</f>
        <v/>
      </c>
    </row>
    <row r="6">
      <c r="A6" s="2" t="inlineStr">
        <is>
          <t>Solar change (% of forecast)</t>
        </is>
      </c>
      <c r="D6" s="10" t="n">
        <v>0</v>
      </c>
      <c r="E6" s="9" t="inlineStr"/>
      <c r="H6" s="4" t="inlineStr">
        <is>
          <t>Watch (score 4): cushion below</t>
        </is>
      </c>
      <c r="K6" s="10" t="n">
        <v>1800</v>
      </c>
      <c r="S6" s="4" t="inlineStr">
        <is>
          <t>Price forecast, HE8-23 avg</t>
        </is>
      </c>
      <c r="V6" s="11">
        <f>AVERAGE(L23:L38)</f>
        <v/>
      </c>
      <c r="W6" s="11">
        <f>AVERAGE(M23:M38)</f>
        <v/>
      </c>
    </row>
    <row r="7">
      <c r="A7" s="2" t="inlineStr">
        <is>
          <t>Baseload gas available change (MW, - = outage / trip)</t>
        </is>
      </c>
      <c r="D7" s="10" t="n">
        <v>0</v>
      </c>
      <c r="E7" s="9" t="inlineStr">
        <is>
          <t>e.g. -400 for a CC unit tripping</t>
        </is>
      </c>
      <c r="H7" s="4" t="inlineStr">
        <is>
          <t>Long (score 1): cushion above</t>
        </is>
      </c>
      <c r="K7" s="10" t="n">
        <v>2500</v>
      </c>
      <c r="S7" s="4" t="inlineStr">
        <is>
          <t>Price forecast, worst hour</t>
        </is>
      </c>
      <c r="V7" s="11">
        <f>MAX(L16:L39)</f>
        <v/>
      </c>
      <c r="W7" s="11">
        <f>MAX(M16:M39)</f>
        <v/>
      </c>
    </row>
    <row r="8">
      <c r="A8" s="2" t="inlineStr">
        <is>
          <t>Simple cycle available change (MW)</t>
        </is>
      </c>
      <c r="D8" s="10" t="n">
        <v>0</v>
      </c>
      <c r="E8" s="9" t="inlineStr"/>
      <c r="S8" s="4" t="inlineStr">
        <is>
          <t>Tight hours (score 5)</t>
        </is>
      </c>
      <c r="V8" s="11">
        <f>COUNTIF(N16:N39,5)</f>
        <v/>
      </c>
      <c r="W8" s="11">
        <f>COUNTIF(O16:O39,5)</f>
        <v/>
      </c>
    </row>
    <row r="9">
      <c r="A9" s="2" t="inlineStr">
        <is>
          <t>Net imports change (MW, + = more imports)</t>
        </is>
      </c>
      <c r="D9" s="10" t="n">
        <v>0</v>
      </c>
      <c r="E9" s="9" t="inlineStr">
        <is>
          <t>e.g. -300 if BC stops sending</t>
        </is>
      </c>
      <c r="S9" s="4" t="inlineStr">
        <is>
          <t>Hours whose score changes</t>
        </is>
      </c>
      <c r="V9" s="12" t="n"/>
      <c r="W9" s="11">
        <f>SUMPRODUCT(--(O16:O39&lt;&gt;N16:N39))</f>
        <v/>
      </c>
    </row>
    <row r="10">
      <c r="A10" s="2" t="inlineStr">
        <is>
          <t>Apply from HE</t>
        </is>
      </c>
      <c r="D10" s="10" t="n">
        <v>1</v>
      </c>
      <c r="E10" s="9" t="inlineStr">
        <is>
          <t>hour-ending 1-24</t>
        </is>
      </c>
    </row>
    <row r="11">
      <c r="A11" s="2" t="inlineStr">
        <is>
          <t>Apply to HE</t>
        </is>
      </c>
      <c r="D11" s="10" t="n">
        <v>24</v>
      </c>
      <c r="E11" s="9" t="inlineStr"/>
    </row>
    <row r="12"/>
    <row r="13">
      <c r="A13" s="4" t="inlineStr">
        <is>
          <t>Quick scenarios: a CC unit trips in the evening -&gt; Gas -400, HE 17-21 | calm evening -&gt; Wind -60%, HE 16-22 | cold snap -&gt; Load +500 | BC stops sending -&gt; Imports -300. Set everything back to 0 and HE 1-24 for the base case. Yellow = the score changed.</t>
        </is>
      </c>
    </row>
    <row r="14"/>
    <row r="15">
      <c r="A15" s="6" t="inlineStr">
        <is>
          <t>HE</t>
        </is>
      </c>
      <c r="B15" s="6" t="inlineStr">
        <is>
          <t>In range</t>
        </is>
      </c>
      <c r="C15" s="6" t="inlineStr">
        <is>
          <t>Wind chg</t>
        </is>
      </c>
      <c r="D15" s="6" t="inlineStr">
        <is>
          <t>Solar chg</t>
        </is>
      </c>
      <c r="E15" s="6" t="inlineStr">
        <is>
          <t>Cushion chg</t>
        </is>
      </c>
      <c r="F15" s="6" t="inlineStr">
        <is>
          <t>Load fc</t>
        </is>
      </c>
      <c r="G15" s="6" t="inlineStr">
        <is>
          <t>Wind fc</t>
        </is>
      </c>
      <c r="H15" s="6" t="inlineStr">
        <is>
          <t>Cushion base</t>
        </is>
      </c>
      <c r="I15" s="6" t="inlineStr">
        <is>
          <t>Cushion scen.</t>
        </is>
      </c>
      <c r="J15" s="6" t="inlineStr">
        <is>
          <t>Thermal rem base</t>
        </is>
      </c>
      <c r="K15" s="6" t="inlineStr">
        <is>
          <t>Thermal rem scen.</t>
        </is>
      </c>
      <c r="L15" s="6" t="inlineStr">
        <is>
          <t>Price fc base</t>
        </is>
      </c>
      <c r="M15" s="6" t="inlineStr">
        <is>
          <t>Price fc scen.</t>
        </is>
      </c>
      <c r="N15" s="6" t="inlineStr">
        <is>
          <t>Score base</t>
        </is>
      </c>
      <c r="O15" s="6" t="inlineStr">
        <is>
          <t>Score scen.</t>
        </is>
      </c>
      <c r="P15" s="6" t="inlineStr">
        <is>
          <t>b (log $/GW)</t>
        </is>
      </c>
      <c r="Q15" s="6" t="inlineStr">
        <is>
          <t>Gas avail</t>
        </is>
      </c>
      <c r="R15" s="6" t="inlineStr">
        <is>
          <t>SC avail</t>
        </is>
      </c>
      <c r="S15" s="6" t="inlineStr">
        <is>
          <t>Bio</t>
        </is>
      </c>
      <c r="T15" s="6" t="inlineStr">
        <is>
          <t>Solar fc</t>
        </is>
      </c>
      <c r="U15" s="6" t="inlineStr">
        <is>
          <t>Net imports</t>
        </is>
      </c>
      <c r="V15" s="6" t="inlineStr">
        <is>
          <t>Hydro+storage</t>
        </is>
      </c>
    </row>
    <row r="16">
      <c r="A16" s="11" t="n">
        <v>1</v>
      </c>
      <c r="B16" s="11">
        <f>IF(AND(A16&gt;=$D$10,A16&lt;=$D$11),1,0)</f>
        <v/>
      </c>
      <c r="C16" s="11">
        <f>B16*G16*$D$5/100</f>
        <v/>
      </c>
      <c r="D16" s="11">
        <f>B16*T16*$D$6/100</f>
        <v/>
      </c>
      <c r="E16" s="11">
        <f>B16*(-$D$4+$D$7+$D$8+$D$9)+C16+D16</f>
        <v/>
      </c>
      <c r="F16" s="13" t="n">
        <v>9379</v>
      </c>
      <c r="G16" s="13" t="n">
        <v>1702</v>
      </c>
      <c r="H16" s="11">
        <f>Q16+R16+S16+G16+T16-(F16-U16)</f>
        <v/>
      </c>
      <c r="I16" s="11">
        <f>H16+E16</f>
        <v/>
      </c>
      <c r="J16" s="11">
        <f>Q16-(F16-G16-T16-U16-S16-V16)</f>
        <v/>
      </c>
      <c r="K16" s="11">
        <f>J16+B16*$D$7-B16*$D$4+B16*$D$9+C16+D16</f>
        <v/>
      </c>
      <c r="L16" s="14">
        <f>EXP(5.4238+-1.2332*H16/1000)-1</f>
        <v/>
      </c>
      <c r="M16" s="14">
        <f>EXP(5.4238+-1.2332*I16/1000)-1</f>
        <v/>
      </c>
      <c r="N16" s="11">
        <f>IF(H16&lt;$K$5,5,IF(H16&lt;$K$6,4,IF(H16&gt;$K$7,1,3)))</f>
        <v/>
      </c>
      <c r="O16" s="11">
        <f>IF(I16&lt;$K$5,5,IF(I16&lt;$K$6,4,IF(I16&gt;$K$7,1,3)))</f>
        <v/>
      </c>
      <c r="P16" s="15" t="n">
        <v>-1.2332</v>
      </c>
      <c r="Q16" s="13" t="n">
        <v>9475</v>
      </c>
      <c r="R16" s="13" t="n">
        <v>815</v>
      </c>
      <c r="S16" s="13" t="n">
        <v>211</v>
      </c>
      <c r="T16" s="13" t="n">
        <v>0</v>
      </c>
      <c r="U16" s="13" t="n">
        <v>-254</v>
      </c>
      <c r="V16" s="13" t="n">
        <v>1076</v>
      </c>
    </row>
    <row r="17">
      <c r="A17" s="11" t="n">
        <v>2</v>
      </c>
      <c r="B17" s="11">
        <f>IF(AND(A17&gt;=$D$10,A17&lt;=$D$11),1,0)</f>
        <v/>
      </c>
      <c r="C17" s="11">
        <f>B17*G17*$D$5/100</f>
        <v/>
      </c>
      <c r="D17" s="11">
        <f>B17*T17*$D$6/100</f>
        <v/>
      </c>
      <c r="E17" s="11">
        <f>B17*(-$D$4+$D$7+$D$8+$D$9)+C17+D17</f>
        <v/>
      </c>
      <c r="F17" s="13" t="n">
        <v>9269</v>
      </c>
      <c r="G17" s="13" t="n">
        <v>1562</v>
      </c>
      <c r="H17" s="11">
        <f>Q17+R17+S17+G17+T17-(F17-U17)</f>
        <v/>
      </c>
      <c r="I17" s="11">
        <f>H17+E17</f>
        <v/>
      </c>
      <c r="J17" s="11">
        <f>Q17-(F17-G17-T17-U17-S17-V17)</f>
        <v/>
      </c>
      <c r="K17" s="11">
        <f>J17+B17*$D$7-B17*$D$4+B17*$D$9+C17+D17</f>
        <v/>
      </c>
      <c r="L17" s="14">
        <f>EXP(5.4238+-1.2332*H17/1000)-1</f>
        <v/>
      </c>
      <c r="M17" s="14">
        <f>EXP(5.4238+-1.2332*I17/1000)-1</f>
        <v/>
      </c>
      <c r="N17" s="11">
        <f>IF(H17&lt;$K$5,5,IF(H17&lt;$K$6,4,IF(H17&gt;$K$7,1,3)))</f>
        <v/>
      </c>
      <c r="O17" s="11">
        <f>IF(I17&lt;$K$5,5,IF(I17&lt;$K$6,4,IF(I17&gt;$K$7,1,3)))</f>
        <v/>
      </c>
      <c r="P17" s="15" t="n">
        <v>-1.2332</v>
      </c>
      <c r="Q17" s="13" t="n">
        <v>9477</v>
      </c>
      <c r="R17" s="13" t="n">
        <v>815</v>
      </c>
      <c r="S17" s="13" t="n">
        <v>211</v>
      </c>
      <c r="T17" s="13" t="n">
        <v>0</v>
      </c>
      <c r="U17" s="13" t="n">
        <v>-254</v>
      </c>
      <c r="V17" s="13" t="n">
        <v>1076</v>
      </c>
    </row>
    <row r="18">
      <c r="A18" s="11" t="n">
        <v>3</v>
      </c>
      <c r="B18" s="11">
        <f>IF(AND(A18&gt;=$D$10,A18&lt;=$D$11),1,0)</f>
        <v/>
      </c>
      <c r="C18" s="11">
        <f>B18*G18*$D$5/100</f>
        <v/>
      </c>
      <c r="D18" s="11">
        <f>B18*T18*$D$6/100</f>
        <v/>
      </c>
      <c r="E18" s="11">
        <f>B18*(-$D$4+$D$7+$D$8+$D$9)+C18+D18</f>
        <v/>
      </c>
      <c r="F18" s="13" t="n">
        <v>9188</v>
      </c>
      <c r="G18" s="13" t="n">
        <v>1427</v>
      </c>
      <c r="H18" s="11">
        <f>Q18+R18+S18+G18+T18-(F18-U18)</f>
        <v/>
      </c>
      <c r="I18" s="11">
        <f>H18+E18</f>
        <v/>
      </c>
      <c r="J18" s="11">
        <f>Q18-(F18-G18-T18-U18-S18-V18)</f>
        <v/>
      </c>
      <c r="K18" s="11">
        <f>J18+B18*$D$7-B18*$D$4+B18*$D$9+C18+D18</f>
        <v/>
      </c>
      <c r="L18" s="14">
        <f>EXP(5.4238+-1.2332*H18/1000)-1</f>
        <v/>
      </c>
      <c r="M18" s="14">
        <f>EXP(5.4238+-1.2332*I18/1000)-1</f>
        <v/>
      </c>
      <c r="N18" s="11">
        <f>IF(H18&lt;$K$5,5,IF(H18&lt;$K$6,4,IF(H18&gt;$K$7,1,3)))</f>
        <v/>
      </c>
      <c r="O18" s="11">
        <f>IF(I18&lt;$K$5,5,IF(I18&lt;$K$6,4,IF(I18&gt;$K$7,1,3)))</f>
        <v/>
      </c>
      <c r="P18" s="15" t="n">
        <v>-1.2332</v>
      </c>
      <c r="Q18" s="13" t="n">
        <v>9478</v>
      </c>
      <c r="R18" s="13" t="n">
        <v>816</v>
      </c>
      <c r="S18" s="13" t="n">
        <v>211</v>
      </c>
      <c r="T18" s="13" t="n">
        <v>0</v>
      </c>
      <c r="U18" s="13" t="n">
        <v>-254</v>
      </c>
      <c r="V18" s="13" t="n">
        <v>1076</v>
      </c>
    </row>
    <row r="19">
      <c r="A19" s="11" t="n">
        <v>4</v>
      </c>
      <c r="B19" s="11">
        <f>IF(AND(A19&gt;=$D$10,A19&lt;=$D$11),1,0)</f>
        <v/>
      </c>
      <c r="C19" s="11">
        <f>B19*G19*$D$5/100</f>
        <v/>
      </c>
      <c r="D19" s="11">
        <f>B19*T19*$D$6/100</f>
        <v/>
      </c>
      <c r="E19" s="11">
        <f>B19*(-$D$4+$D$7+$D$8+$D$9)+C19+D19</f>
        <v/>
      </c>
      <c r="F19" s="13" t="n">
        <v>9159</v>
      </c>
      <c r="G19" s="13" t="n">
        <v>1344</v>
      </c>
      <c r="H19" s="11">
        <f>Q19+R19+S19+G19+T19-(F19-U19)</f>
        <v/>
      </c>
      <c r="I19" s="11">
        <f>H19+E19</f>
        <v/>
      </c>
      <c r="J19" s="11">
        <f>Q19-(F19-G19-T19-U19-S19-V19)</f>
        <v/>
      </c>
      <c r="K19" s="11">
        <f>J19+B19*$D$7-B19*$D$4+B19*$D$9+C19+D19</f>
        <v/>
      </c>
      <c r="L19" s="14">
        <f>EXP(5.4238+-1.2332*H19/1000)-1</f>
        <v/>
      </c>
      <c r="M19" s="14">
        <f>EXP(5.4238+-1.2332*I19/1000)-1</f>
        <v/>
      </c>
      <c r="N19" s="11">
        <f>IF(H19&lt;$K$5,5,IF(H19&lt;$K$6,4,IF(H19&gt;$K$7,1,3)))</f>
        <v/>
      </c>
      <c r="O19" s="11">
        <f>IF(I19&lt;$K$5,5,IF(I19&lt;$K$6,4,IF(I19&gt;$K$7,1,3)))</f>
        <v/>
      </c>
      <c r="P19" s="15" t="n">
        <v>-1.2332</v>
      </c>
      <c r="Q19" s="13" t="n">
        <v>9478</v>
      </c>
      <c r="R19" s="13" t="n">
        <v>817</v>
      </c>
      <c r="S19" s="13" t="n">
        <v>211</v>
      </c>
      <c r="T19" s="13" t="n">
        <v>0</v>
      </c>
      <c r="U19" s="13" t="n">
        <v>-254</v>
      </c>
      <c r="V19" s="13" t="n">
        <v>1076</v>
      </c>
    </row>
    <row r="20">
      <c r="A20" s="11" t="n">
        <v>5</v>
      </c>
      <c r="B20" s="11">
        <f>IF(AND(A20&gt;=$D$10,A20&lt;=$D$11),1,0)</f>
        <v/>
      </c>
      <c r="C20" s="11">
        <f>B20*G20*$D$5/100</f>
        <v/>
      </c>
      <c r="D20" s="11">
        <f>B20*T20*$D$6/100</f>
        <v/>
      </c>
      <c r="E20" s="11">
        <f>B20*(-$D$4+$D$7+$D$8+$D$9)+C20+D20</f>
        <v/>
      </c>
      <c r="F20" s="13" t="n">
        <v>9182</v>
      </c>
      <c r="G20" s="13" t="n">
        <v>1370</v>
      </c>
      <c r="H20" s="11">
        <f>Q20+R20+S20+G20+T20-(F20-U20)</f>
        <v/>
      </c>
      <c r="I20" s="11">
        <f>H20+E20</f>
        <v/>
      </c>
      <c r="J20" s="11">
        <f>Q20-(F20-G20-T20-U20-S20-V20)</f>
        <v/>
      </c>
      <c r="K20" s="11">
        <f>J20+B20*$D$7-B20*$D$4+B20*$D$9+C20+D20</f>
        <v/>
      </c>
      <c r="L20" s="14">
        <f>EXP(5.4238+-1.2332*H20/1000)-1</f>
        <v/>
      </c>
      <c r="M20" s="14">
        <f>EXP(5.4238+-1.2332*I20/1000)-1</f>
        <v/>
      </c>
      <c r="N20" s="11">
        <f>IF(H20&lt;$K$5,5,IF(H20&lt;$K$6,4,IF(H20&gt;$K$7,1,3)))</f>
        <v/>
      </c>
      <c r="O20" s="11">
        <f>IF(I20&lt;$K$5,5,IF(I20&lt;$K$6,4,IF(I20&gt;$K$7,1,3)))</f>
        <v/>
      </c>
      <c r="P20" s="15" t="n">
        <v>-1.2332</v>
      </c>
      <c r="Q20" s="13" t="n">
        <v>9483</v>
      </c>
      <c r="R20" s="13" t="n">
        <v>817</v>
      </c>
      <c r="S20" s="13" t="n">
        <v>211</v>
      </c>
      <c r="T20" s="13" t="n">
        <v>0</v>
      </c>
      <c r="U20" s="13" t="n">
        <v>-254</v>
      </c>
      <c r="V20" s="13" t="n">
        <v>1076</v>
      </c>
    </row>
    <row r="21">
      <c r="A21" s="11" t="n">
        <v>6</v>
      </c>
      <c r="B21" s="11">
        <f>IF(AND(A21&gt;=$D$10,A21&lt;=$D$11),1,0)</f>
        <v/>
      </c>
      <c r="C21" s="11">
        <f>B21*G21*$D$5/100</f>
        <v/>
      </c>
      <c r="D21" s="11">
        <f>B21*T21*$D$6/100</f>
        <v/>
      </c>
      <c r="E21" s="11">
        <f>B21*(-$D$4+$D$7+$D$8+$D$9)+C21+D21</f>
        <v/>
      </c>
      <c r="F21" s="13" t="n">
        <v>9339</v>
      </c>
      <c r="G21" s="13" t="n">
        <v>1435</v>
      </c>
      <c r="H21" s="11">
        <f>Q21+R21+S21+G21+T21-(F21-U21)</f>
        <v/>
      </c>
      <c r="I21" s="11">
        <f>H21+E21</f>
        <v/>
      </c>
      <c r="J21" s="11">
        <f>Q21-(F21-G21-T21-U21-S21-V21)</f>
        <v/>
      </c>
      <c r="K21" s="11">
        <f>J21+B21*$D$7-B21*$D$4+B21*$D$9+C21+D21</f>
        <v/>
      </c>
      <c r="L21" s="14">
        <f>EXP(5.4238+-1.2332*H21/1000)-1</f>
        <v/>
      </c>
      <c r="M21" s="14">
        <f>EXP(5.4238+-1.2332*I21/1000)-1</f>
        <v/>
      </c>
      <c r="N21" s="11">
        <f>IF(H21&lt;$K$5,5,IF(H21&lt;$K$6,4,IF(H21&gt;$K$7,1,3)))</f>
        <v/>
      </c>
      <c r="O21" s="11">
        <f>IF(I21&lt;$K$5,5,IF(I21&lt;$K$6,4,IF(I21&gt;$K$7,1,3)))</f>
        <v/>
      </c>
      <c r="P21" s="15" t="n">
        <v>-1.2332</v>
      </c>
      <c r="Q21" s="13" t="n">
        <v>9485</v>
      </c>
      <c r="R21" s="13" t="n">
        <v>817</v>
      </c>
      <c r="S21" s="13" t="n">
        <v>211</v>
      </c>
      <c r="T21" s="13" t="n">
        <v>0</v>
      </c>
      <c r="U21" s="13" t="n">
        <v>-254</v>
      </c>
      <c r="V21" s="13" t="n">
        <v>1075</v>
      </c>
    </row>
    <row r="22">
      <c r="A22" s="11" t="n">
        <v>7</v>
      </c>
      <c r="B22" s="11">
        <f>IF(AND(A22&gt;=$D$10,A22&lt;=$D$11),1,0)</f>
        <v/>
      </c>
      <c r="C22" s="11">
        <f>B22*G22*$D$5/100</f>
        <v/>
      </c>
      <c r="D22" s="11">
        <f>B22*T22*$D$6/100</f>
        <v/>
      </c>
      <c r="E22" s="11">
        <f>B22*(-$D$4+$D$7+$D$8+$D$9)+C22+D22</f>
        <v/>
      </c>
      <c r="F22" s="13" t="n">
        <v>9723</v>
      </c>
      <c r="G22" s="13" t="n">
        <v>1393</v>
      </c>
      <c r="H22" s="11">
        <f>Q22+R22+S22+G22+T22-(F22-U22)</f>
        <v/>
      </c>
      <c r="I22" s="11">
        <f>H22+E22</f>
        <v/>
      </c>
      <c r="J22" s="11">
        <f>Q22-(F22-G22-T22-U22-S22-V22)</f>
        <v/>
      </c>
      <c r="K22" s="11">
        <f>J22+B22*$D$7-B22*$D$4+B22*$D$9+C22+D22</f>
        <v/>
      </c>
      <c r="L22" s="14">
        <f>EXP(4.8503+-0.9803*H22/1000)-1</f>
        <v/>
      </c>
      <c r="M22" s="14">
        <f>EXP(4.8503+-0.9803*I22/1000)-1</f>
        <v/>
      </c>
      <c r="N22" s="11">
        <f>IF(H22&lt;$K$5,5,IF(H22&lt;$K$6,4,IF(H22&gt;$K$7,1,3)))</f>
        <v/>
      </c>
      <c r="O22" s="11">
        <f>IF(I22&lt;$K$5,5,IF(I22&lt;$K$6,4,IF(I22&gt;$K$7,1,3)))</f>
        <v/>
      </c>
      <c r="P22" s="15" t="n">
        <v>-0.9802999999999999</v>
      </c>
      <c r="Q22" s="13" t="n">
        <v>9486</v>
      </c>
      <c r="R22" s="13" t="n">
        <v>817</v>
      </c>
      <c r="S22" s="13" t="n">
        <v>211</v>
      </c>
      <c r="T22" s="13" t="n">
        <v>0</v>
      </c>
      <c r="U22" s="13" t="n">
        <v>-254</v>
      </c>
      <c r="V22" s="13" t="n">
        <v>1074</v>
      </c>
    </row>
    <row r="23">
      <c r="A23" s="11" t="n">
        <v>8</v>
      </c>
      <c r="B23" s="11">
        <f>IF(AND(A23&gt;=$D$10,A23&lt;=$D$11),1,0)</f>
        <v/>
      </c>
      <c r="C23" s="11">
        <f>B23*G23*$D$5/100</f>
        <v/>
      </c>
      <c r="D23" s="11">
        <f>B23*T23*$D$6/100</f>
        <v/>
      </c>
      <c r="E23" s="11">
        <f>B23*(-$D$4+$D$7+$D$8+$D$9)+C23+D23</f>
        <v/>
      </c>
      <c r="F23" s="13" t="n">
        <v>10040</v>
      </c>
      <c r="G23" s="13" t="n">
        <v>1272</v>
      </c>
      <c r="H23" s="11">
        <f>Q23+R23+S23+G23+T23-(F23-U23)</f>
        <v/>
      </c>
      <c r="I23" s="11">
        <f>H23+E23</f>
        <v/>
      </c>
      <c r="J23" s="11">
        <f>Q23-(F23-G23-T23-U23-S23-V23)</f>
        <v/>
      </c>
      <c r="K23" s="11">
        <f>J23+B23*$D$7-B23*$D$4+B23*$D$9+C23+D23</f>
        <v/>
      </c>
      <c r="L23" s="14">
        <f>EXP(4.8503+-0.9803*H23/1000)-1</f>
        <v/>
      </c>
      <c r="M23" s="14">
        <f>EXP(4.8503+-0.9803*I23/1000)-1</f>
        <v/>
      </c>
      <c r="N23" s="11">
        <f>IF(H23&lt;$K$5,5,IF(H23&lt;$K$6,4,IF(H23&gt;$K$7,1,3)))</f>
        <v/>
      </c>
      <c r="O23" s="11">
        <f>IF(I23&lt;$K$5,5,IF(I23&lt;$K$6,4,IF(I23&gt;$K$7,1,3)))</f>
        <v/>
      </c>
      <c r="P23" s="15" t="n">
        <v>-0.9802999999999999</v>
      </c>
      <c r="Q23" s="13" t="n">
        <v>9453</v>
      </c>
      <c r="R23" s="13" t="n">
        <v>821</v>
      </c>
      <c r="S23" s="13" t="n">
        <v>211</v>
      </c>
      <c r="T23" s="13" t="n">
        <v>30</v>
      </c>
      <c r="U23" s="13" t="n">
        <v>-254</v>
      </c>
      <c r="V23" s="13" t="n">
        <v>1073</v>
      </c>
    </row>
    <row r="24">
      <c r="A24" s="11" t="n">
        <v>9</v>
      </c>
      <c r="B24" s="11">
        <f>IF(AND(A24&gt;=$D$10,A24&lt;=$D$11),1,0)</f>
        <v/>
      </c>
      <c r="C24" s="11">
        <f>B24*G24*$D$5/100</f>
        <v/>
      </c>
      <c r="D24" s="11">
        <f>B24*T24*$D$6/100</f>
        <v/>
      </c>
      <c r="E24" s="11">
        <f>B24*(-$D$4+$D$7+$D$8+$D$9)+C24+D24</f>
        <v/>
      </c>
      <c r="F24" s="13" t="n">
        <v>10101</v>
      </c>
      <c r="G24" s="13" t="n">
        <v>1163</v>
      </c>
      <c r="H24" s="11">
        <f>Q24+R24+S24+G24+T24-(F24-U24)</f>
        <v/>
      </c>
      <c r="I24" s="11">
        <f>H24+E24</f>
        <v/>
      </c>
      <c r="J24" s="11">
        <f>Q24-(F24-G24-T24-U24-S24-V24)</f>
        <v/>
      </c>
      <c r="K24" s="11">
        <f>J24+B24*$D$7-B24*$D$4+B24*$D$9+C24+D24</f>
        <v/>
      </c>
      <c r="L24" s="14">
        <f>EXP(4.8503+-0.9803*H24/1000)-1</f>
        <v/>
      </c>
      <c r="M24" s="14">
        <f>EXP(4.8503+-0.9803*I24/1000)-1</f>
        <v/>
      </c>
      <c r="N24" s="11">
        <f>IF(H24&lt;$K$5,5,IF(H24&lt;$K$6,4,IF(H24&gt;$K$7,1,3)))</f>
        <v/>
      </c>
      <c r="O24" s="11">
        <f>IF(I24&lt;$K$5,5,IF(I24&lt;$K$6,4,IF(I24&gt;$K$7,1,3)))</f>
        <v/>
      </c>
      <c r="P24" s="15" t="n">
        <v>-0.9802999999999999</v>
      </c>
      <c r="Q24" s="13" t="n">
        <v>9452</v>
      </c>
      <c r="R24" s="13" t="n">
        <v>821</v>
      </c>
      <c r="S24" s="13" t="n">
        <v>211</v>
      </c>
      <c r="T24" s="13" t="n">
        <v>336</v>
      </c>
      <c r="U24" s="13" t="n">
        <v>-254</v>
      </c>
      <c r="V24" s="13" t="n">
        <v>1073</v>
      </c>
    </row>
    <row r="25">
      <c r="A25" s="11" t="n">
        <v>10</v>
      </c>
      <c r="B25" s="11">
        <f>IF(AND(A25&gt;=$D$10,A25&lt;=$D$11),1,0)</f>
        <v/>
      </c>
      <c r="C25" s="11">
        <f>B25*G25*$D$5/100</f>
        <v/>
      </c>
      <c r="D25" s="11">
        <f>B25*T25*$D$6/100</f>
        <v/>
      </c>
      <c r="E25" s="11">
        <f>B25*(-$D$4+$D$7+$D$8+$D$9)+C25+D25</f>
        <v/>
      </c>
      <c r="F25" s="13" t="n">
        <v>10113</v>
      </c>
      <c r="G25" s="13" t="n">
        <v>1021</v>
      </c>
      <c r="H25" s="11">
        <f>Q25+R25+S25+G25+T25-(F25-U25)</f>
        <v/>
      </c>
      <c r="I25" s="11">
        <f>H25+E25</f>
        <v/>
      </c>
      <c r="J25" s="11">
        <f>Q25-(F25-G25-T25-U25-S25-V25)</f>
        <v/>
      </c>
      <c r="K25" s="11">
        <f>J25+B25*$D$7-B25*$D$4+B25*$D$9+C25+D25</f>
        <v/>
      </c>
      <c r="L25" s="14">
        <f>EXP(4.8503+-0.9803*H25/1000)-1</f>
        <v/>
      </c>
      <c r="M25" s="14">
        <f>EXP(4.8503+-0.9803*I25/1000)-1</f>
        <v/>
      </c>
      <c r="N25" s="11">
        <f>IF(H25&lt;$K$5,5,IF(H25&lt;$K$6,4,IF(H25&gt;$K$7,1,3)))</f>
        <v/>
      </c>
      <c r="O25" s="11">
        <f>IF(I25&lt;$K$5,5,IF(I25&lt;$K$6,4,IF(I25&gt;$K$7,1,3)))</f>
        <v/>
      </c>
      <c r="P25" s="15" t="n">
        <v>-0.9802999999999999</v>
      </c>
      <c r="Q25" s="13" t="n">
        <v>9444</v>
      </c>
      <c r="R25" s="13" t="n">
        <v>819</v>
      </c>
      <c r="S25" s="13" t="n">
        <v>211</v>
      </c>
      <c r="T25" s="13" t="n">
        <v>871</v>
      </c>
      <c r="U25" s="13" t="n">
        <v>-254</v>
      </c>
      <c r="V25" s="13" t="n">
        <v>1073</v>
      </c>
    </row>
    <row r="26">
      <c r="A26" s="11" t="n">
        <v>11</v>
      </c>
      <c r="B26" s="11">
        <f>IF(AND(A26&gt;=$D$10,A26&lt;=$D$11),1,0)</f>
        <v/>
      </c>
      <c r="C26" s="11">
        <f>B26*G26*$D$5/100</f>
        <v/>
      </c>
      <c r="D26" s="11">
        <f>B26*T26*$D$6/100</f>
        <v/>
      </c>
      <c r="E26" s="11">
        <f>B26*(-$D$4+$D$7+$D$8+$D$9)+C26+D26</f>
        <v/>
      </c>
      <c r="F26" s="13" t="n">
        <v>10138</v>
      </c>
      <c r="G26" s="13" t="n">
        <v>989</v>
      </c>
      <c r="H26" s="11">
        <f>Q26+R26+S26+G26+T26-(F26-U26)</f>
        <v/>
      </c>
      <c r="I26" s="11">
        <f>H26+E26</f>
        <v/>
      </c>
      <c r="J26" s="11">
        <f>Q26-(F26-G26-T26-U26-S26-V26)</f>
        <v/>
      </c>
      <c r="K26" s="11">
        <f>J26+B26*$D$7-B26*$D$4+B26*$D$9+C26+D26</f>
        <v/>
      </c>
      <c r="L26" s="14">
        <f>EXP(4.7594+-0.9774*H26/1000)-1</f>
        <v/>
      </c>
      <c r="M26" s="14">
        <f>EXP(4.7594+-0.9774*I26/1000)-1</f>
        <v/>
      </c>
      <c r="N26" s="11">
        <f>IF(H26&lt;$K$5,5,IF(H26&lt;$K$6,4,IF(H26&gt;$K$7,1,3)))</f>
        <v/>
      </c>
      <c r="O26" s="11">
        <f>IF(I26&lt;$K$5,5,IF(I26&lt;$K$6,4,IF(I26&gt;$K$7,1,3)))</f>
        <v/>
      </c>
      <c r="P26" s="15" t="n">
        <v>-0.9774</v>
      </c>
      <c r="Q26" s="13" t="n">
        <v>9434</v>
      </c>
      <c r="R26" s="13" t="n">
        <v>815</v>
      </c>
      <c r="S26" s="13" t="n">
        <v>211</v>
      </c>
      <c r="T26" s="13" t="n">
        <v>1242</v>
      </c>
      <c r="U26" s="13" t="n">
        <v>-254</v>
      </c>
      <c r="V26" s="13" t="n">
        <v>1073</v>
      </c>
    </row>
    <row r="27">
      <c r="A27" s="11" t="n">
        <v>12</v>
      </c>
      <c r="B27" s="11">
        <f>IF(AND(A27&gt;=$D$10,A27&lt;=$D$11),1,0)</f>
        <v/>
      </c>
      <c r="C27" s="11">
        <f>B27*G27*$D$5/100</f>
        <v/>
      </c>
      <c r="D27" s="11">
        <f>B27*T27*$D$6/100</f>
        <v/>
      </c>
      <c r="E27" s="11">
        <f>B27*(-$D$4+$D$7+$D$8+$D$9)+C27+D27</f>
        <v/>
      </c>
      <c r="F27" s="13" t="n">
        <v>10151</v>
      </c>
      <c r="G27" s="13" t="n">
        <v>1135</v>
      </c>
      <c r="H27" s="11">
        <f>Q27+R27+S27+G27+T27-(F27-U27)</f>
        <v/>
      </c>
      <c r="I27" s="11">
        <f>H27+E27</f>
        <v/>
      </c>
      <c r="J27" s="11">
        <f>Q27-(F27-G27-T27-U27-S27-V27)</f>
        <v/>
      </c>
      <c r="K27" s="11">
        <f>J27+B27*$D$7-B27*$D$4+B27*$D$9+C27+D27</f>
        <v/>
      </c>
      <c r="L27" s="14">
        <f>EXP(4.7594+-0.9774*H27/1000)-1</f>
        <v/>
      </c>
      <c r="M27" s="14">
        <f>EXP(4.7594+-0.9774*I27/1000)-1</f>
        <v/>
      </c>
      <c r="N27" s="11">
        <f>IF(H27&lt;$K$5,5,IF(H27&lt;$K$6,4,IF(H27&gt;$K$7,1,3)))</f>
        <v/>
      </c>
      <c r="O27" s="11">
        <f>IF(I27&lt;$K$5,5,IF(I27&lt;$K$6,4,IF(I27&gt;$K$7,1,3)))</f>
        <v/>
      </c>
      <c r="P27" s="15" t="n">
        <v>-0.9774</v>
      </c>
      <c r="Q27" s="13" t="n">
        <v>9422</v>
      </c>
      <c r="R27" s="13" t="n">
        <v>814</v>
      </c>
      <c r="S27" s="13" t="n">
        <v>211</v>
      </c>
      <c r="T27" s="13" t="n">
        <v>1370</v>
      </c>
      <c r="U27" s="13" t="n">
        <v>-254</v>
      </c>
      <c r="V27" s="13" t="n">
        <v>993</v>
      </c>
    </row>
    <row r="28">
      <c r="A28" s="11" t="n">
        <v>13</v>
      </c>
      <c r="B28" s="11">
        <f>IF(AND(A28&gt;=$D$10,A28&lt;=$D$11),1,0)</f>
        <v/>
      </c>
      <c r="C28" s="11">
        <f>B28*G28*$D$5/100</f>
        <v/>
      </c>
      <c r="D28" s="11">
        <f>B28*T28*$D$6/100</f>
        <v/>
      </c>
      <c r="E28" s="11">
        <f>B28*(-$D$4+$D$7+$D$8+$D$9)+C28+D28</f>
        <v/>
      </c>
      <c r="F28" s="13" t="n">
        <v>10138</v>
      </c>
      <c r="G28" s="13" t="n">
        <v>1242</v>
      </c>
      <c r="H28" s="11">
        <f>Q28+R28+S28+G28+T28-(F28-U28)</f>
        <v/>
      </c>
      <c r="I28" s="11">
        <f>H28+E28</f>
        <v/>
      </c>
      <c r="J28" s="11">
        <f>Q28-(F28-G28-T28-U28-S28-V28)</f>
        <v/>
      </c>
      <c r="K28" s="11">
        <f>J28+B28*$D$7-B28*$D$4+B28*$D$9+C28+D28</f>
        <v/>
      </c>
      <c r="L28" s="14">
        <f>EXP(4.7594+-0.9774*H28/1000)-1</f>
        <v/>
      </c>
      <c r="M28" s="14">
        <f>EXP(4.7594+-0.9774*I28/1000)-1</f>
        <v/>
      </c>
      <c r="N28" s="11">
        <f>IF(H28&lt;$K$5,5,IF(H28&lt;$K$6,4,IF(H28&gt;$K$7,1,3)))</f>
        <v/>
      </c>
      <c r="O28" s="11">
        <f>IF(I28&lt;$K$5,5,IF(I28&lt;$K$6,4,IF(I28&gt;$K$7,1,3)))</f>
        <v/>
      </c>
      <c r="P28" s="15" t="n">
        <v>-0.9774</v>
      </c>
      <c r="Q28" s="13" t="n">
        <v>9410</v>
      </c>
      <c r="R28" s="13" t="n">
        <v>825</v>
      </c>
      <c r="S28" s="13" t="n">
        <v>211</v>
      </c>
      <c r="T28" s="13" t="n">
        <v>1369</v>
      </c>
      <c r="U28" s="13" t="n">
        <v>-254</v>
      </c>
      <c r="V28" s="13" t="n">
        <v>993</v>
      </c>
    </row>
    <row r="29">
      <c r="A29" s="11" t="n">
        <v>14</v>
      </c>
      <c r="B29" s="11">
        <f>IF(AND(A29&gt;=$D$10,A29&lt;=$D$11),1,0)</f>
        <v/>
      </c>
      <c r="C29" s="11">
        <f>B29*G29*$D$5/100</f>
        <v/>
      </c>
      <c r="D29" s="11">
        <f>B29*T29*$D$6/100</f>
        <v/>
      </c>
      <c r="E29" s="11">
        <f>B29*(-$D$4+$D$7+$D$8+$D$9)+C29+D29</f>
        <v/>
      </c>
      <c r="F29" s="13" t="n">
        <v>10166</v>
      </c>
      <c r="G29" s="13" t="n">
        <v>1309</v>
      </c>
      <c r="H29" s="11">
        <f>Q29+R29+S29+G29+T29-(F29-U29)</f>
        <v/>
      </c>
      <c r="I29" s="11">
        <f>H29+E29</f>
        <v/>
      </c>
      <c r="J29" s="11">
        <f>Q29-(F29-G29-T29-U29-S29-V29)</f>
        <v/>
      </c>
      <c r="K29" s="11">
        <f>J29+B29*$D$7-B29*$D$4+B29*$D$9+C29+D29</f>
        <v/>
      </c>
      <c r="L29" s="14">
        <f>EXP(4.7594+-0.9774*H29/1000)-1</f>
        <v/>
      </c>
      <c r="M29" s="14">
        <f>EXP(4.7594+-0.9774*I29/1000)-1</f>
        <v/>
      </c>
      <c r="N29" s="11">
        <f>IF(H29&lt;$K$5,5,IF(H29&lt;$K$6,4,IF(H29&gt;$K$7,1,3)))</f>
        <v/>
      </c>
      <c r="O29" s="11">
        <f>IF(I29&lt;$K$5,5,IF(I29&lt;$K$6,4,IF(I29&gt;$K$7,1,3)))</f>
        <v/>
      </c>
      <c r="P29" s="15" t="n">
        <v>-0.9774</v>
      </c>
      <c r="Q29" s="13" t="n">
        <v>9412</v>
      </c>
      <c r="R29" s="13" t="n">
        <v>843</v>
      </c>
      <c r="S29" s="13" t="n">
        <v>211</v>
      </c>
      <c r="T29" s="13" t="n">
        <v>1373</v>
      </c>
      <c r="U29" s="13" t="n">
        <v>-254</v>
      </c>
      <c r="V29" s="13" t="n">
        <v>993</v>
      </c>
    </row>
    <row r="30">
      <c r="A30" s="11" t="n">
        <v>15</v>
      </c>
      <c r="B30" s="11">
        <f>IF(AND(A30&gt;=$D$10,A30&lt;=$D$11),1,0)</f>
        <v/>
      </c>
      <c r="C30" s="11">
        <f>B30*G30*$D$5/100</f>
        <v/>
      </c>
      <c r="D30" s="11">
        <f>B30*T30*$D$6/100</f>
        <v/>
      </c>
      <c r="E30" s="11">
        <f>B30*(-$D$4+$D$7+$D$8+$D$9)+C30+D30</f>
        <v/>
      </c>
      <c r="F30" s="13" t="n">
        <v>10201</v>
      </c>
      <c r="G30" s="13" t="n">
        <v>1359</v>
      </c>
      <c r="H30" s="11">
        <f>Q30+R30+S30+G30+T30-(F30-U30)</f>
        <v/>
      </c>
      <c r="I30" s="11">
        <f>H30+E30</f>
        <v/>
      </c>
      <c r="J30" s="11">
        <f>Q30-(F30-G30-T30-U30-S30-V30)</f>
        <v/>
      </c>
      <c r="K30" s="11">
        <f>J30+B30*$D$7-B30*$D$4+B30*$D$9+C30+D30</f>
        <v/>
      </c>
      <c r="L30" s="14">
        <f>EXP(4.7594+-0.9774*H30/1000)-1</f>
        <v/>
      </c>
      <c r="M30" s="14">
        <f>EXP(4.7594+-0.9774*I30/1000)-1</f>
        <v/>
      </c>
      <c r="N30" s="11">
        <f>IF(H30&lt;$K$5,5,IF(H30&lt;$K$6,4,IF(H30&gt;$K$7,1,3)))</f>
        <v/>
      </c>
      <c r="O30" s="11">
        <f>IF(I30&lt;$K$5,5,IF(I30&lt;$K$6,4,IF(I30&gt;$K$7,1,3)))</f>
        <v/>
      </c>
      <c r="P30" s="15" t="n">
        <v>-0.9774</v>
      </c>
      <c r="Q30" s="13" t="n">
        <v>9411</v>
      </c>
      <c r="R30" s="13" t="n">
        <v>842</v>
      </c>
      <c r="S30" s="13" t="n">
        <v>211</v>
      </c>
      <c r="T30" s="13" t="n">
        <v>1388</v>
      </c>
      <c r="U30" s="13" t="n">
        <v>-254</v>
      </c>
      <c r="V30" s="13" t="n">
        <v>993</v>
      </c>
    </row>
    <row r="31">
      <c r="A31" s="11" t="n">
        <v>16</v>
      </c>
      <c r="B31" s="11">
        <f>IF(AND(A31&gt;=$D$10,A31&lt;=$D$11),1,0)</f>
        <v/>
      </c>
      <c r="C31" s="11">
        <f>B31*G31*$D$5/100</f>
        <v/>
      </c>
      <c r="D31" s="11">
        <f>B31*T31*$D$6/100</f>
        <v/>
      </c>
      <c r="E31" s="11">
        <f>B31*(-$D$4+$D$7+$D$8+$D$9)+C31+D31</f>
        <v/>
      </c>
      <c r="F31" s="13" t="n">
        <v>10243</v>
      </c>
      <c r="G31" s="13" t="n">
        <v>1366</v>
      </c>
      <c r="H31" s="11">
        <f>Q31+R31+S31+G31+T31-(F31-U31)</f>
        <v/>
      </c>
      <c r="I31" s="11">
        <f>H31+E31</f>
        <v/>
      </c>
      <c r="J31" s="11">
        <f>Q31-(F31-G31-T31-U31-S31-V31)</f>
        <v/>
      </c>
      <c r="K31" s="11">
        <f>J31+B31*$D$7-B31*$D$4+B31*$D$9+C31+D31</f>
        <v/>
      </c>
      <c r="L31" s="14">
        <f>EXP(4.7594+-0.9774*H31/1000)-1</f>
        <v/>
      </c>
      <c r="M31" s="14">
        <f>EXP(4.7594+-0.9774*I31/1000)-1</f>
        <v/>
      </c>
      <c r="N31" s="11">
        <f>IF(H31&lt;$K$5,5,IF(H31&lt;$K$6,4,IF(H31&gt;$K$7,1,3)))</f>
        <v/>
      </c>
      <c r="O31" s="11">
        <f>IF(I31&lt;$K$5,5,IF(I31&lt;$K$6,4,IF(I31&gt;$K$7,1,3)))</f>
        <v/>
      </c>
      <c r="P31" s="15" t="n">
        <v>-0.9774</v>
      </c>
      <c r="Q31" s="13" t="n">
        <v>9411</v>
      </c>
      <c r="R31" s="13" t="n">
        <v>842</v>
      </c>
      <c r="S31" s="13" t="n">
        <v>211</v>
      </c>
      <c r="T31" s="13" t="n">
        <v>1350</v>
      </c>
      <c r="U31" s="13" t="n">
        <v>-254</v>
      </c>
      <c r="V31" s="13" t="n">
        <v>993</v>
      </c>
    </row>
    <row r="32">
      <c r="A32" s="11" t="n">
        <v>17</v>
      </c>
      <c r="B32" s="11">
        <f>IF(AND(A32&gt;=$D$10,A32&lt;=$D$11),1,0)</f>
        <v/>
      </c>
      <c r="C32" s="11">
        <f>B32*G32*$D$5/100</f>
        <v/>
      </c>
      <c r="D32" s="11">
        <f>B32*T32*$D$6/100</f>
        <v/>
      </c>
      <c r="E32" s="11">
        <f>B32*(-$D$4+$D$7+$D$8+$D$9)+C32+D32</f>
        <v/>
      </c>
      <c r="F32" s="13" t="n">
        <v>10310</v>
      </c>
      <c r="G32" s="13" t="n">
        <v>1346</v>
      </c>
      <c r="H32" s="11">
        <f>Q32+R32+S32+G32+T32-(F32-U32)</f>
        <v/>
      </c>
      <c r="I32" s="11">
        <f>H32+E32</f>
        <v/>
      </c>
      <c r="J32" s="11">
        <f>Q32-(F32-G32-T32-U32-S32-V32)</f>
        <v/>
      </c>
      <c r="K32" s="11">
        <f>J32+B32*$D$7-B32*$D$4+B32*$D$9+C32+D32</f>
        <v/>
      </c>
      <c r="L32" s="14">
        <f>EXP(5.1571+-1.1868*H32/1000)-1</f>
        <v/>
      </c>
      <c r="M32" s="14">
        <f>EXP(5.1571+-1.1868*I32/1000)-1</f>
        <v/>
      </c>
      <c r="N32" s="11">
        <f>IF(H32&lt;$K$5,5,IF(H32&lt;$K$6,4,IF(H32&gt;$K$7,1,3)))</f>
        <v/>
      </c>
      <c r="O32" s="11">
        <f>IF(I32&lt;$K$5,5,IF(I32&lt;$K$6,4,IF(I32&gt;$K$7,1,3)))</f>
        <v/>
      </c>
      <c r="P32" s="15" t="n">
        <v>-1.1868</v>
      </c>
      <c r="Q32" s="13" t="n">
        <v>9411</v>
      </c>
      <c r="R32" s="13" t="n">
        <v>838</v>
      </c>
      <c r="S32" s="13" t="n">
        <v>211</v>
      </c>
      <c r="T32" s="13" t="n">
        <v>1201</v>
      </c>
      <c r="U32" s="13" t="n">
        <v>-254</v>
      </c>
      <c r="V32" s="13" t="n">
        <v>1073</v>
      </c>
    </row>
    <row r="33">
      <c r="A33" s="11" t="n">
        <v>18</v>
      </c>
      <c r="B33" s="11">
        <f>IF(AND(A33&gt;=$D$10,A33&lt;=$D$11),1,0)</f>
        <v/>
      </c>
      <c r="C33" s="11">
        <f>B33*G33*$D$5/100</f>
        <v/>
      </c>
      <c r="D33" s="11">
        <f>B33*T33*$D$6/100</f>
        <v/>
      </c>
      <c r="E33" s="11">
        <f>B33*(-$D$4+$D$7+$D$8+$D$9)+C33+D33</f>
        <v/>
      </c>
      <c r="F33" s="13" t="n">
        <v>10342</v>
      </c>
      <c r="G33" s="13" t="n">
        <v>1244</v>
      </c>
      <c r="H33" s="11">
        <f>Q33+R33+S33+G33+T33-(F33-U33)</f>
        <v/>
      </c>
      <c r="I33" s="11">
        <f>H33+E33</f>
        <v/>
      </c>
      <c r="J33" s="11">
        <f>Q33-(F33-G33-T33-U33-S33-V33)</f>
        <v/>
      </c>
      <c r="K33" s="11">
        <f>J33+B33*$D$7-B33*$D$4+B33*$D$9+C33+D33</f>
        <v/>
      </c>
      <c r="L33" s="14">
        <f>EXP(5.1571+-1.1868*H33/1000)-1</f>
        <v/>
      </c>
      <c r="M33" s="14">
        <f>EXP(5.1571+-1.1868*I33/1000)-1</f>
        <v/>
      </c>
      <c r="N33" s="11">
        <f>IF(H33&lt;$K$5,5,IF(H33&lt;$K$6,4,IF(H33&gt;$K$7,1,3)))</f>
        <v/>
      </c>
      <c r="O33" s="11">
        <f>IF(I33&lt;$K$5,5,IF(I33&lt;$K$6,4,IF(I33&gt;$K$7,1,3)))</f>
        <v/>
      </c>
      <c r="P33" s="15" t="n">
        <v>-1.1868</v>
      </c>
      <c r="Q33" s="13" t="n">
        <v>9456</v>
      </c>
      <c r="R33" s="13" t="n">
        <v>838</v>
      </c>
      <c r="S33" s="13" t="n">
        <v>211</v>
      </c>
      <c r="T33" s="13" t="n">
        <v>698</v>
      </c>
      <c r="U33" s="13" t="n">
        <v>-254</v>
      </c>
      <c r="V33" s="13" t="n">
        <v>1073</v>
      </c>
    </row>
    <row r="34">
      <c r="A34" s="11" t="n">
        <v>19</v>
      </c>
      <c r="B34" s="11">
        <f>IF(AND(A34&gt;=$D$10,A34&lt;=$D$11),1,0)</f>
        <v/>
      </c>
      <c r="C34" s="11">
        <f>B34*G34*$D$5/100</f>
        <v/>
      </c>
      <c r="D34" s="11">
        <f>B34*T34*$D$6/100</f>
        <v/>
      </c>
      <c r="E34" s="11">
        <f>B34*(-$D$4+$D$7+$D$8+$D$9)+C34+D34</f>
        <v/>
      </c>
      <c r="F34" s="13" t="n">
        <v>10238</v>
      </c>
      <c r="G34" s="13" t="n">
        <v>1023</v>
      </c>
      <c r="H34" s="11">
        <f>Q34+R34+S34+G34+T34-(F34-U34)</f>
        <v/>
      </c>
      <c r="I34" s="11">
        <f>H34+E34</f>
        <v/>
      </c>
      <c r="J34" s="11">
        <f>Q34-(F34-G34-T34-U34-S34-V34)</f>
        <v/>
      </c>
      <c r="K34" s="11">
        <f>J34+B34*$D$7-B34*$D$4+B34*$D$9+C34+D34</f>
        <v/>
      </c>
      <c r="L34" s="14">
        <f>EXP(5.1571+-1.1868*H34/1000)-1</f>
        <v/>
      </c>
      <c r="M34" s="14">
        <f>EXP(5.1571+-1.1868*I34/1000)-1</f>
        <v/>
      </c>
      <c r="N34" s="11">
        <f>IF(H34&lt;$K$5,5,IF(H34&lt;$K$6,4,IF(H34&gt;$K$7,1,3)))</f>
        <v/>
      </c>
      <c r="O34" s="11">
        <f>IF(I34&lt;$K$5,5,IF(I34&lt;$K$6,4,IF(I34&gt;$K$7,1,3)))</f>
        <v/>
      </c>
      <c r="P34" s="15" t="n">
        <v>-1.1868</v>
      </c>
      <c r="Q34" s="13" t="n">
        <v>9464</v>
      </c>
      <c r="R34" s="13" t="n">
        <v>842</v>
      </c>
      <c r="S34" s="13" t="n">
        <v>211</v>
      </c>
      <c r="T34" s="13" t="n">
        <v>152</v>
      </c>
      <c r="U34" s="13" t="n">
        <v>-254</v>
      </c>
      <c r="V34" s="13" t="n">
        <v>1073</v>
      </c>
    </row>
    <row r="35">
      <c r="A35" s="11" t="n">
        <v>20</v>
      </c>
      <c r="B35" s="11">
        <f>IF(AND(A35&gt;=$D$10,A35&lt;=$D$11),1,0)</f>
        <v/>
      </c>
      <c r="C35" s="11">
        <f>B35*G35*$D$5/100</f>
        <v/>
      </c>
      <c r="D35" s="11">
        <f>B35*T35*$D$6/100</f>
        <v/>
      </c>
      <c r="E35" s="11">
        <f>B35*(-$D$4+$D$7+$D$8+$D$9)+C35+D35</f>
        <v/>
      </c>
      <c r="F35" s="13" t="n">
        <v>10318</v>
      </c>
      <c r="G35" s="13" t="n">
        <v>806</v>
      </c>
      <c r="H35" s="11">
        <f>Q35+R35+S35+G35+T35-(F35-U35)</f>
        <v/>
      </c>
      <c r="I35" s="11">
        <f>H35+E35</f>
        <v/>
      </c>
      <c r="J35" s="11">
        <f>Q35-(F35-G35-T35-U35-S35-V35)</f>
        <v/>
      </c>
      <c r="K35" s="11">
        <f>J35+B35*$D$7-B35*$D$4+B35*$D$9+C35+D35</f>
        <v/>
      </c>
      <c r="L35" s="14">
        <f>EXP(5.1571+-1.1868*H35/1000)-1</f>
        <v/>
      </c>
      <c r="M35" s="14">
        <f>EXP(5.1571+-1.1868*I35/1000)-1</f>
        <v/>
      </c>
      <c r="N35" s="11">
        <f>IF(H35&lt;$K$5,5,IF(H35&lt;$K$6,4,IF(H35&gt;$K$7,1,3)))</f>
        <v/>
      </c>
      <c r="O35" s="11">
        <f>IF(I35&lt;$K$5,5,IF(I35&lt;$K$6,4,IF(I35&gt;$K$7,1,3)))</f>
        <v/>
      </c>
      <c r="P35" s="15" t="n">
        <v>-1.1868</v>
      </c>
      <c r="Q35" s="13" t="n">
        <v>9477</v>
      </c>
      <c r="R35" s="13" t="n">
        <v>828</v>
      </c>
      <c r="S35" s="13" t="n">
        <v>211</v>
      </c>
      <c r="T35" s="13" t="n">
        <v>1</v>
      </c>
      <c r="U35" s="13" t="n">
        <v>-254</v>
      </c>
      <c r="V35" s="13" t="n">
        <v>1076</v>
      </c>
    </row>
    <row r="36">
      <c r="A36" s="11" t="n">
        <v>21</v>
      </c>
      <c r="B36" s="11">
        <f>IF(AND(A36&gt;=$D$10,A36&lt;=$D$11),1,0)</f>
        <v/>
      </c>
      <c r="C36" s="11">
        <f>B36*G36*$D$5/100</f>
        <v/>
      </c>
      <c r="D36" s="11">
        <f>B36*T36*$D$6/100</f>
        <v/>
      </c>
      <c r="E36" s="11">
        <f>B36*(-$D$4+$D$7+$D$8+$D$9)+C36+D36</f>
        <v/>
      </c>
      <c r="F36" s="13" t="n">
        <v>10315</v>
      </c>
      <c r="G36" s="13" t="n">
        <v>663</v>
      </c>
      <c r="H36" s="11">
        <f>Q36+R36+S36+G36+T36-(F36-U36)</f>
        <v/>
      </c>
      <c r="I36" s="11">
        <f>H36+E36</f>
        <v/>
      </c>
      <c r="J36" s="11">
        <f>Q36-(F36-G36-T36-U36-S36-V36)</f>
        <v/>
      </c>
      <c r="K36" s="11">
        <f>J36+B36*$D$7-B36*$D$4+B36*$D$9+C36+D36</f>
        <v/>
      </c>
      <c r="L36" s="14">
        <f>EXP(5.1571+-1.1868*H36/1000)-1</f>
        <v/>
      </c>
      <c r="M36" s="14">
        <f>EXP(5.1571+-1.1868*I36/1000)-1</f>
        <v/>
      </c>
      <c r="N36" s="11">
        <f>IF(H36&lt;$K$5,5,IF(H36&lt;$K$6,4,IF(H36&gt;$K$7,1,3)))</f>
        <v/>
      </c>
      <c r="O36" s="11">
        <f>IF(I36&lt;$K$5,5,IF(I36&lt;$K$6,4,IF(I36&gt;$K$7,1,3)))</f>
        <v/>
      </c>
      <c r="P36" s="15" t="n">
        <v>-1.1868</v>
      </c>
      <c r="Q36" s="13" t="n">
        <v>9513</v>
      </c>
      <c r="R36" s="13" t="n">
        <v>835</v>
      </c>
      <c r="S36" s="13" t="n">
        <v>211</v>
      </c>
      <c r="T36" s="13" t="n">
        <v>0</v>
      </c>
      <c r="U36" s="13" t="n">
        <v>-254</v>
      </c>
      <c r="V36" s="13" t="n">
        <v>1076</v>
      </c>
    </row>
    <row r="37">
      <c r="A37" s="11" t="n">
        <v>22</v>
      </c>
      <c r="B37" s="11">
        <f>IF(AND(A37&gt;=$D$10,A37&lt;=$D$11),1,0)</f>
        <v/>
      </c>
      <c r="C37" s="11">
        <f>B37*G37*$D$5/100</f>
        <v/>
      </c>
      <c r="D37" s="11">
        <f>B37*T37*$D$6/100</f>
        <v/>
      </c>
      <c r="E37" s="11">
        <f>B37*(-$D$4+$D$7+$D$8+$D$9)+C37+D37</f>
        <v/>
      </c>
      <c r="F37" s="13" t="n">
        <v>10116</v>
      </c>
      <c r="G37" s="13" t="n">
        <v>562</v>
      </c>
      <c r="H37" s="11">
        <f>Q37+R37+S37+G37+T37-(F37-U37)</f>
        <v/>
      </c>
      <c r="I37" s="11">
        <f>H37+E37</f>
        <v/>
      </c>
      <c r="J37" s="11">
        <f>Q37-(F37-G37-T37-U37-S37-V37)</f>
        <v/>
      </c>
      <c r="K37" s="11">
        <f>J37+B37*$D$7-B37*$D$4+B37*$D$9+C37+D37</f>
        <v/>
      </c>
      <c r="L37" s="14">
        <f>EXP(5.2785+-1.1780*H37/1000)-1</f>
        <v/>
      </c>
      <c r="M37" s="14">
        <f>EXP(5.2785+-1.1780*I37/1000)-1</f>
        <v/>
      </c>
      <c r="N37" s="11">
        <f>IF(H37&lt;$K$5,5,IF(H37&lt;$K$6,4,IF(H37&gt;$K$7,1,3)))</f>
        <v/>
      </c>
      <c r="O37" s="11">
        <f>IF(I37&lt;$K$5,5,IF(I37&lt;$K$6,4,IF(I37&gt;$K$7,1,3)))</f>
        <v/>
      </c>
      <c r="P37" s="15" t="n">
        <v>-1.178</v>
      </c>
      <c r="Q37" s="13" t="n">
        <v>9519</v>
      </c>
      <c r="R37" s="13" t="n">
        <v>836</v>
      </c>
      <c r="S37" s="13" t="n">
        <v>211</v>
      </c>
      <c r="T37" s="13" t="n">
        <v>0</v>
      </c>
      <c r="U37" s="13" t="n">
        <v>-254</v>
      </c>
      <c r="V37" s="13" t="n">
        <v>1076</v>
      </c>
    </row>
    <row r="38">
      <c r="A38" s="11" t="n">
        <v>23</v>
      </c>
      <c r="B38" s="11">
        <f>IF(AND(A38&gt;=$D$10,A38&lt;=$D$11),1,0)</f>
        <v/>
      </c>
      <c r="C38" s="11">
        <f>B38*G38*$D$5/100</f>
        <v/>
      </c>
      <c r="D38" s="11">
        <f>B38*T38*$D$6/100</f>
        <v/>
      </c>
      <c r="E38" s="11">
        <f>B38*(-$D$4+$D$7+$D$8+$D$9)+C38+D38</f>
        <v/>
      </c>
      <c r="F38" s="13" t="n">
        <v>9851</v>
      </c>
      <c r="G38" s="13" t="n">
        <v>516</v>
      </c>
      <c r="H38" s="11">
        <f>Q38+R38+S38+G38+T38-(F38-U38)</f>
        <v/>
      </c>
      <c r="I38" s="11">
        <f>H38+E38</f>
        <v/>
      </c>
      <c r="J38" s="11">
        <f>Q38-(F38-G38-T38-U38-S38-V38)</f>
        <v/>
      </c>
      <c r="K38" s="11">
        <f>J38+B38*$D$7-B38*$D$4+B38*$D$9+C38+D38</f>
        <v/>
      </c>
      <c r="L38" s="14">
        <f>EXP(5.2785+-1.1780*H38/1000)-1</f>
        <v/>
      </c>
      <c r="M38" s="14">
        <f>EXP(5.2785+-1.1780*I38/1000)-1</f>
        <v/>
      </c>
      <c r="N38" s="11">
        <f>IF(H38&lt;$K$5,5,IF(H38&lt;$K$6,4,IF(H38&gt;$K$7,1,3)))</f>
        <v/>
      </c>
      <c r="O38" s="11">
        <f>IF(I38&lt;$K$5,5,IF(I38&lt;$K$6,4,IF(I38&gt;$K$7,1,3)))</f>
        <v/>
      </c>
      <c r="P38" s="15" t="n">
        <v>-1.178</v>
      </c>
      <c r="Q38" s="13" t="n">
        <v>9538</v>
      </c>
      <c r="R38" s="13" t="n">
        <v>834</v>
      </c>
      <c r="S38" s="13" t="n">
        <v>211</v>
      </c>
      <c r="T38" s="13" t="n">
        <v>0</v>
      </c>
      <c r="U38" s="13" t="n">
        <v>-254</v>
      </c>
      <c r="V38" s="13" t="n">
        <v>1076</v>
      </c>
    </row>
    <row r="39">
      <c r="A39" s="11" t="n">
        <v>24</v>
      </c>
      <c r="B39" s="11">
        <f>IF(AND(A39&gt;=$D$10,A39&lt;=$D$11),1,0)</f>
        <v/>
      </c>
      <c r="C39" s="11">
        <f>B39*G39*$D$5/100</f>
        <v/>
      </c>
      <c r="D39" s="11">
        <f>B39*T39*$D$6/100</f>
        <v/>
      </c>
      <c r="E39" s="11">
        <f>B39*(-$D$4+$D$7+$D$8+$D$9)+C39+D39</f>
        <v/>
      </c>
      <c r="F39" s="13" t="n">
        <v>9591</v>
      </c>
      <c r="G39" s="13" t="n">
        <v>520</v>
      </c>
      <c r="H39" s="11">
        <f>Q39+R39+S39+G39+T39-(F39-U39)</f>
        <v/>
      </c>
      <c r="I39" s="11">
        <f>H39+E39</f>
        <v/>
      </c>
      <c r="J39" s="11">
        <f>Q39-(F39-G39-T39-U39-S39-V39)</f>
        <v/>
      </c>
      <c r="K39" s="11">
        <f>J39+B39*$D$7-B39*$D$4+B39*$D$9+C39+D39</f>
        <v/>
      </c>
      <c r="L39" s="14">
        <f>EXP(5.2785+-1.1780*H39/1000)-1</f>
        <v/>
      </c>
      <c r="M39" s="14">
        <f>EXP(5.2785+-1.1780*I39/1000)-1</f>
        <v/>
      </c>
      <c r="N39" s="11">
        <f>IF(H39&lt;$K$5,5,IF(H39&lt;$K$6,4,IF(H39&gt;$K$7,1,3)))</f>
        <v/>
      </c>
      <c r="O39" s="11">
        <f>IF(I39&lt;$K$5,5,IF(I39&lt;$K$6,4,IF(I39&gt;$K$7,1,3)))</f>
        <v/>
      </c>
      <c r="P39" s="15" t="n">
        <v>-1.178</v>
      </c>
      <c r="Q39" s="13" t="n">
        <v>9545</v>
      </c>
      <c r="R39" s="13" t="n">
        <v>835</v>
      </c>
      <c r="S39" s="13" t="n">
        <v>211</v>
      </c>
      <c r="T39" s="13" t="n">
        <v>0</v>
      </c>
      <c r="U39" s="13" t="n">
        <v>-254</v>
      </c>
      <c r="V39" s="13" t="n">
        <v>1076</v>
      </c>
    </row>
    <row r="40"/>
    <row r="41">
      <c r="A41" s="4" t="inlineStr">
        <is>
          <t>Sources: AESO gencap available capability (tomorrow hourly), AESO load / wind / solar forecasts, net imports = last-30-day mean actual scheduled. Price response b: log(1+price) per 1,000 MW of cushion, by time block, last 120 days.</t>
        </is>
      </c>
    </row>
  </sheetData>
  <conditionalFormatting sqref="O16:O39">
    <cfRule type="expression" priority="1" dxfId="2">
      <formula>O16&lt;&gt;N16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How things are projecting: last 30 days (actual / known at the bid) and the next 14 (tomorrow 2026-09-30 + 13, AESO schedules and forecasts)</t>
        </is>
      </c>
    </row>
    <row r="2">
      <c r="A2" s="4" t="inlineStr">
        <is>
          <t>Forward values are forecasts / schedules; prices and actuals stop at the last finished day. Scatter charts use the last 30 days only.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</row>
    <row r="2">
      <c r="A2" s="17" t="n">
        <v>46265</v>
      </c>
      <c r="B2" s="2" t="inlineStr">
        <is>
          <t>History</t>
        </is>
      </c>
      <c r="C2" s="13" t="n">
        <v>11182.24</v>
      </c>
      <c r="D2" s="13" t="n">
        <v>10728.71</v>
      </c>
      <c r="E2" s="13" t="n">
        <v>11174</v>
      </c>
      <c r="F2" s="13" t="n">
        <v>-8.24</v>
      </c>
      <c r="G2" s="13" t="n">
        <v>9408.02</v>
      </c>
      <c r="H2" s="13" t="n">
        <v>783.76</v>
      </c>
      <c r="I2" s="13" t="n"/>
      <c r="J2" s="13" t="n">
        <v>185.81</v>
      </c>
      <c r="K2" s="13" t="n">
        <v>1255.57</v>
      </c>
      <c r="L2" s="13" t="n">
        <v>1374.25</v>
      </c>
      <c r="M2" s="13" t="n">
        <v>118.68</v>
      </c>
      <c r="N2" s="18" t="n">
        <v>40.41</v>
      </c>
      <c r="O2" s="13" t="n">
        <v>1663</v>
      </c>
      <c r="P2" s="13" t="n">
        <v>317.12</v>
      </c>
      <c r="Q2" s="13" t="n">
        <v>2191.02</v>
      </c>
      <c r="R2" s="13" t="n">
        <v>530.66</v>
      </c>
      <c r="S2" s="13" t="n"/>
      <c r="T2" s="13" t="n">
        <v>-15.33</v>
      </c>
      <c r="U2" s="18" t="n"/>
      <c r="V2" s="19" t="n"/>
      <c r="W2" s="18" t="n">
        <v>89.83</v>
      </c>
      <c r="X2" s="18" t="n">
        <v>133.04</v>
      </c>
      <c r="Y2" s="18" t="n">
        <v>874.64</v>
      </c>
      <c r="Z2" s="13" t="n">
        <v>4</v>
      </c>
      <c r="AA2" s="18" t="n">
        <v>99.59999999999999</v>
      </c>
      <c r="AB2" s="18" t="n">
        <v>80</v>
      </c>
      <c r="AC2" s="18" t="n">
        <v>33.44</v>
      </c>
      <c r="AD2" s="18" t="n">
        <v>21.77</v>
      </c>
      <c r="AE2" s="18" t="n">
        <v>15.93</v>
      </c>
      <c r="AF2" s="18" t="n">
        <v>16.97</v>
      </c>
      <c r="AG2" s="18" t="n">
        <v>610.5599999999999</v>
      </c>
      <c r="AH2" s="18" t="n">
        <v>12.28</v>
      </c>
      <c r="AI2" s="13" t="n">
        <v>1200</v>
      </c>
    </row>
    <row r="3">
      <c r="A3" s="17" t="n">
        <v>46266</v>
      </c>
      <c r="B3" s="2" t="inlineStr">
        <is>
          <t>History</t>
        </is>
      </c>
      <c r="C3" s="13" t="n">
        <v>11563.97</v>
      </c>
      <c r="D3" s="13" t="n">
        <v>10871.09</v>
      </c>
      <c r="E3" s="13" t="n">
        <v>11269</v>
      </c>
      <c r="F3" s="13" t="n">
        <v>-294.97</v>
      </c>
      <c r="G3" s="13" t="n">
        <v>9031.620000000001</v>
      </c>
      <c r="H3" s="13" t="n">
        <v>764.1799999999999</v>
      </c>
      <c r="I3" s="13" t="n">
        <v>3467</v>
      </c>
      <c r="J3" s="13" t="n">
        <v>403.94</v>
      </c>
      <c r="K3" s="13" t="n">
        <v>1969.59</v>
      </c>
      <c r="L3" s="13" t="n">
        <v>1410</v>
      </c>
      <c r="M3" s="13" t="n">
        <v>-559.59</v>
      </c>
      <c r="N3" s="18" t="n">
        <v>36.46</v>
      </c>
      <c r="O3" s="13" t="n">
        <v>1532</v>
      </c>
      <c r="P3" s="13" t="n">
        <v>164.08</v>
      </c>
      <c r="Q3" s="13" t="n">
        <v>1560.16</v>
      </c>
      <c r="R3" s="13" t="n">
        <v>442.53</v>
      </c>
      <c r="S3" s="13" t="n"/>
      <c r="T3" s="13" t="n">
        <v>-153.08</v>
      </c>
      <c r="U3" s="18" t="n"/>
      <c r="V3" s="19" t="n"/>
      <c r="W3" s="18" t="n">
        <v>98.89</v>
      </c>
      <c r="X3" s="18" t="n">
        <v>145.72</v>
      </c>
      <c r="Y3" s="18" t="n">
        <v>874.9299999999999</v>
      </c>
      <c r="Z3" s="13" t="n">
        <v>4</v>
      </c>
      <c r="AA3" s="18" t="n">
        <v>48.56</v>
      </c>
      <c r="AB3" s="18" t="n">
        <v>39</v>
      </c>
      <c r="AC3" s="18" t="n">
        <v>97.16</v>
      </c>
      <c r="AD3" s="18" t="n">
        <v>25.23</v>
      </c>
      <c r="AE3" s="18" t="n">
        <v>17.56</v>
      </c>
      <c r="AF3" s="18" t="n">
        <v>14.97</v>
      </c>
      <c r="AG3" s="18" t="n">
        <v>579.17</v>
      </c>
      <c r="AH3" s="18" t="n">
        <v>58.17</v>
      </c>
      <c r="AI3" s="13" t="n">
        <v>1200</v>
      </c>
    </row>
    <row r="4">
      <c r="A4" s="17" t="n">
        <v>46267</v>
      </c>
      <c r="B4" s="2" t="inlineStr">
        <is>
          <t>History</t>
        </is>
      </c>
      <c r="C4" s="13" t="n">
        <v>11492.34</v>
      </c>
      <c r="D4" s="13" t="n">
        <v>10943.8</v>
      </c>
      <c r="E4" s="13" t="n">
        <v>11202</v>
      </c>
      <c r="F4" s="13" t="n">
        <v>-290.34</v>
      </c>
      <c r="G4" s="13" t="n">
        <v>8701.559999999999</v>
      </c>
      <c r="H4" s="13" t="n">
        <v>724.12</v>
      </c>
      <c r="I4" s="13" t="n">
        <v>3886</v>
      </c>
      <c r="J4" s="13" t="n">
        <v>382.42</v>
      </c>
      <c r="K4" s="13" t="n">
        <v>1755.23</v>
      </c>
      <c r="L4" s="13" t="n">
        <v>1577.94</v>
      </c>
      <c r="M4" s="13" t="n">
        <v>-177.29</v>
      </c>
      <c r="N4" s="18" t="n">
        <v>44.49</v>
      </c>
      <c r="O4" s="13" t="n">
        <v>1206</v>
      </c>
      <c r="P4" s="13" t="n">
        <v>194.4</v>
      </c>
      <c r="Q4" s="13" t="n">
        <v>1100.82</v>
      </c>
      <c r="R4" s="13" t="n">
        <v>543.34</v>
      </c>
      <c r="S4" s="13" t="n"/>
      <c r="T4" s="13" t="n">
        <v>4.67</v>
      </c>
      <c r="U4" s="18" t="n"/>
      <c r="V4" s="19" t="n"/>
      <c r="W4" s="18" t="n">
        <v>26.17</v>
      </c>
      <c r="X4" s="18" t="n">
        <v>35.62</v>
      </c>
      <c r="Y4" s="18" t="n">
        <v>97.20999999999999</v>
      </c>
      <c r="Z4" s="13" t="n">
        <v>0</v>
      </c>
      <c r="AA4" s="18" t="n">
        <v>47.75</v>
      </c>
      <c r="AB4" s="18" t="n">
        <v>39</v>
      </c>
      <c r="AC4" s="18" t="n">
        <v>-12.13</v>
      </c>
      <c r="AD4" s="18" t="n">
        <v>23.87</v>
      </c>
      <c r="AE4" s="18" t="n">
        <v>18.21</v>
      </c>
      <c r="AF4" s="18" t="n">
        <v>16.09</v>
      </c>
      <c r="AG4" s="18" t="n">
        <v>448.56</v>
      </c>
      <c r="AH4" s="18" t="n">
        <v>95.11</v>
      </c>
      <c r="AI4" s="13" t="n">
        <v>1200</v>
      </c>
    </row>
    <row r="5">
      <c r="A5" s="17" t="n">
        <v>46268</v>
      </c>
      <c r="B5" s="2" t="inlineStr">
        <is>
          <t>History</t>
        </is>
      </c>
      <c r="C5" s="13" t="n">
        <v>11154.33</v>
      </c>
      <c r="D5" s="13" t="n">
        <v>10731.82</v>
      </c>
      <c r="E5" s="13" t="n">
        <v>10971</v>
      </c>
      <c r="F5" s="13" t="n">
        <v>-183.33</v>
      </c>
      <c r="G5" s="13" t="n">
        <v>8971.860000000001</v>
      </c>
      <c r="H5" s="13" t="n">
        <v>720</v>
      </c>
      <c r="I5" s="13" t="n">
        <v>3711</v>
      </c>
      <c r="J5" s="13" t="n">
        <v>20.19</v>
      </c>
      <c r="K5" s="13" t="n">
        <v>3077.41</v>
      </c>
      <c r="L5" s="13" t="n">
        <v>2556.44</v>
      </c>
      <c r="M5" s="13" t="n">
        <v>-520.97</v>
      </c>
      <c r="N5" s="18" t="n">
        <v>61.37</v>
      </c>
      <c r="O5" s="13" t="n">
        <v>1428</v>
      </c>
      <c r="P5" s="13" t="n">
        <v>769.34</v>
      </c>
      <c r="Q5" s="13" t="n">
        <v>1964.54</v>
      </c>
      <c r="R5" s="13" t="n">
        <v>969.71</v>
      </c>
      <c r="S5" s="13" t="n"/>
      <c r="T5" s="13" t="n">
        <v>-495.25</v>
      </c>
      <c r="U5" s="18" t="n"/>
      <c r="V5" s="19" t="n"/>
      <c r="W5" s="18" t="n">
        <v>16.51</v>
      </c>
      <c r="X5" s="18" t="n">
        <v>22.27</v>
      </c>
      <c r="Y5" s="18" t="n">
        <v>74.13</v>
      </c>
      <c r="Z5" s="13" t="n">
        <v>0</v>
      </c>
      <c r="AA5" s="18" t="n">
        <v>18.37</v>
      </c>
      <c r="AB5" s="18" t="n">
        <v>15</v>
      </c>
      <c r="AC5" s="18" t="n">
        <v>3.9</v>
      </c>
      <c r="AD5" s="18" t="n">
        <v>17.93</v>
      </c>
      <c r="AE5" s="18" t="n">
        <v>15.26</v>
      </c>
      <c r="AF5" s="18" t="n">
        <v>21.23</v>
      </c>
      <c r="AG5" s="18" t="n">
        <v>408.17</v>
      </c>
      <c r="AH5" s="18" t="n">
        <v>68.22</v>
      </c>
      <c r="AI5" s="13" t="n">
        <v>1200</v>
      </c>
    </row>
    <row r="6">
      <c r="A6" s="17" t="n">
        <v>46269</v>
      </c>
      <c r="B6" s="2" t="inlineStr">
        <is>
          <t>History</t>
        </is>
      </c>
      <c r="C6" s="13" t="n">
        <v>10928.99</v>
      </c>
      <c r="D6" s="13" t="n">
        <v>10612.11</v>
      </c>
      <c r="E6" s="13" t="n">
        <v>10583</v>
      </c>
      <c r="F6" s="13" t="n">
        <v>-345.99</v>
      </c>
      <c r="G6" s="13" t="n">
        <v>9005.450000000001</v>
      </c>
      <c r="H6" s="13" t="n">
        <v>808.54</v>
      </c>
      <c r="I6" s="13" t="n">
        <v>3558</v>
      </c>
      <c r="J6" s="13" t="n">
        <v>73.87</v>
      </c>
      <c r="K6" s="13" t="n">
        <v>774.96</v>
      </c>
      <c r="L6" s="13" t="n">
        <v>1050.44</v>
      </c>
      <c r="M6" s="13" t="n">
        <v>275.48</v>
      </c>
      <c r="N6" s="18" t="n">
        <v>23.32</v>
      </c>
      <c r="O6" s="13" t="n">
        <v>1418</v>
      </c>
      <c r="P6" s="13" t="n">
        <v>624.52</v>
      </c>
      <c r="Q6" s="13" t="n">
        <v>1344.97</v>
      </c>
      <c r="R6" s="13" t="n">
        <v>824.88</v>
      </c>
      <c r="S6" s="13" t="n"/>
      <c r="T6" s="13" t="n">
        <v>-84.5</v>
      </c>
      <c r="U6" s="18" t="n"/>
      <c r="V6" s="19" t="n"/>
      <c r="W6" s="18" t="n">
        <v>25.3</v>
      </c>
      <c r="X6" s="18" t="n">
        <v>24.05</v>
      </c>
      <c r="Y6" s="18" t="n">
        <v>52.64</v>
      </c>
      <c r="Z6" s="13" t="n">
        <v>0</v>
      </c>
      <c r="AA6" s="18" t="n">
        <v>53.87</v>
      </c>
      <c r="AB6" s="18" t="n">
        <v>44</v>
      </c>
      <c r="AC6" s="18" t="n">
        <v>-29.82</v>
      </c>
      <c r="AD6" s="18" t="n">
        <v>17.87</v>
      </c>
      <c r="AE6" s="18" t="n">
        <v>12.95</v>
      </c>
      <c r="AF6" s="18" t="n">
        <v>16.25</v>
      </c>
      <c r="AG6" s="18" t="n">
        <v>323.78</v>
      </c>
      <c r="AH6" s="18" t="n">
        <v>88.83</v>
      </c>
      <c r="AI6" s="13" t="n">
        <v>1200</v>
      </c>
    </row>
    <row r="7">
      <c r="A7" s="17" t="n">
        <v>46270</v>
      </c>
      <c r="B7" s="2" t="inlineStr">
        <is>
          <t>History</t>
        </is>
      </c>
      <c r="C7" s="13" t="n">
        <v>10365.64</v>
      </c>
      <c r="D7" s="13" t="n">
        <v>10034.67</v>
      </c>
      <c r="E7" s="13" t="n">
        <v>10092</v>
      </c>
      <c r="F7" s="13" t="n">
        <v>-273.64</v>
      </c>
      <c r="G7" s="13" t="n">
        <v>9250.620000000001</v>
      </c>
      <c r="H7" s="13" t="n">
        <v>808.98</v>
      </c>
      <c r="I7" s="13" t="n">
        <v>3375</v>
      </c>
      <c r="J7" s="13" t="n">
        <v>38.88</v>
      </c>
      <c r="K7" s="13" t="n">
        <v>474.27</v>
      </c>
      <c r="L7" s="13" t="n">
        <v>488.38</v>
      </c>
      <c r="M7" s="13" t="n">
        <v>14.11</v>
      </c>
      <c r="N7" s="18" t="n">
        <v>15.95</v>
      </c>
      <c r="O7" s="13" t="n">
        <v>712</v>
      </c>
      <c r="P7" s="13" t="n">
        <v>842.4299999999999</v>
      </c>
      <c r="Q7" s="13" t="n">
        <v>1083.89</v>
      </c>
      <c r="R7" s="13" t="n">
        <v>1051.98</v>
      </c>
      <c r="S7" s="13" t="n"/>
      <c r="T7" s="13" t="n">
        <v>-133.75</v>
      </c>
      <c r="U7" s="18" t="n"/>
      <c r="V7" s="19" t="n"/>
      <c r="W7" s="18" t="n">
        <v>26.05</v>
      </c>
      <c r="X7" s="18" t="n">
        <v>28.62</v>
      </c>
      <c r="Y7" s="18" t="n">
        <v>47.98</v>
      </c>
      <c r="Z7" s="13" t="n">
        <v>0</v>
      </c>
      <c r="AA7" s="18" t="n">
        <v>44.08</v>
      </c>
      <c r="AB7" s="18" t="n">
        <v>36</v>
      </c>
      <c r="AC7" s="18" t="n">
        <v>-15.46</v>
      </c>
      <c r="AD7" s="18" t="n">
        <v>12.73</v>
      </c>
      <c r="AE7" s="18" t="n">
        <v>11.09</v>
      </c>
      <c r="AF7" s="18" t="n">
        <v>11.3</v>
      </c>
      <c r="AG7" s="18" t="n">
        <v>192.22</v>
      </c>
      <c r="AH7" s="18" t="n">
        <v>99.83</v>
      </c>
      <c r="AI7" s="13" t="n">
        <v>1200</v>
      </c>
    </row>
    <row r="8">
      <c r="A8" s="17" t="n">
        <v>46271</v>
      </c>
      <c r="B8" s="2" t="inlineStr">
        <is>
          <t>History</t>
        </is>
      </c>
      <c r="C8" s="13" t="n">
        <v>10252.97</v>
      </c>
      <c r="D8" s="13" t="n">
        <v>9943.129999999999</v>
      </c>
      <c r="E8" s="13" t="n">
        <v>10077</v>
      </c>
      <c r="F8" s="13" t="n">
        <v>-175.97</v>
      </c>
      <c r="G8" s="13" t="n">
        <v>9405.879999999999</v>
      </c>
      <c r="H8" s="13" t="n">
        <v>799.86</v>
      </c>
      <c r="I8" s="13" t="n">
        <v>3166</v>
      </c>
      <c r="J8" s="13" t="n">
        <v>40.71</v>
      </c>
      <c r="K8" s="13" t="n">
        <v>535.58</v>
      </c>
      <c r="L8" s="13" t="n">
        <v>409.19</v>
      </c>
      <c r="M8" s="13" t="n">
        <v>-126.39</v>
      </c>
      <c r="N8" s="18" t="n">
        <v>8.289999999999999</v>
      </c>
      <c r="O8" s="13" t="n">
        <v>764</v>
      </c>
      <c r="P8" s="13" t="n">
        <v>722.02</v>
      </c>
      <c r="Q8" s="13" t="n">
        <v>1183.16</v>
      </c>
      <c r="R8" s="13" t="n">
        <v>914.01</v>
      </c>
      <c r="S8" s="13" t="n"/>
      <c r="T8" s="13" t="n">
        <v>-92.92</v>
      </c>
      <c r="U8" s="18" t="n"/>
      <c r="V8" s="19" t="n"/>
      <c r="W8" s="18" t="n">
        <v>31.02</v>
      </c>
      <c r="X8" s="18" t="n">
        <v>33.11</v>
      </c>
      <c r="Y8" s="18" t="n">
        <v>61.44</v>
      </c>
      <c r="Z8" s="13" t="n">
        <v>0</v>
      </c>
      <c r="AA8" s="18" t="n">
        <v>44.08</v>
      </c>
      <c r="AB8" s="18" t="n">
        <v>36</v>
      </c>
      <c r="AC8" s="18" t="n">
        <v>-10.97</v>
      </c>
      <c r="AD8" s="18" t="n">
        <v>14.97</v>
      </c>
      <c r="AE8" s="18" t="n">
        <v>11.95</v>
      </c>
      <c r="AF8" s="18" t="n">
        <v>11.94</v>
      </c>
      <c r="AG8" s="18" t="n">
        <v>186.33</v>
      </c>
      <c r="AH8" s="18" t="n">
        <v>97</v>
      </c>
      <c r="AI8" s="13" t="n">
        <v>1200</v>
      </c>
    </row>
    <row r="9">
      <c r="A9" s="17" t="n">
        <v>46272</v>
      </c>
      <c r="B9" s="2" t="inlineStr">
        <is>
          <t>History</t>
        </is>
      </c>
      <c r="C9" s="13" t="n">
        <v>10365.64</v>
      </c>
      <c r="D9" s="13" t="n">
        <v>10062.84</v>
      </c>
      <c r="E9" s="13" t="n">
        <v>10522</v>
      </c>
      <c r="F9" s="13" t="n">
        <v>156.36</v>
      </c>
      <c r="G9" s="13" t="n">
        <v>9325.67</v>
      </c>
      <c r="H9" s="13" t="n">
        <v>725.64</v>
      </c>
      <c r="I9" s="13" t="n">
        <v>3321</v>
      </c>
      <c r="J9" s="13" t="n">
        <v>59.93</v>
      </c>
      <c r="K9" s="13" t="n">
        <v>2092.77</v>
      </c>
      <c r="L9" s="13" t="n">
        <v>2781.81</v>
      </c>
      <c r="M9" s="13" t="n">
        <v>689.04</v>
      </c>
      <c r="N9" s="18" t="n">
        <v>48</v>
      </c>
      <c r="O9" s="13" t="n">
        <v>277</v>
      </c>
      <c r="P9" s="13" t="n">
        <v>1680.51</v>
      </c>
      <c r="Q9" s="13" t="n">
        <v>2695.3</v>
      </c>
      <c r="R9" s="13" t="n">
        <v>1941.58</v>
      </c>
      <c r="S9" s="13" t="n"/>
      <c r="T9" s="13" t="n">
        <v>-331.92</v>
      </c>
      <c r="U9" s="18" t="n"/>
      <c r="V9" s="19" t="n"/>
      <c r="W9" s="18" t="n">
        <v>15.98</v>
      </c>
      <c r="X9" s="18" t="n">
        <v>12.8</v>
      </c>
      <c r="Y9" s="18" t="n">
        <v>26.49</v>
      </c>
      <c r="Z9" s="13" t="n">
        <v>0</v>
      </c>
      <c r="AA9" s="18" t="n">
        <v>44.08</v>
      </c>
      <c r="AB9" s="18" t="n">
        <v>36</v>
      </c>
      <c r="AC9" s="18" t="n">
        <v>-31.28</v>
      </c>
      <c r="AD9" s="18" t="n">
        <v>14.47</v>
      </c>
      <c r="AE9" s="18" t="n">
        <v>12.35</v>
      </c>
      <c r="AF9" s="18" t="n">
        <v>21.79</v>
      </c>
      <c r="AG9" s="18" t="n">
        <v>178.67</v>
      </c>
      <c r="AH9" s="18" t="n">
        <v>99.95</v>
      </c>
      <c r="AI9" s="13" t="n">
        <v>1200</v>
      </c>
    </row>
    <row r="10">
      <c r="A10" s="17" t="n">
        <v>46273</v>
      </c>
      <c r="B10" s="2" t="inlineStr">
        <is>
          <t>History</t>
        </is>
      </c>
      <c r="C10" s="13" t="n">
        <v>10816.32</v>
      </c>
      <c r="D10" s="13" t="n">
        <v>10351.56</v>
      </c>
      <c r="E10" s="13" t="n">
        <v>10697</v>
      </c>
      <c r="F10" s="13" t="n">
        <v>-119.32</v>
      </c>
      <c r="G10" s="13" t="n">
        <v>9168.67</v>
      </c>
      <c r="H10" s="13" t="n">
        <v>613.72</v>
      </c>
      <c r="I10" s="13" t="n">
        <v>3543</v>
      </c>
      <c r="J10" s="13" t="n">
        <v>207.83</v>
      </c>
      <c r="K10" s="13" t="n">
        <v>1957</v>
      </c>
      <c r="L10" s="13" t="n">
        <v>1866.69</v>
      </c>
      <c r="M10" s="13" t="n">
        <v>-90.31</v>
      </c>
      <c r="N10" s="18" t="n">
        <v>50.38</v>
      </c>
      <c r="O10" s="13" t="n">
        <v>1497</v>
      </c>
      <c r="P10" s="13" t="n">
        <v>1049.26</v>
      </c>
      <c r="Q10" s="13" t="n">
        <v>2024.54</v>
      </c>
      <c r="R10" s="13" t="n">
        <v>1460.18</v>
      </c>
      <c r="S10" s="13" t="n"/>
      <c r="T10" s="13" t="n">
        <v>-414.83</v>
      </c>
      <c r="U10" s="18" t="n"/>
      <c r="V10" s="19" t="n"/>
      <c r="W10" s="18" t="n">
        <v>11.27</v>
      </c>
      <c r="X10" s="18" t="n">
        <v>15.95</v>
      </c>
      <c r="Y10" s="18" t="n">
        <v>24.3</v>
      </c>
      <c r="Z10" s="13" t="n">
        <v>0</v>
      </c>
      <c r="AA10" s="18" t="n">
        <v>44.08</v>
      </c>
      <c r="AB10" s="18" t="n">
        <v>36</v>
      </c>
      <c r="AC10" s="18" t="n">
        <v>-28.13</v>
      </c>
      <c r="AD10" s="18" t="n">
        <v>19.5</v>
      </c>
      <c r="AE10" s="18" t="n">
        <v>14.22</v>
      </c>
      <c r="AF10" s="18" t="n">
        <v>19.76</v>
      </c>
      <c r="AG10" s="18" t="n">
        <v>525</v>
      </c>
      <c r="AH10" s="18" t="n">
        <v>25.17</v>
      </c>
      <c r="AI10" s="13" t="n">
        <v>1200</v>
      </c>
    </row>
    <row r="11">
      <c r="A11" s="17" t="n">
        <v>46274</v>
      </c>
      <c r="B11" s="2" t="inlineStr">
        <is>
          <t>History</t>
        </is>
      </c>
      <c r="C11" s="13" t="n">
        <v>11041.66</v>
      </c>
      <c r="D11" s="13" t="n">
        <v>10506.48</v>
      </c>
      <c r="E11" s="13" t="n">
        <v>10746</v>
      </c>
      <c r="F11" s="13" t="n">
        <v>-295.66</v>
      </c>
      <c r="G11" s="13" t="n">
        <v>9060.719999999999</v>
      </c>
      <c r="H11" s="13" t="n">
        <v>631.79</v>
      </c>
      <c r="I11" s="13" t="n">
        <v>3663</v>
      </c>
      <c r="J11" s="13" t="n">
        <v>50.8</v>
      </c>
      <c r="K11" s="13" t="n">
        <v>2657.67</v>
      </c>
      <c r="L11" s="13" t="n">
        <v>2466</v>
      </c>
      <c r="M11" s="13" t="n">
        <v>-191.67</v>
      </c>
      <c r="N11" s="18" t="n">
        <v>57.33</v>
      </c>
      <c r="O11" s="13" t="n">
        <v>1563</v>
      </c>
      <c r="P11" s="13" t="n">
        <v>1479.16</v>
      </c>
      <c r="Q11" s="13" t="n">
        <v>2487.99</v>
      </c>
      <c r="R11" s="13" t="n">
        <v>1723.35</v>
      </c>
      <c r="S11" s="13" t="n"/>
      <c r="T11" s="13" t="n">
        <v>-418.17</v>
      </c>
      <c r="U11" s="18" t="n"/>
      <c r="V11" s="19" t="n"/>
      <c r="W11" s="18" t="n">
        <v>13.18</v>
      </c>
      <c r="X11" s="18" t="n">
        <v>15.71</v>
      </c>
      <c r="Y11" s="18" t="n">
        <v>26.87</v>
      </c>
      <c r="Z11" s="13" t="n">
        <v>0</v>
      </c>
      <c r="AA11" s="18" t="n">
        <v>41.63</v>
      </c>
      <c r="AB11" s="18" t="n">
        <v>34</v>
      </c>
      <c r="AC11" s="18" t="n">
        <v>-25.92</v>
      </c>
      <c r="AD11" s="18" t="n">
        <v>22.03</v>
      </c>
      <c r="AE11" s="18" t="n">
        <v>16.38</v>
      </c>
      <c r="AF11" s="18" t="n">
        <v>28.81</v>
      </c>
      <c r="AG11" s="18" t="n">
        <v>532.05</v>
      </c>
      <c r="AH11" s="18" t="n">
        <v>71.61</v>
      </c>
      <c r="AI11" s="13" t="n">
        <v>1200</v>
      </c>
    </row>
    <row r="12">
      <c r="A12" s="17" t="n">
        <v>46275</v>
      </c>
      <c r="B12" s="2" t="inlineStr">
        <is>
          <t>History</t>
        </is>
      </c>
      <c r="C12" s="13" t="n">
        <v>10703.65</v>
      </c>
      <c r="D12" s="13" t="n">
        <v>10344.51</v>
      </c>
      <c r="E12" s="13" t="n">
        <v>10351</v>
      </c>
      <c r="F12" s="13" t="n">
        <v>-352.65</v>
      </c>
      <c r="G12" s="13" t="n">
        <v>8826.9</v>
      </c>
      <c r="H12" s="13" t="n">
        <v>620.6900000000001</v>
      </c>
      <c r="I12" s="13" t="n">
        <v>3843</v>
      </c>
      <c r="J12" s="13" t="n">
        <v>449.42</v>
      </c>
      <c r="K12" s="13" t="n">
        <v>2056.61</v>
      </c>
      <c r="L12" s="13" t="n">
        <v>2181.44</v>
      </c>
      <c r="M12" s="13" t="n">
        <v>124.83</v>
      </c>
      <c r="N12" s="18" t="n">
        <v>57.89</v>
      </c>
      <c r="O12" s="13" t="n">
        <v>1115</v>
      </c>
      <c r="P12" s="13" t="n">
        <v>985.9299999999999</v>
      </c>
      <c r="Q12" s="13" t="n">
        <v>1996.73</v>
      </c>
      <c r="R12" s="13" t="n">
        <v>1326.8</v>
      </c>
      <c r="S12" s="13" t="n"/>
      <c r="T12" s="13" t="n">
        <v>-238.88</v>
      </c>
      <c r="U12" s="18" t="n"/>
      <c r="V12" s="19" t="n"/>
      <c r="W12" s="18" t="n">
        <v>13.27</v>
      </c>
      <c r="X12" s="18" t="n">
        <v>18.58</v>
      </c>
      <c r="Y12" s="18" t="n">
        <v>47.38</v>
      </c>
      <c r="Z12" s="13" t="n">
        <v>0</v>
      </c>
      <c r="AA12" s="18" t="n">
        <v>41.63</v>
      </c>
      <c r="AB12" s="18" t="n">
        <v>34</v>
      </c>
      <c r="AC12" s="18" t="n">
        <v>-23.05</v>
      </c>
      <c r="AD12" s="18" t="n">
        <v>16.2</v>
      </c>
      <c r="AE12" s="18" t="n">
        <v>14.07</v>
      </c>
      <c r="AF12" s="18" t="n">
        <v>25.44</v>
      </c>
      <c r="AG12" s="18" t="n">
        <v>434.56</v>
      </c>
      <c r="AH12" s="18" t="n">
        <v>50.34</v>
      </c>
      <c r="AI12" s="13" t="n">
        <v>1200</v>
      </c>
    </row>
    <row r="13">
      <c r="A13" s="17" t="n">
        <v>46276</v>
      </c>
      <c r="B13" s="2" t="inlineStr">
        <is>
          <t>History</t>
        </is>
      </c>
      <c r="C13" s="13" t="n">
        <v>10365.64</v>
      </c>
      <c r="D13" s="13" t="n">
        <v>10217.76</v>
      </c>
      <c r="E13" s="13" t="n">
        <v>10242</v>
      </c>
      <c r="F13" s="13" t="n">
        <v>-123.64</v>
      </c>
      <c r="G13" s="13" t="n">
        <v>9197.700000000001</v>
      </c>
      <c r="H13" s="13" t="n">
        <v>713.35</v>
      </c>
      <c r="I13" s="13" t="n">
        <v>3507</v>
      </c>
      <c r="J13" s="13" t="n">
        <v>30.93</v>
      </c>
      <c r="K13" s="13" t="n">
        <v>1452.9</v>
      </c>
      <c r="L13" s="13" t="n">
        <v>1722.56</v>
      </c>
      <c r="M13" s="13" t="n">
        <v>269.67</v>
      </c>
      <c r="N13" s="18" t="n">
        <v>38.63</v>
      </c>
      <c r="O13" s="13" t="n">
        <v>1203</v>
      </c>
      <c r="P13" s="13" t="n">
        <v>1157.29</v>
      </c>
      <c r="Q13" s="13" t="n">
        <v>2118.59</v>
      </c>
      <c r="R13" s="13" t="n">
        <v>1482.12</v>
      </c>
      <c r="S13" s="13" t="n"/>
      <c r="T13" s="13" t="n">
        <v>-303.5</v>
      </c>
      <c r="U13" s="18" t="n"/>
      <c r="V13" s="19" t="n"/>
      <c r="W13" s="18" t="n">
        <v>18.76</v>
      </c>
      <c r="X13" s="18" t="n">
        <v>18.27</v>
      </c>
      <c r="Y13" s="18" t="n">
        <v>26.55</v>
      </c>
      <c r="Z13" s="13" t="n">
        <v>0</v>
      </c>
      <c r="AA13" s="18" t="n">
        <v>34.28</v>
      </c>
      <c r="AB13" s="18" t="n">
        <v>28</v>
      </c>
      <c r="AC13" s="18" t="n">
        <v>-16.01</v>
      </c>
      <c r="AD13" s="18" t="n">
        <v>12.07</v>
      </c>
      <c r="AE13" s="18" t="n">
        <v>9.390000000000001</v>
      </c>
      <c r="AF13" s="18" t="n">
        <v>19.7</v>
      </c>
      <c r="AG13" s="18" t="n">
        <v>346.83</v>
      </c>
      <c r="AH13" s="18" t="n">
        <v>83.94</v>
      </c>
      <c r="AI13" s="13" t="n">
        <v>1200</v>
      </c>
    </row>
    <row r="14">
      <c r="A14" s="17" t="n">
        <v>46277</v>
      </c>
      <c r="B14" s="2" t="inlineStr">
        <is>
          <t>History</t>
        </is>
      </c>
      <c r="C14" s="13" t="n">
        <v>10027.63</v>
      </c>
      <c r="D14" s="13" t="n">
        <v>9830.459999999999</v>
      </c>
      <c r="E14" s="13" t="n">
        <v>9625</v>
      </c>
      <c r="F14" s="13" t="n">
        <v>-402.63</v>
      </c>
      <c r="G14" s="13" t="n">
        <v>9239.09</v>
      </c>
      <c r="H14" s="13" t="n">
        <v>718.23</v>
      </c>
      <c r="I14" s="13" t="n">
        <v>3428</v>
      </c>
      <c r="J14" s="13" t="n">
        <v>37.91</v>
      </c>
      <c r="K14" s="13" t="n">
        <v>205.38</v>
      </c>
      <c r="L14" s="13" t="n">
        <v>268.81</v>
      </c>
      <c r="M14" s="13" t="n">
        <v>63.43</v>
      </c>
      <c r="N14" s="18" t="n">
        <v>7.5</v>
      </c>
      <c r="O14" s="13" t="n">
        <v>996</v>
      </c>
      <c r="P14" s="13" t="n">
        <v>953.5599999999999</v>
      </c>
      <c r="Q14" s="13" t="n">
        <v>1374.68</v>
      </c>
      <c r="R14" s="13" t="n">
        <v>1224.65</v>
      </c>
      <c r="S14" s="13" t="n"/>
      <c r="T14" s="13" t="n">
        <v>-118.21</v>
      </c>
      <c r="U14" s="18" t="n"/>
      <c r="V14" s="19" t="n"/>
      <c r="W14" s="18" t="n">
        <v>27.7</v>
      </c>
      <c r="X14" s="18" t="n">
        <v>28.69</v>
      </c>
      <c r="Y14" s="18" t="n">
        <v>46.88</v>
      </c>
      <c r="Z14" s="13" t="n">
        <v>0</v>
      </c>
      <c r="AA14" s="18" t="n">
        <v>56.32</v>
      </c>
      <c r="AB14" s="18" t="n">
        <v>46</v>
      </c>
      <c r="AC14" s="18" t="n">
        <v>-27.63</v>
      </c>
      <c r="AD14" s="18" t="n">
        <v>11.57</v>
      </c>
      <c r="AE14" s="18" t="n">
        <v>8.039999999999999</v>
      </c>
      <c r="AF14" s="18" t="n">
        <v>10.64</v>
      </c>
      <c r="AG14" s="18" t="n">
        <v>253.72</v>
      </c>
      <c r="AH14" s="18" t="n">
        <v>97.56</v>
      </c>
      <c r="AI14" s="13" t="n">
        <v>1200</v>
      </c>
    </row>
    <row r="15">
      <c r="A15" s="17" t="n">
        <v>46278</v>
      </c>
      <c r="B15" s="2" t="inlineStr">
        <is>
          <t>History</t>
        </is>
      </c>
      <c r="C15" s="13" t="n">
        <v>9914.959999999999</v>
      </c>
      <c r="D15" s="13" t="n">
        <v>9647.370000000001</v>
      </c>
      <c r="E15" s="13" t="n">
        <v>9815</v>
      </c>
      <c r="F15" s="13" t="n">
        <v>-99.95999999999999</v>
      </c>
      <c r="G15" s="13" t="n">
        <v>9046.26</v>
      </c>
      <c r="H15" s="13" t="n">
        <v>686.22</v>
      </c>
      <c r="I15" s="13" t="n">
        <v>3555</v>
      </c>
      <c r="J15" s="13" t="n">
        <v>238.44</v>
      </c>
      <c r="K15" s="13" t="n">
        <v>1159.65</v>
      </c>
      <c r="L15" s="13" t="n">
        <v>1378.88</v>
      </c>
      <c r="M15" s="13" t="n">
        <v>219.22</v>
      </c>
      <c r="N15" s="18" t="n">
        <v>30.46</v>
      </c>
      <c r="O15" s="13" t="n">
        <v>1472</v>
      </c>
      <c r="P15" s="13" t="n">
        <v>988.24</v>
      </c>
      <c r="Q15" s="13" t="n">
        <v>2359.98</v>
      </c>
      <c r="R15" s="13" t="n">
        <v>1298.87</v>
      </c>
      <c r="S15" s="13" t="n"/>
      <c r="T15" s="13" t="n">
        <v>-176.08</v>
      </c>
      <c r="U15" s="18" t="n"/>
      <c r="V15" s="19" t="n"/>
      <c r="W15" s="18" t="n">
        <v>19.71</v>
      </c>
      <c r="X15" s="18" t="n">
        <v>19.8</v>
      </c>
      <c r="Y15" s="18" t="n">
        <v>40.49</v>
      </c>
      <c r="Z15" s="13" t="n">
        <v>0</v>
      </c>
      <c r="AA15" s="18" t="n">
        <v>41.63</v>
      </c>
      <c r="AB15" s="18" t="n">
        <v>34</v>
      </c>
      <c r="AC15" s="18" t="n">
        <v>-21.83</v>
      </c>
      <c r="AD15" s="18" t="n">
        <v>13.27</v>
      </c>
      <c r="AE15" s="18" t="n">
        <v>8.52</v>
      </c>
      <c r="AF15" s="18" t="n">
        <v>18.55</v>
      </c>
      <c r="AG15" s="18" t="n">
        <v>425</v>
      </c>
      <c r="AH15" s="18" t="n">
        <v>71.11</v>
      </c>
      <c r="AI15" s="13" t="n">
        <v>1200</v>
      </c>
    </row>
    <row r="16">
      <c r="A16" s="17" t="n">
        <v>46279</v>
      </c>
      <c r="B16" s="2" t="inlineStr">
        <is>
          <t>History</t>
        </is>
      </c>
      <c r="C16" s="13" t="n">
        <v>10252.97</v>
      </c>
      <c r="D16" s="13" t="n">
        <v>10020.59</v>
      </c>
      <c r="E16" s="13" t="n">
        <v>10447</v>
      </c>
      <c r="F16" s="13" t="n">
        <v>194.03</v>
      </c>
      <c r="G16" s="13" t="n">
        <v>8995.24</v>
      </c>
      <c r="H16" s="13" t="n">
        <v>687.87</v>
      </c>
      <c r="I16" s="13" t="n">
        <v>3713</v>
      </c>
      <c r="J16" s="13" t="n">
        <v>137.05</v>
      </c>
      <c r="K16" s="13" t="n">
        <v>2621.41</v>
      </c>
      <c r="L16" s="13" t="n">
        <v>2822.38</v>
      </c>
      <c r="M16" s="13" t="n">
        <v>200.97</v>
      </c>
      <c r="N16" s="18" t="n">
        <v>57.78</v>
      </c>
      <c r="O16" s="13" t="n">
        <v>874</v>
      </c>
      <c r="P16" s="13" t="n">
        <v>1184.66</v>
      </c>
      <c r="Q16" s="13" t="n">
        <v>2677.43</v>
      </c>
      <c r="R16" s="13" t="n">
        <v>1404.68</v>
      </c>
      <c r="S16" s="13" t="n"/>
      <c r="T16" s="13" t="n">
        <v>-289.54</v>
      </c>
      <c r="U16" s="18" t="n"/>
      <c r="V16" s="19" t="n"/>
      <c r="W16" s="18" t="n">
        <v>13.94</v>
      </c>
      <c r="X16" s="18" t="n">
        <v>10.13</v>
      </c>
      <c r="Y16" s="18" t="n">
        <v>78.52</v>
      </c>
      <c r="Z16" s="13" t="n">
        <v>0</v>
      </c>
      <c r="AA16" s="18" t="n">
        <v>41.63</v>
      </c>
      <c r="AB16" s="18" t="n">
        <v>34</v>
      </c>
      <c r="AC16" s="18" t="n">
        <v>-31.5</v>
      </c>
      <c r="AD16" s="18" t="n">
        <v>13.97</v>
      </c>
      <c r="AE16" s="18" t="n">
        <v>10.04</v>
      </c>
      <c r="AF16" s="18" t="n">
        <v>24.81</v>
      </c>
      <c r="AG16" s="18" t="n">
        <v>360.22</v>
      </c>
      <c r="AH16" s="18" t="n">
        <v>73.5</v>
      </c>
      <c r="AI16" s="13" t="n">
        <v>1200</v>
      </c>
    </row>
    <row r="17">
      <c r="A17" s="17" t="n">
        <v>46280</v>
      </c>
      <c r="B17" s="2" t="inlineStr">
        <is>
          <t>History</t>
        </is>
      </c>
      <c r="C17" s="13" t="n">
        <v>10478.31</v>
      </c>
      <c r="D17" s="13" t="n">
        <v>10140.3</v>
      </c>
      <c r="E17" s="13" t="n">
        <v>10177</v>
      </c>
      <c r="F17" s="13" t="n">
        <v>-301.31</v>
      </c>
      <c r="G17" s="13" t="n">
        <v>8823.299999999999</v>
      </c>
      <c r="H17" s="13" t="n">
        <v>620.63</v>
      </c>
      <c r="I17" s="13" t="n">
        <v>3872</v>
      </c>
      <c r="J17" s="13" t="n">
        <v>401.7</v>
      </c>
      <c r="K17" s="13" t="n">
        <v>257.88</v>
      </c>
      <c r="L17" s="13" t="n">
        <v>403.38</v>
      </c>
      <c r="M17" s="13" t="n">
        <v>145.49</v>
      </c>
      <c r="N17" s="18" t="n">
        <v>9.279999999999999</v>
      </c>
      <c r="O17" s="13" t="n">
        <v>384</v>
      </c>
      <c r="P17" s="13" t="n">
        <v>287.47</v>
      </c>
      <c r="Q17" s="13" t="n">
        <v>588.87</v>
      </c>
      <c r="R17" s="13" t="n">
        <v>467.74</v>
      </c>
      <c r="S17" s="13" t="n"/>
      <c r="T17" s="13" t="n">
        <v>216.38</v>
      </c>
      <c r="U17" s="18" t="n"/>
      <c r="V17" s="19" t="n"/>
      <c r="W17" s="18" t="n">
        <v>55.99</v>
      </c>
      <c r="X17" s="18" t="n">
        <v>62.25</v>
      </c>
      <c r="Y17" s="18" t="n">
        <v>145.87</v>
      </c>
      <c r="Z17" s="13" t="n">
        <v>1</v>
      </c>
      <c r="AA17" s="18" t="n">
        <v>91.83</v>
      </c>
      <c r="AB17" s="18" t="n">
        <v>75</v>
      </c>
      <c r="AC17" s="18" t="n">
        <v>-29.58</v>
      </c>
      <c r="AD17" s="18" t="n">
        <v>10.27</v>
      </c>
      <c r="AE17" s="18" t="n">
        <v>7.74</v>
      </c>
      <c r="AF17" s="18" t="n">
        <v>10.07</v>
      </c>
      <c r="AG17" s="18" t="n">
        <v>243.06</v>
      </c>
      <c r="AH17" s="18" t="n">
        <v>79.5</v>
      </c>
      <c r="AI17" s="13" t="n">
        <v>1200</v>
      </c>
    </row>
    <row r="18">
      <c r="A18" s="17" t="n">
        <v>46281</v>
      </c>
      <c r="B18" s="2" t="inlineStr">
        <is>
          <t>History</t>
        </is>
      </c>
      <c r="C18" s="13" t="n">
        <v>10365.64</v>
      </c>
      <c r="D18" s="13" t="n">
        <v>10098.05</v>
      </c>
      <c r="E18" s="13" t="n">
        <v>10239</v>
      </c>
      <c r="F18" s="13" t="n">
        <v>-126.64</v>
      </c>
      <c r="G18" s="13" t="n">
        <v>9115.469999999999</v>
      </c>
      <c r="H18" s="13" t="n">
        <v>628.3</v>
      </c>
      <c r="I18" s="13" t="n">
        <v>3699</v>
      </c>
      <c r="J18" s="13" t="n">
        <v>450.89</v>
      </c>
      <c r="K18" s="13" t="n">
        <v>748.9400000000001</v>
      </c>
      <c r="L18" s="13" t="n">
        <v>892.8099999999999</v>
      </c>
      <c r="M18" s="13" t="n">
        <v>143.87</v>
      </c>
      <c r="N18" s="18" t="n">
        <v>21.95</v>
      </c>
      <c r="O18" s="13" t="n">
        <v>1657</v>
      </c>
      <c r="P18" s="13" t="n">
        <v>704.05</v>
      </c>
      <c r="Q18" s="13" t="n">
        <v>1550.14</v>
      </c>
      <c r="R18" s="13" t="n">
        <v>882.46</v>
      </c>
      <c r="S18" s="13" t="n"/>
      <c r="T18" s="13" t="n">
        <v>-159.96</v>
      </c>
      <c r="U18" s="18" t="n"/>
      <c r="V18" s="19" t="n"/>
      <c r="W18" s="18" t="n">
        <v>28.18</v>
      </c>
      <c r="X18" s="18" t="n">
        <v>29.51</v>
      </c>
      <c r="Y18" s="18" t="n">
        <v>68.37</v>
      </c>
      <c r="Z18" s="13" t="n">
        <v>0</v>
      </c>
      <c r="AA18" s="18" t="n">
        <v>42.85</v>
      </c>
      <c r="AB18" s="18" t="n">
        <v>35</v>
      </c>
      <c r="AC18" s="18" t="n">
        <v>-13.34</v>
      </c>
      <c r="AD18" s="18" t="n">
        <v>18</v>
      </c>
      <c r="AE18" s="18" t="n">
        <v>10.16</v>
      </c>
      <c r="AF18" s="18" t="n">
        <v>14.23</v>
      </c>
      <c r="AG18" s="18" t="n">
        <v>540.39</v>
      </c>
      <c r="AH18" s="18" t="n">
        <v>9.890000000000001</v>
      </c>
      <c r="AI18" s="13" t="n">
        <v>1200</v>
      </c>
    </row>
    <row r="19">
      <c r="A19" s="17" t="n">
        <v>46282</v>
      </c>
      <c r="B19" s="2" t="inlineStr">
        <is>
          <t>History</t>
        </is>
      </c>
      <c r="C19" s="13" t="n">
        <v>10478.31</v>
      </c>
      <c r="D19" s="13" t="n">
        <v>10133.26</v>
      </c>
      <c r="E19" s="13" t="n">
        <v>10478</v>
      </c>
      <c r="F19" s="13" t="n">
        <v>-0.31</v>
      </c>
      <c r="G19" s="13" t="n">
        <v>9173.469999999999</v>
      </c>
      <c r="H19" s="13" t="n">
        <v>633.62</v>
      </c>
      <c r="I19" s="13" t="n">
        <v>3646</v>
      </c>
      <c r="J19" s="13" t="n">
        <v>54.49</v>
      </c>
      <c r="K19" s="13" t="n">
        <v>533.36</v>
      </c>
      <c r="L19" s="13" t="n">
        <v>449.56</v>
      </c>
      <c r="M19" s="13" t="n">
        <v>-83.8</v>
      </c>
      <c r="N19" s="18" t="n">
        <v>25.36</v>
      </c>
      <c r="O19" s="13" t="n">
        <v>1666</v>
      </c>
      <c r="P19" s="13" t="n">
        <v>458.58</v>
      </c>
      <c r="Q19" s="13" t="n">
        <v>1345.15</v>
      </c>
      <c r="R19" s="13" t="n">
        <v>734.74</v>
      </c>
      <c r="S19" s="13" t="n"/>
      <c r="T19" s="13" t="n">
        <v>-151.67</v>
      </c>
      <c r="U19" s="18" t="n"/>
      <c r="V19" s="19" t="n"/>
      <c r="W19" s="18" t="n">
        <v>96.23999999999999</v>
      </c>
      <c r="X19" s="18" t="n">
        <v>134.74</v>
      </c>
      <c r="Y19" s="18" t="n">
        <v>715.78</v>
      </c>
      <c r="Z19" s="13" t="n">
        <v>5</v>
      </c>
      <c r="AA19" s="18" t="n">
        <v>79.58</v>
      </c>
      <c r="AB19" s="18" t="n">
        <v>65</v>
      </c>
      <c r="AC19" s="18" t="n">
        <v>55.16</v>
      </c>
      <c r="AD19" s="18" t="n">
        <v>22.23</v>
      </c>
      <c r="AE19" s="18" t="n">
        <v>12.46</v>
      </c>
      <c r="AF19" s="18" t="n">
        <v>12.54</v>
      </c>
      <c r="AG19" s="18" t="n">
        <v>548.55</v>
      </c>
      <c r="AH19" s="18" t="n">
        <v>7.28</v>
      </c>
      <c r="AI19" s="13" t="n">
        <v>1200</v>
      </c>
    </row>
    <row r="20">
      <c r="A20" s="17" t="n">
        <v>46283</v>
      </c>
      <c r="B20" s="2" t="inlineStr">
        <is>
          <t>History</t>
        </is>
      </c>
      <c r="C20" s="13" t="n">
        <v>10478.31</v>
      </c>
      <c r="D20" s="13" t="n">
        <v>10189.59</v>
      </c>
      <c r="E20" s="13" t="n">
        <v>10328</v>
      </c>
      <c r="F20" s="13" t="n">
        <v>-150.31</v>
      </c>
      <c r="G20" s="13" t="n">
        <v>9068.690000000001</v>
      </c>
      <c r="H20" s="13" t="n">
        <v>695.73</v>
      </c>
      <c r="I20" s="13" t="n">
        <v>3578</v>
      </c>
      <c r="J20" s="13" t="n">
        <v>105.15</v>
      </c>
      <c r="K20" s="13" t="n">
        <v>360.31</v>
      </c>
      <c r="L20" s="13" t="n">
        <v>320.75</v>
      </c>
      <c r="M20" s="13" t="n">
        <v>-39.56</v>
      </c>
      <c r="N20" s="18" t="n">
        <v>6.47</v>
      </c>
      <c r="O20" s="13" t="n">
        <v>1645</v>
      </c>
      <c r="P20" s="13" t="n">
        <v>508.27</v>
      </c>
      <c r="Q20" s="13" t="n">
        <v>1251.25</v>
      </c>
      <c r="R20" s="13" t="n">
        <v>815.27</v>
      </c>
      <c r="S20" s="13" t="n"/>
      <c r="T20" s="13" t="n">
        <v>48.46</v>
      </c>
      <c r="U20" s="18" t="n"/>
      <c r="V20" s="19" t="n"/>
      <c r="W20" s="18" t="n">
        <v>45.81</v>
      </c>
      <c r="X20" s="18" t="n">
        <v>39.95</v>
      </c>
      <c r="Y20" s="18" t="n">
        <v>98.58</v>
      </c>
      <c r="Z20" s="13" t="n">
        <v>0</v>
      </c>
      <c r="AA20" s="18" t="n">
        <v>73.45999999999999</v>
      </c>
      <c r="AB20" s="18" t="n">
        <v>60</v>
      </c>
      <c r="AC20" s="18" t="n">
        <v>-33.51</v>
      </c>
      <c r="AD20" s="18" t="n">
        <v>21.07</v>
      </c>
      <c r="AE20" s="18" t="n">
        <v>12.76</v>
      </c>
      <c r="AF20" s="18" t="n">
        <v>10.87</v>
      </c>
      <c r="AG20" s="18" t="n">
        <v>536.95</v>
      </c>
      <c r="AH20" s="18" t="n">
        <v>0.9399999999999999</v>
      </c>
      <c r="AI20" s="13" t="n">
        <v>1200</v>
      </c>
    </row>
    <row r="21">
      <c r="A21" s="17" t="n">
        <v>46284</v>
      </c>
      <c r="B21" s="2" t="inlineStr">
        <is>
          <t>History</t>
        </is>
      </c>
      <c r="C21" s="13" t="n">
        <v>10365.64</v>
      </c>
      <c r="D21" s="13" t="n">
        <v>9936.09</v>
      </c>
      <c r="E21" s="13" t="n">
        <v>10209</v>
      </c>
      <c r="F21" s="13" t="n">
        <v>-156.64</v>
      </c>
      <c r="G21" s="13" t="n">
        <v>9196.860000000001</v>
      </c>
      <c r="H21" s="13" t="n">
        <v>730.27</v>
      </c>
      <c r="I21" s="13" t="n">
        <v>3434</v>
      </c>
      <c r="J21" s="13" t="n">
        <v>58.43</v>
      </c>
      <c r="K21" s="13" t="n">
        <v>1664.07</v>
      </c>
      <c r="L21" s="13" t="n">
        <v>1960.5</v>
      </c>
      <c r="M21" s="13" t="n">
        <v>296.43</v>
      </c>
      <c r="N21" s="18" t="n">
        <v>39.68</v>
      </c>
      <c r="O21" s="13" t="n">
        <v>1658</v>
      </c>
      <c r="P21" s="13" t="n">
        <v>1976.21</v>
      </c>
      <c r="Q21" s="13" t="n">
        <v>2883.12</v>
      </c>
      <c r="R21" s="13" t="n">
        <v>2322.45</v>
      </c>
      <c r="S21" s="13" t="n"/>
      <c r="T21" s="13" t="n">
        <v>-267.12</v>
      </c>
      <c r="U21" s="18" t="n"/>
      <c r="V21" s="19" t="n"/>
      <c r="W21" s="18" t="n">
        <v>16.56</v>
      </c>
      <c r="X21" s="18" t="n">
        <v>14.91</v>
      </c>
      <c r="Y21" s="18" t="n">
        <v>26.87</v>
      </c>
      <c r="Z21" s="13" t="n">
        <v>0</v>
      </c>
      <c r="AA21" s="18" t="n">
        <v>37.96</v>
      </c>
      <c r="AB21" s="18" t="n">
        <v>31</v>
      </c>
      <c r="AC21" s="18" t="n">
        <v>-23.05</v>
      </c>
      <c r="AD21" s="18" t="n">
        <v>21.37</v>
      </c>
      <c r="AE21" s="18" t="n">
        <v>13.84</v>
      </c>
      <c r="AF21" s="18" t="n">
        <v>20.67</v>
      </c>
      <c r="AG21" s="18" t="n">
        <v>528.78</v>
      </c>
      <c r="AH21" s="18" t="n">
        <v>15.83</v>
      </c>
      <c r="AI21" s="13" t="n">
        <v>1200</v>
      </c>
    </row>
    <row r="22">
      <c r="A22" s="17" t="n">
        <v>46285</v>
      </c>
      <c r="B22" s="2" t="inlineStr">
        <is>
          <t>History</t>
        </is>
      </c>
      <c r="C22" s="13" t="n">
        <v>10590.98</v>
      </c>
      <c r="D22" s="13" t="n">
        <v>9992.42</v>
      </c>
      <c r="E22" s="13" t="n">
        <v>10529</v>
      </c>
      <c r="F22" s="13" t="n">
        <v>-61.98</v>
      </c>
      <c r="G22" s="13" t="n">
        <v>9030.139999999999</v>
      </c>
      <c r="H22" s="13" t="n">
        <v>714.8099999999999</v>
      </c>
      <c r="I22" s="13" t="n">
        <v>3610</v>
      </c>
      <c r="J22" s="13" t="n">
        <v>106.22</v>
      </c>
      <c r="K22" s="13" t="n">
        <v>1720.45</v>
      </c>
      <c r="L22" s="13" t="n">
        <v>1822.88</v>
      </c>
      <c r="M22" s="13" t="n">
        <v>102.43</v>
      </c>
      <c r="N22" s="18" t="n">
        <v>51.49</v>
      </c>
      <c r="O22" s="13" t="n">
        <v>1645</v>
      </c>
      <c r="P22" s="13" t="n">
        <v>1024.08</v>
      </c>
      <c r="Q22" s="13" t="n">
        <v>2429.14</v>
      </c>
      <c r="R22" s="13" t="n">
        <v>1396</v>
      </c>
      <c r="S22" s="13" t="n"/>
      <c r="T22" s="13" t="n">
        <v>-430.83</v>
      </c>
      <c r="U22" s="18" t="n"/>
      <c r="V22" s="19" t="n"/>
      <c r="W22" s="18" t="n">
        <v>13.27</v>
      </c>
      <c r="X22" s="18" t="n">
        <v>19.21</v>
      </c>
      <c r="Y22" s="18" t="n">
        <v>59.54</v>
      </c>
      <c r="Z22" s="13" t="n">
        <v>0</v>
      </c>
      <c r="AA22" s="18" t="n">
        <v>37.96</v>
      </c>
      <c r="AB22" s="18" t="n">
        <v>31</v>
      </c>
      <c r="AC22" s="18" t="n">
        <v>-18.75</v>
      </c>
      <c r="AD22" s="18" t="n">
        <v>24.2</v>
      </c>
      <c r="AE22" s="18" t="n">
        <v>14.78</v>
      </c>
      <c r="AF22" s="18" t="n">
        <v>14.8</v>
      </c>
      <c r="AG22" s="18" t="n">
        <v>528.95</v>
      </c>
      <c r="AH22" s="18" t="n">
        <v>1.5</v>
      </c>
      <c r="AI22" s="13" t="n">
        <v>1200</v>
      </c>
    </row>
    <row r="23">
      <c r="A23" s="17" t="n">
        <v>46286</v>
      </c>
      <c r="B23" s="2" t="inlineStr">
        <is>
          <t>History</t>
        </is>
      </c>
      <c r="C23" s="13" t="n">
        <v>11041.66</v>
      </c>
      <c r="D23" s="13" t="n">
        <v>10485.35</v>
      </c>
      <c r="E23" s="13" t="n">
        <v>10838</v>
      </c>
      <c r="F23" s="13" t="n">
        <v>-203.66</v>
      </c>
      <c r="G23" s="13" t="n">
        <v>9058.02</v>
      </c>
      <c r="H23" s="13" t="n">
        <v>724.95</v>
      </c>
      <c r="I23" s="13" t="n">
        <v>3569</v>
      </c>
      <c r="J23" s="13" t="n">
        <v>105.9</v>
      </c>
      <c r="K23" s="13" t="n">
        <v>2756.97</v>
      </c>
      <c r="L23" s="13" t="n">
        <v>2816.19</v>
      </c>
      <c r="M23" s="13" t="n">
        <v>59.22</v>
      </c>
      <c r="N23" s="18" t="n">
        <v>62.67</v>
      </c>
      <c r="O23" s="13" t="n">
        <v>1574</v>
      </c>
      <c r="P23" s="13" t="n">
        <v>1759.06</v>
      </c>
      <c r="Q23" s="13" t="n">
        <v>2796.34</v>
      </c>
      <c r="R23" s="13" t="n">
        <v>2125.77</v>
      </c>
      <c r="S23" s="13" t="n"/>
      <c r="T23" s="13" t="n">
        <v>-552.67</v>
      </c>
      <c r="U23" s="18" t="n"/>
      <c r="V23" s="19" t="n"/>
      <c r="W23" s="18" t="n">
        <v>9.460000000000001</v>
      </c>
      <c r="X23" s="18" t="n">
        <v>10.17</v>
      </c>
      <c r="Y23" s="18" t="n">
        <v>26.13</v>
      </c>
      <c r="Z23" s="13" t="n">
        <v>0</v>
      </c>
      <c r="AA23" s="18" t="n">
        <v>37.96</v>
      </c>
      <c r="AB23" s="18" t="n">
        <v>31</v>
      </c>
      <c r="AC23" s="18" t="n">
        <v>-27.79</v>
      </c>
      <c r="AD23" s="18" t="n">
        <v>26.17</v>
      </c>
      <c r="AE23" s="18" t="n">
        <v>16.29</v>
      </c>
      <c r="AF23" s="18" t="n">
        <v>17.55</v>
      </c>
      <c r="AG23" s="18" t="n">
        <v>528.39</v>
      </c>
      <c r="AH23" s="18" t="n">
        <v>15.11</v>
      </c>
      <c r="AI23" s="13" t="n">
        <v>1200</v>
      </c>
    </row>
    <row r="24">
      <c r="A24" s="17" t="n">
        <v>46287</v>
      </c>
      <c r="B24" s="2" t="inlineStr">
        <is>
          <t>History</t>
        </is>
      </c>
      <c r="C24" s="13" t="n">
        <v>10703.65</v>
      </c>
      <c r="D24" s="13" t="n">
        <v>10330.43</v>
      </c>
      <c r="E24" s="13" t="n">
        <v>10501</v>
      </c>
      <c r="F24" s="13" t="n">
        <v>-202.65</v>
      </c>
      <c r="G24" s="13" t="n">
        <v>9090.219999999999</v>
      </c>
      <c r="H24" s="13" t="n">
        <v>719.4299999999999</v>
      </c>
      <c r="I24" s="13" t="n">
        <v>3559</v>
      </c>
      <c r="J24" s="13" t="n">
        <v>51.98</v>
      </c>
      <c r="K24" s="13" t="n">
        <v>1187.52</v>
      </c>
      <c r="L24" s="13" t="n">
        <v>1260.38</v>
      </c>
      <c r="M24" s="13" t="n">
        <v>72.86</v>
      </c>
      <c r="N24" s="18" t="n">
        <v>39.98</v>
      </c>
      <c r="O24" s="13" t="n">
        <v>1416</v>
      </c>
      <c r="P24" s="13" t="n">
        <v>686.1900000000001</v>
      </c>
      <c r="Q24" s="13" t="n">
        <v>1859.98</v>
      </c>
      <c r="R24" s="13" t="n">
        <v>1058.2</v>
      </c>
      <c r="S24" s="13" t="n">
        <v>1045</v>
      </c>
      <c r="T24" s="13" t="n">
        <v>-245.54</v>
      </c>
      <c r="U24" s="18" t="n"/>
      <c r="V24" s="19" t="n"/>
      <c r="W24" s="18" t="n">
        <v>20.97</v>
      </c>
      <c r="X24" s="18" t="n">
        <v>26.38</v>
      </c>
      <c r="Y24" s="18" t="n">
        <v>82.23999999999999</v>
      </c>
      <c r="Z24" s="13" t="n">
        <v>0</v>
      </c>
      <c r="AA24" s="18" t="n">
        <v>35.51</v>
      </c>
      <c r="AB24" s="18" t="n">
        <v>29</v>
      </c>
      <c r="AC24" s="18" t="n">
        <v>-9.130000000000001</v>
      </c>
      <c r="AD24" s="18" t="n">
        <v>20.57</v>
      </c>
      <c r="AE24" s="18" t="n">
        <v>14.78</v>
      </c>
      <c r="AF24" s="18" t="n">
        <v>20.19</v>
      </c>
      <c r="AG24" s="18" t="n">
        <v>499.28</v>
      </c>
      <c r="AH24" s="18" t="n">
        <v>44.44</v>
      </c>
      <c r="AI24" s="13" t="n">
        <v>1200</v>
      </c>
    </row>
    <row r="25">
      <c r="A25" s="17" t="n">
        <v>46288</v>
      </c>
      <c r="B25" s="2" t="inlineStr">
        <is>
          <t>History</t>
        </is>
      </c>
      <c r="C25" s="13" t="n">
        <v>10478.31</v>
      </c>
      <c r="D25" s="13" t="n">
        <v>10196.63</v>
      </c>
      <c r="E25" s="13" t="n">
        <v>10420</v>
      </c>
      <c r="F25" s="13" t="n">
        <v>-58.31</v>
      </c>
      <c r="G25" s="13" t="n">
        <v>9088.030000000001</v>
      </c>
      <c r="H25" s="13" t="n">
        <v>744.91</v>
      </c>
      <c r="I25" s="13" t="n">
        <v>3547</v>
      </c>
      <c r="J25" s="13" t="n">
        <v>119.86</v>
      </c>
      <c r="K25" s="13" t="n">
        <v>1547.71</v>
      </c>
      <c r="L25" s="13" t="n">
        <v>1301.88</v>
      </c>
      <c r="M25" s="13" t="n">
        <v>-245.83</v>
      </c>
      <c r="N25" s="18" t="n">
        <v>25.7</v>
      </c>
      <c r="O25" s="13" t="n">
        <v>1349</v>
      </c>
      <c r="P25" s="13" t="n">
        <v>989.5700000000001</v>
      </c>
      <c r="Q25" s="13" t="n">
        <v>1548.54</v>
      </c>
      <c r="R25" s="13" t="n">
        <v>1269.29</v>
      </c>
      <c r="S25" s="13" t="n">
        <v>1045</v>
      </c>
      <c r="T25" s="13" t="n">
        <v>-245.88</v>
      </c>
      <c r="U25" s="18" t="n"/>
      <c r="V25" s="19" t="n"/>
      <c r="W25" s="18" t="n">
        <v>39.72</v>
      </c>
      <c r="X25" s="18" t="n">
        <v>40.35</v>
      </c>
      <c r="Y25" s="18" t="n">
        <v>80.13</v>
      </c>
      <c r="Z25" s="13" t="n">
        <v>0</v>
      </c>
      <c r="AA25" s="18" t="n">
        <v>35.51</v>
      </c>
      <c r="AB25" s="18" t="n">
        <v>29</v>
      </c>
      <c r="AC25" s="18" t="n">
        <v>4.84</v>
      </c>
      <c r="AD25" s="18" t="n">
        <v>19.7</v>
      </c>
      <c r="AE25" s="18" t="n">
        <v>12.3</v>
      </c>
      <c r="AF25" s="18" t="n">
        <v>18.01</v>
      </c>
      <c r="AG25" s="18" t="n">
        <v>472.17</v>
      </c>
      <c r="AH25" s="18" t="n">
        <v>58.83</v>
      </c>
      <c r="AI25" s="13" t="n">
        <v>1200</v>
      </c>
    </row>
    <row r="26">
      <c r="A26" s="17" t="n">
        <v>46289</v>
      </c>
      <c r="B26" s="2" t="inlineStr">
        <is>
          <t>History</t>
        </is>
      </c>
      <c r="C26" s="13" t="n">
        <v>10252.97</v>
      </c>
      <c r="D26" s="13" t="n">
        <v>10105.09</v>
      </c>
      <c r="E26" s="13" t="n">
        <v>10528</v>
      </c>
      <c r="F26" s="13" t="n">
        <v>275.03</v>
      </c>
      <c r="G26" s="13" t="n">
        <v>9058.16</v>
      </c>
      <c r="H26" s="13" t="n">
        <v>706.4400000000001</v>
      </c>
      <c r="I26" s="13" t="n">
        <v>3620</v>
      </c>
      <c r="J26" s="13" t="n">
        <v>32.44</v>
      </c>
      <c r="K26" s="13" t="n">
        <v>1002.68</v>
      </c>
      <c r="L26" s="13" t="n">
        <v>742.12</v>
      </c>
      <c r="M26" s="13" t="n">
        <v>-260.56</v>
      </c>
      <c r="N26" s="18" t="n">
        <v>18.8</v>
      </c>
      <c r="O26" s="13" t="n">
        <v>1425</v>
      </c>
      <c r="P26" s="13" t="n">
        <v>533.45</v>
      </c>
      <c r="Q26" s="13" t="n">
        <v>1174.23</v>
      </c>
      <c r="R26" s="13" t="n">
        <v>813.3099999999999</v>
      </c>
      <c r="S26" s="13" t="n">
        <v>1045</v>
      </c>
      <c r="T26" s="13" t="n">
        <v>-107.92</v>
      </c>
      <c r="U26" s="18" t="n"/>
      <c r="V26" s="19" t="n"/>
      <c r="W26" s="18" t="n">
        <v>48.12</v>
      </c>
      <c r="X26" s="18" t="n">
        <v>51.45</v>
      </c>
      <c r="Y26" s="18" t="n">
        <v>95.12</v>
      </c>
      <c r="Z26" s="13" t="n">
        <v>0</v>
      </c>
      <c r="AA26" s="18" t="n">
        <v>35.51</v>
      </c>
      <c r="AB26" s="18" t="n">
        <v>29</v>
      </c>
      <c r="AC26" s="18" t="n">
        <v>15.94</v>
      </c>
      <c r="AD26" s="18" t="n">
        <v>18</v>
      </c>
      <c r="AE26" s="18" t="n">
        <v>11.17</v>
      </c>
      <c r="AF26" s="18" t="n">
        <v>13.49</v>
      </c>
      <c r="AG26" s="18" t="n">
        <v>461.17</v>
      </c>
      <c r="AH26" s="18" t="n">
        <v>42.23</v>
      </c>
      <c r="AI26" s="13" t="n">
        <v>1200</v>
      </c>
    </row>
    <row r="27">
      <c r="A27" s="17" t="n">
        <v>46290</v>
      </c>
      <c r="B27" s="2" t="inlineStr">
        <is>
          <t>History</t>
        </is>
      </c>
      <c r="C27" s="13" t="n">
        <v>10478.31</v>
      </c>
      <c r="D27" s="13" t="n">
        <v>10245.93</v>
      </c>
      <c r="E27" s="13" t="n">
        <v>10799</v>
      </c>
      <c r="F27" s="13" t="n">
        <v>320.69</v>
      </c>
      <c r="G27" s="13" t="n">
        <v>9082.799999999999</v>
      </c>
      <c r="H27" s="13" t="n">
        <v>762.21</v>
      </c>
      <c r="I27" s="13" t="n">
        <v>3526</v>
      </c>
      <c r="J27" s="13" t="n">
        <v>55.64</v>
      </c>
      <c r="K27" s="13" t="n">
        <v>3633.36</v>
      </c>
      <c r="L27" s="13" t="n">
        <v>3416.94</v>
      </c>
      <c r="M27" s="13" t="n">
        <v>-216.43</v>
      </c>
      <c r="N27" s="18" t="n">
        <v>69.65000000000001</v>
      </c>
      <c r="O27" s="13" t="n">
        <v>980</v>
      </c>
      <c r="P27" s="13" t="n">
        <v>1991.25</v>
      </c>
      <c r="Q27" s="13" t="n">
        <v>2716.42</v>
      </c>
      <c r="R27" s="13" t="n">
        <v>2344.11</v>
      </c>
      <c r="S27" s="13" t="n">
        <v>1045</v>
      </c>
      <c r="T27" s="13" t="n">
        <v>-715.5</v>
      </c>
      <c r="U27" s="18" t="n"/>
      <c r="V27" s="19" t="n"/>
      <c r="W27" s="18" t="n">
        <v>18.83</v>
      </c>
      <c r="X27" s="18" t="n">
        <v>17.72</v>
      </c>
      <c r="Y27" s="18" t="n">
        <v>23.84</v>
      </c>
      <c r="Z27" s="13" t="n">
        <v>0</v>
      </c>
      <c r="AA27" s="18" t="n">
        <v>35.51</v>
      </c>
      <c r="AB27" s="18" t="n">
        <v>29</v>
      </c>
      <c r="AC27" s="18" t="n">
        <v>-17.79</v>
      </c>
      <c r="AD27" s="18" t="n">
        <v>20.77</v>
      </c>
      <c r="AE27" s="18" t="n">
        <v>12.54</v>
      </c>
      <c r="AF27" s="18" t="n">
        <v>28.91</v>
      </c>
      <c r="AG27" s="18" t="n">
        <v>292.06</v>
      </c>
      <c r="AH27" s="18" t="n">
        <v>98.67</v>
      </c>
      <c r="AI27" s="13" t="n">
        <v>1200</v>
      </c>
    </row>
    <row r="28">
      <c r="A28" s="17" t="n">
        <v>46291</v>
      </c>
      <c r="B28" s="2" t="inlineStr">
        <is>
          <t>History</t>
        </is>
      </c>
      <c r="C28" s="13" t="n">
        <v>10027.63</v>
      </c>
      <c r="D28" s="13" t="n">
        <v>9781.16</v>
      </c>
      <c r="E28" s="13" t="n">
        <v>10167</v>
      </c>
      <c r="F28" s="13" t="n">
        <v>139.37</v>
      </c>
      <c r="G28" s="13" t="n">
        <v>9152.969999999999</v>
      </c>
      <c r="H28" s="13" t="n">
        <v>803.53</v>
      </c>
      <c r="I28" s="13" t="n">
        <v>3428</v>
      </c>
      <c r="J28" s="13" t="n">
        <v>37.59</v>
      </c>
      <c r="K28" s="13" t="n">
        <v>2965.3</v>
      </c>
      <c r="L28" s="13" t="n">
        <v>2830.69</v>
      </c>
      <c r="M28" s="13" t="n">
        <v>-134.61</v>
      </c>
      <c r="N28" s="18" t="n">
        <v>67.02</v>
      </c>
      <c r="O28" s="13" t="n">
        <v>1186</v>
      </c>
      <c r="P28" s="13" t="n">
        <v>1486.68</v>
      </c>
      <c r="Q28" s="13" t="n">
        <v>2893.31</v>
      </c>
      <c r="R28" s="13" t="n">
        <v>1762.01</v>
      </c>
      <c r="S28" s="13" t="n">
        <v>1045</v>
      </c>
      <c r="T28" s="13" t="n">
        <v>-688.96</v>
      </c>
      <c r="U28" s="18" t="n"/>
      <c r="V28" s="19" t="n"/>
      <c r="W28" s="18" t="n">
        <v>13.97</v>
      </c>
      <c r="X28" s="18" t="n">
        <v>15.37</v>
      </c>
      <c r="Y28" s="18" t="n">
        <v>32.09</v>
      </c>
      <c r="Z28" s="13" t="n">
        <v>0</v>
      </c>
      <c r="AA28" s="18" t="n">
        <v>35.51</v>
      </c>
      <c r="AB28" s="18" t="n">
        <v>29</v>
      </c>
      <c r="AC28" s="18" t="n">
        <v>-20.14</v>
      </c>
      <c r="AD28" s="18" t="n">
        <v>9.869999999999999</v>
      </c>
      <c r="AE28" s="18" t="n">
        <v>7.5</v>
      </c>
      <c r="AF28" s="18" t="n">
        <v>30.84</v>
      </c>
      <c r="AG28" s="18" t="n">
        <v>374.61</v>
      </c>
      <c r="AH28" s="18" t="n">
        <v>67</v>
      </c>
      <c r="AI28" s="13" t="n">
        <v>1200</v>
      </c>
    </row>
    <row r="29">
      <c r="A29" s="17" t="n">
        <v>46292</v>
      </c>
      <c r="B29" s="2" t="inlineStr">
        <is>
          <t>History</t>
        </is>
      </c>
      <c r="C29" s="13" t="n">
        <v>10140.3</v>
      </c>
      <c r="D29" s="13" t="n">
        <v>9781.16</v>
      </c>
      <c r="E29" s="13" t="n">
        <v>10215</v>
      </c>
      <c r="F29" s="13" t="n">
        <v>74.7</v>
      </c>
      <c r="G29" s="13" t="n">
        <v>9105.209999999999</v>
      </c>
      <c r="H29" s="13" t="n">
        <v>788.1900000000001</v>
      </c>
      <c r="I29" s="13" t="n">
        <v>3488</v>
      </c>
      <c r="J29" s="13" t="n">
        <v>73.45999999999999</v>
      </c>
      <c r="K29" s="13" t="n">
        <v>829.9299999999999</v>
      </c>
      <c r="L29" s="13" t="n">
        <v>1284.31</v>
      </c>
      <c r="M29" s="13" t="n">
        <v>454.38</v>
      </c>
      <c r="N29" s="18" t="n">
        <v>28.97</v>
      </c>
      <c r="O29" s="13" t="n">
        <v>1648</v>
      </c>
      <c r="P29" s="13" t="n">
        <v>804.91</v>
      </c>
      <c r="Q29" s="13" t="n">
        <v>2315.03</v>
      </c>
      <c r="R29" s="13" t="n">
        <v>1179.61</v>
      </c>
      <c r="S29" s="13" t="n">
        <v>1045</v>
      </c>
      <c r="T29" s="13" t="n">
        <v>-106.17</v>
      </c>
      <c r="U29" s="18" t="n"/>
      <c r="V29" s="19" t="n"/>
      <c r="W29" s="18" t="n">
        <v>28.11</v>
      </c>
      <c r="X29" s="18" t="n">
        <v>27.64</v>
      </c>
      <c r="Y29" s="18" t="n">
        <v>63.5</v>
      </c>
      <c r="Z29" s="13" t="n">
        <v>0</v>
      </c>
      <c r="AA29" s="18" t="n">
        <v>35.51</v>
      </c>
      <c r="AB29" s="18" t="n">
        <v>29</v>
      </c>
      <c r="AC29" s="18" t="n">
        <v>-7.86</v>
      </c>
      <c r="AD29" s="18" t="n">
        <v>14.7</v>
      </c>
      <c r="AE29" s="18" t="n">
        <v>6.69</v>
      </c>
      <c r="AF29" s="18" t="n">
        <v>16.6</v>
      </c>
      <c r="AG29" s="18" t="n">
        <v>494.44</v>
      </c>
      <c r="AH29" s="18" t="n">
        <v>32.83</v>
      </c>
      <c r="AI29" s="13" t="n">
        <v>1200</v>
      </c>
    </row>
    <row r="30">
      <c r="A30" s="17" t="n">
        <v>46293</v>
      </c>
      <c r="B30" s="2" t="inlineStr">
        <is>
          <t>History</t>
        </is>
      </c>
      <c r="C30" s="13" t="n">
        <v>10478.31</v>
      </c>
      <c r="D30" s="13" t="n">
        <v>10203.68</v>
      </c>
      <c r="E30" s="13" t="n">
        <v>10565</v>
      </c>
      <c r="F30" s="13" t="n">
        <v>86.69</v>
      </c>
      <c r="G30" s="13" t="n">
        <v>8828.41</v>
      </c>
      <c r="H30" s="13" t="n">
        <v>718.23</v>
      </c>
      <c r="I30" s="13" t="n">
        <v>3784</v>
      </c>
      <c r="J30" s="13" t="n">
        <v>44.36</v>
      </c>
      <c r="K30" s="13" t="n">
        <v>1823.24</v>
      </c>
      <c r="L30" s="13" t="n">
        <v>1971.56</v>
      </c>
      <c r="M30" s="13" t="n">
        <v>148.32</v>
      </c>
      <c r="N30" s="18" t="n">
        <v>40.66</v>
      </c>
      <c r="O30" s="13" t="n">
        <v>1635</v>
      </c>
      <c r="P30" s="13" t="n">
        <v>879.91</v>
      </c>
      <c r="Q30" s="13" t="n">
        <v>1917.06</v>
      </c>
      <c r="R30" s="13" t="n">
        <v>1186.92</v>
      </c>
      <c r="S30" s="13" t="n">
        <v>1089.62</v>
      </c>
      <c r="T30" s="13" t="n">
        <v>-346.75</v>
      </c>
      <c r="U30" s="18" t="n"/>
      <c r="V30" s="19" t="n"/>
      <c r="W30" s="18" t="n">
        <v>32.04</v>
      </c>
      <c r="X30" s="18" t="n">
        <v>30.09</v>
      </c>
      <c r="Y30" s="18" t="n">
        <v>79.90000000000001</v>
      </c>
      <c r="Z30" s="13" t="n">
        <v>0</v>
      </c>
      <c r="AA30" s="18" t="n">
        <v>35.51</v>
      </c>
      <c r="AB30" s="18" t="n">
        <v>29</v>
      </c>
      <c r="AC30" s="18" t="n">
        <v>-5.42</v>
      </c>
      <c r="AD30" s="18" t="n">
        <v>17.9</v>
      </c>
      <c r="AE30" s="18" t="n">
        <v>9.52</v>
      </c>
      <c r="AF30" s="18" t="n">
        <v>22.13</v>
      </c>
      <c r="AG30" s="18" t="n">
        <v>486.11</v>
      </c>
      <c r="AH30" s="18" t="n">
        <v>19.5</v>
      </c>
      <c r="AI30" s="13" t="n">
        <v>1200</v>
      </c>
    </row>
    <row r="31">
      <c r="A31" s="17" t="n">
        <v>46294</v>
      </c>
      <c r="B31" s="2" t="inlineStr">
        <is>
          <t>History</t>
        </is>
      </c>
      <c r="C31" s="13" t="n">
        <v>10365.64</v>
      </c>
      <c r="D31" s="13" t="n">
        <v>10161.43</v>
      </c>
      <c r="E31" s="13" t="n">
        <v>10493</v>
      </c>
      <c r="F31" s="13" t="n">
        <v>127.36</v>
      </c>
      <c r="G31" s="13" t="n">
        <v>8764.99</v>
      </c>
      <c r="H31" s="13" t="n">
        <v>765.4299999999999</v>
      </c>
      <c r="I31" s="13" t="n">
        <v>3680</v>
      </c>
      <c r="J31" s="13" t="n">
        <v>81.41</v>
      </c>
      <c r="K31" s="13" t="n">
        <v>3385.81</v>
      </c>
      <c r="L31" s="13" t="n">
        <v>3439.71</v>
      </c>
      <c r="M31" s="13" t="n">
        <v>53.91</v>
      </c>
      <c r="N31" s="18" t="n">
        <v>80.86</v>
      </c>
      <c r="O31" s="13" t="n">
        <v>899</v>
      </c>
      <c r="P31" s="13" t="n">
        <v>2143.68</v>
      </c>
      <c r="Q31" s="13" t="n">
        <v>2464.03</v>
      </c>
      <c r="R31" s="13" t="n">
        <v>2426.47</v>
      </c>
      <c r="S31" s="13" t="n">
        <v>1198</v>
      </c>
      <c r="T31" s="13" t="n">
        <v>-848.9299999999999</v>
      </c>
      <c r="U31" s="18" t="n"/>
      <c r="V31" s="19" t="n"/>
      <c r="W31" s="18" t="n"/>
      <c r="X31" s="18" t="n"/>
      <c r="Y31" s="18" t="n"/>
      <c r="Z31" s="13" t="n"/>
      <c r="AA31" s="18" t="n">
        <v>35.51</v>
      </c>
      <c r="AB31" s="18" t="n">
        <v>29</v>
      </c>
      <c r="AC31" s="18" t="n"/>
      <c r="AD31" s="18" t="n">
        <v>14.87</v>
      </c>
      <c r="AE31" s="18" t="n">
        <v>11.92</v>
      </c>
      <c r="AF31" s="18" t="n">
        <v>29.91</v>
      </c>
      <c r="AG31" s="18" t="n">
        <v>444.78</v>
      </c>
      <c r="AH31" s="18" t="n">
        <v>58.61</v>
      </c>
      <c r="AI31" s="13" t="n">
        <v>1200</v>
      </c>
    </row>
    <row r="32">
      <c r="A32" s="20" t="n">
        <v>46295</v>
      </c>
      <c r="B32" s="21" t="inlineStr">
        <is>
          <t>Tomorrow</t>
        </is>
      </c>
      <c r="C32" s="22" t="n">
        <v>10342</v>
      </c>
      <c r="D32" s="22" t="n">
        <v>10173.81</v>
      </c>
      <c r="E32" s="22" t="n"/>
      <c r="F32" s="22" t="n"/>
      <c r="G32" s="22" t="n">
        <v>9451.690000000001</v>
      </c>
      <c r="H32" s="22" t="n">
        <v>830.8099999999999</v>
      </c>
      <c r="I32" s="22" t="n">
        <v>3096</v>
      </c>
      <c r="J32" s="22" t="n"/>
      <c r="K32" s="22" t="n">
        <v>1063.48</v>
      </c>
      <c r="L32" s="22" t="n"/>
      <c r="M32" s="22" t="n"/>
      <c r="N32" s="23" t="n">
        <v>26.08</v>
      </c>
      <c r="O32" s="22" t="n">
        <v>1388.23</v>
      </c>
      <c r="P32" s="22" t="n">
        <v>652.8099999999999</v>
      </c>
      <c r="Q32" s="22" t="n">
        <v>1840.58</v>
      </c>
      <c r="R32" s="22" t="n">
        <v>893.8099999999999</v>
      </c>
      <c r="S32" s="22" t="n">
        <v>1198</v>
      </c>
      <c r="T32" s="22" t="n"/>
      <c r="U32" s="23" t="n"/>
      <c r="V32" s="24" t="n"/>
      <c r="W32" s="23" t="n"/>
      <c r="X32" s="23" t="n"/>
      <c r="Y32" s="23" t="n"/>
      <c r="Z32" s="22" t="n"/>
      <c r="AA32" s="23" t="n">
        <v>35.51</v>
      </c>
      <c r="AB32" s="23" t="n">
        <v>29</v>
      </c>
      <c r="AC32" s="23" t="n"/>
      <c r="AD32" s="23" t="n"/>
      <c r="AE32" s="23" t="n"/>
      <c r="AF32" s="23" t="n"/>
      <c r="AG32" s="23" t="n"/>
      <c r="AH32" s="23" t="n"/>
      <c r="AI32" s="22" t="n">
        <v>1200</v>
      </c>
    </row>
    <row r="33">
      <c r="A33" s="17" t="n">
        <v>46296</v>
      </c>
      <c r="B33" s="2" t="inlineStr">
        <is>
          <t>Forward</t>
        </is>
      </c>
      <c r="C33" s="13" t="n">
        <v>10298</v>
      </c>
      <c r="D33" s="13" t="n">
        <v>10206.44</v>
      </c>
      <c r="E33" s="13" t="n"/>
      <c r="F33" s="13" t="n"/>
      <c r="G33" s="13" t="n">
        <v>9522.879999999999</v>
      </c>
      <c r="H33" s="13" t="n">
        <v>842.4400000000001</v>
      </c>
      <c r="I33" s="13" t="n">
        <v>3001</v>
      </c>
      <c r="J33" s="13" t="n"/>
      <c r="K33" s="13" t="n">
        <v>521.34</v>
      </c>
      <c r="L33" s="13" t="n"/>
      <c r="M33" s="13" t="n"/>
      <c r="N33" s="18" t="n">
        <v>12.91</v>
      </c>
      <c r="O33" s="13" t="n">
        <v>1400.62</v>
      </c>
      <c r="P33" s="13" t="n">
        <v>624.42</v>
      </c>
      <c r="Q33" s="13" t="n">
        <v>1318.88</v>
      </c>
      <c r="R33" s="13" t="n">
        <v>835.42</v>
      </c>
      <c r="S33" s="13" t="n">
        <v>1198</v>
      </c>
      <c r="T33" s="13" t="n"/>
      <c r="U33" s="18" t="n"/>
      <c r="V33" s="19" t="n"/>
      <c r="W33" s="18" t="n"/>
      <c r="X33" s="18" t="n"/>
      <c r="Y33" s="18" t="n"/>
      <c r="Z33" s="13" t="n"/>
      <c r="AA33" s="18" t="n">
        <v>39.5</v>
      </c>
      <c r="AB33" s="18" t="n">
        <v>33</v>
      </c>
      <c r="AC33" s="18" t="n"/>
      <c r="AD33" s="18" t="n"/>
      <c r="AE33" s="18" t="n"/>
      <c r="AF33" s="18" t="n"/>
      <c r="AG33" s="18" t="n"/>
      <c r="AH33" s="18" t="n"/>
      <c r="AI33" s="13" t="n">
        <v>1200</v>
      </c>
    </row>
    <row r="34">
      <c r="A34" s="17" t="n">
        <v>46297</v>
      </c>
      <c r="B34" s="2" t="inlineStr">
        <is>
          <t>Forward</t>
        </is>
      </c>
      <c r="C34" s="13" t="n">
        <v>10364</v>
      </c>
      <c r="D34" s="13" t="n">
        <v>10283.38</v>
      </c>
      <c r="E34" s="13" t="n"/>
      <c r="F34" s="13" t="n"/>
      <c r="G34" s="13" t="n">
        <v>9664.559999999999</v>
      </c>
      <c r="H34" s="13" t="n">
        <v>815.62</v>
      </c>
      <c r="I34" s="13" t="n">
        <v>2923</v>
      </c>
      <c r="J34" s="13" t="n"/>
      <c r="K34" s="13" t="n">
        <v>970.91</v>
      </c>
      <c r="L34" s="13" t="n"/>
      <c r="M34" s="13" t="n"/>
      <c r="N34" s="18" t="n">
        <v>26.55</v>
      </c>
      <c r="O34" s="13" t="n">
        <v>1184.95</v>
      </c>
      <c r="P34" s="13" t="n">
        <v>1231.48</v>
      </c>
      <c r="Q34" s="13" t="n">
        <v>1725.12</v>
      </c>
      <c r="R34" s="13" t="n">
        <v>1491.48</v>
      </c>
      <c r="S34" s="13" t="n">
        <v>1198</v>
      </c>
      <c r="T34" s="13" t="n"/>
      <c r="U34" s="18" t="n"/>
      <c r="V34" s="19" t="n"/>
      <c r="W34" s="18" t="n"/>
      <c r="X34" s="18" t="n"/>
      <c r="Y34" s="18" t="n"/>
      <c r="Z34" s="13" t="n"/>
      <c r="AA34" s="18" t="n">
        <v>39.5</v>
      </c>
      <c r="AB34" s="18" t="n">
        <v>33</v>
      </c>
      <c r="AC34" s="18" t="n"/>
      <c r="AD34" s="18" t="n"/>
      <c r="AE34" s="18" t="n"/>
      <c r="AF34" s="18" t="n"/>
      <c r="AG34" s="18" t="n"/>
      <c r="AH34" s="18" t="n"/>
      <c r="AI34" s="13" t="n">
        <v>1200</v>
      </c>
    </row>
    <row r="35">
      <c r="A35" s="17" t="n">
        <v>46298</v>
      </c>
      <c r="B35" s="2" t="inlineStr">
        <is>
          <t>Forward</t>
        </is>
      </c>
      <c r="C35" s="13" t="n">
        <v>10160</v>
      </c>
      <c r="D35" s="13" t="n">
        <v>10004.5</v>
      </c>
      <c r="E35" s="13" t="n"/>
      <c r="F35" s="13" t="n"/>
      <c r="G35" s="13" t="n">
        <v>9862.440000000001</v>
      </c>
      <c r="H35" s="13" t="n">
        <v>824.75</v>
      </c>
      <c r="I35" s="13" t="n">
        <v>2693</v>
      </c>
      <c r="J35" s="13" t="n"/>
      <c r="K35" s="13" t="n">
        <v>596.04</v>
      </c>
      <c r="L35" s="13" t="n"/>
      <c r="M35" s="13" t="n"/>
      <c r="N35" s="18" t="n">
        <v>12.1</v>
      </c>
      <c r="O35" s="13" t="n">
        <v>1420.25</v>
      </c>
      <c r="P35" s="13" t="n">
        <v>1138.97</v>
      </c>
      <c r="Q35" s="13" t="n">
        <v>1986.9</v>
      </c>
      <c r="R35" s="13" t="n">
        <v>1398.97</v>
      </c>
      <c r="S35" s="13" t="n">
        <v>1198</v>
      </c>
      <c r="T35" s="13" t="n"/>
      <c r="U35" s="18" t="n"/>
      <c r="V35" s="19" t="n"/>
      <c r="W35" s="18" t="n"/>
      <c r="X35" s="18" t="n"/>
      <c r="Y35" s="18" t="n"/>
      <c r="Z35" s="13" t="n"/>
      <c r="AA35" s="18" t="n">
        <v>39.5</v>
      </c>
      <c r="AB35" s="18" t="n">
        <v>33</v>
      </c>
      <c r="AC35" s="18" t="n"/>
      <c r="AD35" s="18" t="n"/>
      <c r="AE35" s="18" t="n"/>
      <c r="AF35" s="18" t="n"/>
      <c r="AG35" s="18" t="n"/>
      <c r="AH35" s="18" t="n"/>
      <c r="AI35" s="13" t="n">
        <v>1200</v>
      </c>
    </row>
    <row r="36">
      <c r="A36" s="17" t="n">
        <v>46299</v>
      </c>
      <c r="B36" s="2" t="inlineStr">
        <is>
          <t>Forward</t>
        </is>
      </c>
      <c r="C36" s="13" t="n">
        <v>10198</v>
      </c>
      <c r="D36" s="13" t="n">
        <v>9965.379999999999</v>
      </c>
      <c r="E36" s="13" t="n"/>
      <c r="F36" s="13" t="n"/>
      <c r="G36" s="13" t="n">
        <v>9871.5</v>
      </c>
      <c r="H36" s="13" t="n">
        <v>808.6900000000001</v>
      </c>
      <c r="I36" s="13" t="n">
        <v>2693</v>
      </c>
      <c r="J36" s="13" t="n"/>
      <c r="K36" s="13" t="n">
        <v>989.5700000000001</v>
      </c>
      <c r="L36" s="13" t="n"/>
      <c r="M36" s="13" t="n"/>
      <c r="N36" s="18" t="n">
        <v>21.16</v>
      </c>
      <c r="O36" s="13" t="n">
        <v>1397.96</v>
      </c>
      <c r="P36" s="13" t="n">
        <v>1477.95</v>
      </c>
      <c r="Q36" s="13" t="n">
        <v>2394.48</v>
      </c>
      <c r="R36" s="13" t="n">
        <v>1838.95</v>
      </c>
      <c r="S36" s="13" t="n">
        <v>1198</v>
      </c>
      <c r="T36" s="13" t="n"/>
      <c r="U36" s="18" t="n"/>
      <c r="V36" s="19" t="n"/>
      <c r="W36" s="18" t="n"/>
      <c r="X36" s="18" t="n"/>
      <c r="Y36" s="18" t="n"/>
      <c r="Z36" s="13" t="n"/>
      <c r="AA36" s="18" t="n">
        <v>39.5</v>
      </c>
      <c r="AB36" s="18" t="n">
        <v>33</v>
      </c>
      <c r="AC36" s="18" t="n"/>
      <c r="AD36" s="18" t="n"/>
      <c r="AE36" s="18" t="n"/>
      <c r="AF36" s="18" t="n"/>
      <c r="AG36" s="18" t="n"/>
      <c r="AH36" s="18" t="n"/>
      <c r="AI36" s="13" t="n">
        <v>1200</v>
      </c>
    </row>
    <row r="37">
      <c r="A37" s="17" t="n">
        <v>46300</v>
      </c>
      <c r="B37" s="2" t="inlineStr">
        <is>
          <t>Forward</t>
        </is>
      </c>
      <c r="C37" s="13" t="n">
        <v>10432</v>
      </c>
      <c r="D37" s="13" t="n">
        <v>10306.56</v>
      </c>
      <c r="E37" s="13" t="n"/>
      <c r="F37" s="13" t="n"/>
      <c r="G37" s="13" t="n">
        <v>9604.559999999999</v>
      </c>
      <c r="H37" s="13" t="n">
        <v>836.25</v>
      </c>
      <c r="I37" s="13" t="n">
        <v>2914</v>
      </c>
      <c r="J37" s="13" t="n"/>
      <c r="K37" s="13" t="n">
        <v>1570.72</v>
      </c>
      <c r="L37" s="13" t="n"/>
      <c r="M37" s="13" t="n"/>
      <c r="N37" s="18" t="n">
        <v>42.45</v>
      </c>
      <c r="O37" s="13" t="n">
        <v>1386.58</v>
      </c>
      <c r="P37" s="13" t="n">
        <v>1556.35</v>
      </c>
      <c r="Q37" s="13" t="n">
        <v>2358.57</v>
      </c>
      <c r="R37" s="13" t="n">
        <v>1613.35</v>
      </c>
      <c r="S37" s="13" t="n">
        <v>1198</v>
      </c>
      <c r="T37" s="13" t="n"/>
      <c r="U37" s="18" t="n"/>
      <c r="V37" s="19" t="n"/>
      <c r="W37" s="18" t="n"/>
      <c r="X37" s="18" t="n"/>
      <c r="Y37" s="18" t="n"/>
      <c r="Z37" s="13" t="n"/>
      <c r="AA37" s="18" t="n">
        <v>39.5</v>
      </c>
      <c r="AB37" s="18" t="n">
        <v>33</v>
      </c>
      <c r="AC37" s="18" t="n"/>
      <c r="AD37" s="18" t="n"/>
      <c r="AE37" s="18" t="n"/>
      <c r="AF37" s="18" t="n"/>
      <c r="AG37" s="18" t="n"/>
      <c r="AH37" s="18" t="n"/>
      <c r="AI37" s="13" t="n">
        <v>1200</v>
      </c>
    </row>
    <row r="38">
      <c r="A38" s="17" t="n">
        <v>46301</v>
      </c>
      <c r="B38" s="2" t="inlineStr">
        <is>
          <t>Forward</t>
        </is>
      </c>
      <c r="C38" s="13" t="n">
        <v>10359</v>
      </c>
      <c r="D38" s="13" t="n">
        <v>10224.81</v>
      </c>
      <c r="E38" s="13" t="n"/>
      <c r="F38" s="13" t="n"/>
      <c r="G38" s="13" t="n">
        <v>9216.940000000001</v>
      </c>
      <c r="H38" s="13" t="n">
        <v>819</v>
      </c>
      <c r="I38" s="13" t="n">
        <v>3276</v>
      </c>
      <c r="J38" s="13" t="n"/>
      <c r="K38" s="13" t="n">
        <v>2089</v>
      </c>
      <c r="L38" s="13" t="n"/>
      <c r="M38" s="13" t="n"/>
      <c r="N38" s="18" t="n">
        <v>47.08</v>
      </c>
      <c r="O38" s="13" t="n">
        <v>1407.64</v>
      </c>
      <c r="P38" s="13" t="n">
        <v>1743.12</v>
      </c>
      <c r="Q38" s="13" t="n">
        <v>2245.52</v>
      </c>
      <c r="R38" s="13" t="n">
        <v>1794.12</v>
      </c>
      <c r="S38" s="13" t="n">
        <v>1198</v>
      </c>
      <c r="T38" s="13" t="n"/>
      <c r="U38" s="18" t="n"/>
      <c r="V38" s="19" t="n"/>
      <c r="W38" s="18" t="n"/>
      <c r="X38" s="18" t="n"/>
      <c r="Y38" s="18" t="n"/>
      <c r="Z38" s="13" t="n"/>
      <c r="AA38" s="18" t="n">
        <v>39.5</v>
      </c>
      <c r="AB38" s="18" t="n">
        <v>33</v>
      </c>
      <c r="AC38" s="18" t="n"/>
      <c r="AD38" s="18" t="n"/>
      <c r="AE38" s="18" t="n"/>
      <c r="AF38" s="18" t="n"/>
      <c r="AG38" s="18" t="n"/>
      <c r="AH38" s="18" t="n"/>
      <c r="AI38" s="13" t="n">
        <v>1200</v>
      </c>
    </row>
    <row r="39">
      <c r="A39" s="17" t="n">
        <v>46302</v>
      </c>
      <c r="B39" s="2" t="inlineStr">
        <is>
          <t>Forward</t>
        </is>
      </c>
      <c r="C39" s="13" t="n">
        <v>10366</v>
      </c>
      <c r="D39" s="13" t="n">
        <v>10243.19</v>
      </c>
      <c r="E39" s="13" t="n"/>
      <c r="F39" s="13" t="n"/>
      <c r="G39" s="13" t="n">
        <v>9283.379999999999</v>
      </c>
      <c r="H39" s="13" t="n">
        <v>853</v>
      </c>
      <c r="I39" s="13" t="n">
        <v>3236</v>
      </c>
      <c r="J39" s="13" t="n"/>
      <c r="K39" s="13" t="n">
        <v>2057</v>
      </c>
      <c r="L39" s="13" t="n"/>
      <c r="M39" s="13" t="n"/>
      <c r="N39" s="18" t="n">
        <v>46.36</v>
      </c>
      <c r="O39" s="13" t="n"/>
      <c r="P39" s="13" t="n">
        <v>1820.12</v>
      </c>
      <c r="Q39" s="13" t="n">
        <v>1928.31</v>
      </c>
      <c r="R39" s="13" t="n">
        <v>1905.12</v>
      </c>
      <c r="S39" s="13" t="n">
        <v>1198</v>
      </c>
      <c r="T39" s="13" t="n"/>
      <c r="U39" s="18" t="n"/>
      <c r="V39" s="19" t="n"/>
      <c r="W39" s="18" t="n"/>
      <c r="X39" s="18" t="n"/>
      <c r="Y39" s="18" t="n"/>
      <c r="Z39" s="13" t="n"/>
      <c r="AA39" s="18" t="n">
        <v>39.5</v>
      </c>
      <c r="AB39" s="18" t="n">
        <v>33</v>
      </c>
      <c r="AC39" s="18" t="n"/>
      <c r="AD39" s="18" t="n"/>
      <c r="AE39" s="18" t="n"/>
      <c r="AF39" s="18" t="n"/>
      <c r="AG39" s="18" t="n"/>
      <c r="AH39" s="18" t="n"/>
      <c r="AI39" s="13" t="n">
        <v>1200</v>
      </c>
    </row>
    <row r="40">
      <c r="A40" s="17" t="n">
        <v>46303</v>
      </c>
      <c r="B40" s="2" t="inlineStr">
        <is>
          <t>Forward</t>
        </is>
      </c>
      <c r="C40" s="13" t="n">
        <v>10379</v>
      </c>
      <c r="D40" s="13" t="n">
        <v>10257.81</v>
      </c>
      <c r="E40" s="13" t="n"/>
      <c r="F40" s="13" t="n"/>
      <c r="G40" s="13" t="n">
        <v>9341.120000000001</v>
      </c>
      <c r="H40" s="13" t="n">
        <v>874</v>
      </c>
      <c r="I40" s="13" t="n">
        <v>3143</v>
      </c>
      <c r="J40" s="13" t="n"/>
      <c r="K40" s="13" t="n">
        <v>2073</v>
      </c>
      <c r="L40" s="13" t="n"/>
      <c r="M40" s="13" t="n"/>
      <c r="N40" s="18" t="n">
        <v>46.72</v>
      </c>
      <c r="O40" s="13" t="n"/>
      <c r="P40" s="13" t="n">
        <v>1903.12</v>
      </c>
      <c r="Q40" s="13" t="n">
        <v>2008.43</v>
      </c>
      <c r="R40" s="13" t="n">
        <v>1985.12</v>
      </c>
      <c r="S40" s="13" t="n">
        <v>1198</v>
      </c>
      <c r="T40" s="13" t="n"/>
      <c r="U40" s="18" t="n"/>
      <c r="V40" s="19" t="n"/>
      <c r="W40" s="18" t="n"/>
      <c r="X40" s="18" t="n"/>
      <c r="Y40" s="18" t="n"/>
      <c r="Z40" s="13" t="n"/>
      <c r="AA40" s="18" t="n">
        <v>39.5</v>
      </c>
      <c r="AB40" s="18" t="n">
        <v>33</v>
      </c>
      <c r="AC40" s="18" t="n"/>
      <c r="AD40" s="18" t="n"/>
      <c r="AE40" s="18" t="n"/>
      <c r="AF40" s="18" t="n"/>
      <c r="AG40" s="18" t="n"/>
      <c r="AH40" s="18" t="n"/>
      <c r="AI40" s="13" t="n">
        <v>1200</v>
      </c>
    </row>
    <row r="41">
      <c r="A41" s="17" t="n">
        <v>46304</v>
      </c>
      <c r="B41" s="2" t="inlineStr">
        <is>
          <t>Forward</t>
        </is>
      </c>
      <c r="C41" s="13" t="n">
        <v>10351</v>
      </c>
      <c r="D41" s="13" t="n">
        <v>10274.62</v>
      </c>
      <c r="E41" s="13" t="n"/>
      <c r="F41" s="13" t="n"/>
      <c r="G41" s="13" t="n">
        <v>10091.44</v>
      </c>
      <c r="H41" s="13" t="n">
        <v>844</v>
      </c>
      <c r="I41" s="13" t="n">
        <v>2499</v>
      </c>
      <c r="J41" s="13" t="n"/>
      <c r="K41" s="13" t="n">
        <v>2055</v>
      </c>
      <c r="L41" s="13" t="n"/>
      <c r="M41" s="13" t="n"/>
      <c r="N41" s="18" t="n">
        <v>46.32</v>
      </c>
      <c r="O41" s="13" t="n"/>
      <c r="P41" s="13" t="n">
        <v>2381.12</v>
      </c>
      <c r="Q41" s="13" t="n">
        <v>2707.93</v>
      </c>
      <c r="R41" s="13" t="n">
        <v>2502.12</v>
      </c>
      <c r="S41" s="13" t="n">
        <v>1198</v>
      </c>
      <c r="T41" s="13" t="n"/>
      <c r="U41" s="18" t="n"/>
      <c r="V41" s="19" t="n"/>
      <c r="W41" s="18" t="n"/>
      <c r="X41" s="18" t="n"/>
      <c r="Y41" s="18" t="n"/>
      <c r="Z41" s="13" t="n"/>
      <c r="AA41" s="18" t="n">
        <v>39.5</v>
      </c>
      <c r="AB41" s="18" t="n">
        <v>33</v>
      </c>
      <c r="AC41" s="18" t="n"/>
      <c r="AD41" s="18" t="n"/>
      <c r="AE41" s="18" t="n"/>
      <c r="AF41" s="18" t="n"/>
      <c r="AG41" s="18" t="n"/>
      <c r="AH41" s="18" t="n"/>
      <c r="AI41" s="13" t="n">
        <v>1200</v>
      </c>
    </row>
    <row r="42">
      <c r="A42" s="17" t="n">
        <v>46305</v>
      </c>
      <c r="B42" s="2" t="inlineStr">
        <is>
          <t>Forward</t>
        </is>
      </c>
      <c r="C42" s="13" t="n">
        <v>10211</v>
      </c>
      <c r="D42" s="13" t="n">
        <v>10032.44</v>
      </c>
      <c r="E42" s="13" t="n"/>
      <c r="F42" s="13" t="n"/>
      <c r="G42" s="13" t="n">
        <v>10416</v>
      </c>
      <c r="H42" s="13" t="n">
        <v>862</v>
      </c>
      <c r="I42" s="13" t="n">
        <v>2095</v>
      </c>
      <c r="J42" s="13" t="n"/>
      <c r="K42" s="13" t="n">
        <v>2064</v>
      </c>
      <c r="L42" s="13" t="n"/>
      <c r="M42" s="13" t="n"/>
      <c r="N42" s="18" t="n">
        <v>46.52</v>
      </c>
      <c r="O42" s="13" t="n"/>
      <c r="P42" s="13" t="n">
        <v>3117.12</v>
      </c>
      <c r="Q42" s="13" t="n">
        <v>3301.68</v>
      </c>
      <c r="R42" s="13" t="n">
        <v>3227.12</v>
      </c>
      <c r="S42" s="13" t="n">
        <v>1198</v>
      </c>
      <c r="T42" s="13" t="n"/>
      <c r="U42" s="18" t="n"/>
      <c r="V42" s="19" t="n"/>
      <c r="W42" s="18" t="n"/>
      <c r="X42" s="18" t="n"/>
      <c r="Y42" s="18" t="n"/>
      <c r="Z42" s="13" t="n"/>
      <c r="AA42" s="18" t="n">
        <v>39.5</v>
      </c>
      <c r="AB42" s="18" t="n">
        <v>33</v>
      </c>
      <c r="AC42" s="18" t="n"/>
      <c r="AD42" s="18" t="n"/>
      <c r="AE42" s="18" t="n"/>
      <c r="AF42" s="18" t="n"/>
      <c r="AG42" s="18" t="n"/>
      <c r="AH42" s="18" t="n"/>
      <c r="AI42" s="13" t="n">
        <v>1200</v>
      </c>
    </row>
    <row r="43">
      <c r="A43" s="17" t="n">
        <v>46306</v>
      </c>
      <c r="B43" s="2" t="inlineStr">
        <is>
          <t>Forward</t>
        </is>
      </c>
      <c r="C43" s="13" t="n">
        <v>10271</v>
      </c>
      <c r="D43" s="13" t="n">
        <v>10022.06</v>
      </c>
      <c r="E43" s="13" t="n"/>
      <c r="F43" s="13" t="n"/>
      <c r="G43" s="13" t="n">
        <v>10512</v>
      </c>
      <c r="H43" s="13" t="n">
        <v>904</v>
      </c>
      <c r="I43" s="13" t="n">
        <v>1971</v>
      </c>
      <c r="J43" s="13" t="n"/>
      <c r="K43" s="13" t="n">
        <v>2120</v>
      </c>
      <c r="L43" s="13" t="n"/>
      <c r="M43" s="13" t="n"/>
      <c r="N43" s="18" t="n">
        <v>47.78</v>
      </c>
      <c r="O43" s="13" t="n"/>
      <c r="P43" s="13" t="n">
        <v>3257.12</v>
      </c>
      <c r="Q43" s="13" t="n">
        <v>3506.06</v>
      </c>
      <c r="R43" s="13" t="n">
        <v>3319.12</v>
      </c>
      <c r="S43" s="13" t="n">
        <v>1198</v>
      </c>
      <c r="T43" s="13" t="n"/>
      <c r="U43" s="18" t="n"/>
      <c r="V43" s="19" t="n"/>
      <c r="W43" s="18" t="n"/>
      <c r="X43" s="18" t="n"/>
      <c r="Y43" s="18" t="n"/>
      <c r="Z43" s="13" t="n"/>
      <c r="AA43" s="18" t="n">
        <v>39.5</v>
      </c>
      <c r="AB43" s="18" t="n">
        <v>33</v>
      </c>
      <c r="AC43" s="18" t="n"/>
      <c r="AD43" s="18" t="n"/>
      <c r="AE43" s="18" t="n"/>
      <c r="AF43" s="18" t="n"/>
      <c r="AG43" s="18" t="n"/>
      <c r="AH43" s="18" t="n"/>
      <c r="AI43" s="13" t="n">
        <v>1200</v>
      </c>
    </row>
    <row r="44">
      <c r="A44" s="17" t="n">
        <v>46307</v>
      </c>
      <c r="B44" s="2" t="inlineStr">
        <is>
          <t>Forward</t>
        </is>
      </c>
      <c r="C44" s="13" t="n">
        <v>10320</v>
      </c>
      <c r="D44" s="13" t="n">
        <v>10067.88</v>
      </c>
      <c r="E44" s="13" t="n"/>
      <c r="F44" s="13" t="n"/>
      <c r="G44" s="13" t="n">
        <v>10512</v>
      </c>
      <c r="H44" s="13" t="n">
        <v>904</v>
      </c>
      <c r="I44" s="13" t="n">
        <v>1972</v>
      </c>
      <c r="J44" s="13" t="n"/>
      <c r="K44" s="13" t="n">
        <v>2142</v>
      </c>
      <c r="L44" s="13" t="n"/>
      <c r="M44" s="13" t="n"/>
      <c r="N44" s="18" t="n">
        <v>48.28</v>
      </c>
      <c r="O44" s="13" t="n"/>
      <c r="P44" s="13" t="n">
        <v>3225.12</v>
      </c>
      <c r="Q44" s="13" t="n">
        <v>3478.18</v>
      </c>
      <c r="R44" s="13" t="n">
        <v>3287.12</v>
      </c>
      <c r="S44" s="13" t="n">
        <v>1198</v>
      </c>
      <c r="T44" s="13" t="n"/>
      <c r="U44" s="18" t="n"/>
      <c r="V44" s="19" t="n"/>
      <c r="W44" s="18" t="n"/>
      <c r="X44" s="18" t="n"/>
      <c r="Y44" s="18" t="n"/>
      <c r="Z44" s="13" t="n"/>
      <c r="AA44" s="18" t="n">
        <v>39.5</v>
      </c>
      <c r="AB44" s="18" t="n">
        <v>33</v>
      </c>
      <c r="AC44" s="18" t="n"/>
      <c r="AD44" s="18" t="n"/>
      <c r="AE44" s="18" t="n"/>
      <c r="AF44" s="18" t="n"/>
      <c r="AG44" s="18" t="n"/>
      <c r="AH44" s="18" t="n"/>
      <c r="AI44" s="13" t="n">
        <v>1200</v>
      </c>
    </row>
    <row r="45">
      <c r="A45" s="17" t="n">
        <v>46308</v>
      </c>
      <c r="B45" s="2" t="inlineStr">
        <is>
          <t>Forward</t>
        </is>
      </c>
      <c r="C45" s="13" t="n"/>
      <c r="D45" s="13" t="n"/>
      <c r="E45" s="13" t="n"/>
      <c r="F45" s="13" t="n"/>
      <c r="G45" s="13" t="n">
        <v>10432.25</v>
      </c>
      <c r="H45" s="13" t="n">
        <v>903.5</v>
      </c>
      <c r="I45" s="13" t="n">
        <v>2048</v>
      </c>
      <c r="J45" s="13" t="n"/>
      <c r="K45" s="13" t="n">
        <v>2072</v>
      </c>
      <c r="L45" s="13" t="n"/>
      <c r="M45" s="13" t="n"/>
      <c r="N45" s="18" t="n">
        <v>46.7</v>
      </c>
      <c r="O45" s="13" t="n"/>
      <c r="P45" s="13" t="n"/>
      <c r="Q45" s="13" t="n"/>
      <c r="R45" s="13" t="n"/>
      <c r="S45" s="13" t="n">
        <v>1198</v>
      </c>
      <c r="T45" s="13" t="n"/>
      <c r="U45" s="18" t="n"/>
      <c r="V45" s="19" t="n"/>
      <c r="W45" s="18" t="n"/>
      <c r="X45" s="18" t="n"/>
      <c r="Y45" s="18" t="n"/>
      <c r="Z45" s="13" t="n"/>
      <c r="AA45" s="18" t="n">
        <v>39.5</v>
      </c>
      <c r="AB45" s="18" t="n">
        <v>33</v>
      </c>
      <c r="AC45" s="18" t="n"/>
      <c r="AD45" s="18" t="n"/>
      <c r="AE45" s="18" t="n"/>
      <c r="AF45" s="18" t="n"/>
      <c r="AG45" s="18" t="n"/>
      <c r="AH45" s="18" t="n"/>
      <c r="AI45" s="13" t="n">
        <v>1200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V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Next 14 days (tomorrow + 13):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5" t="inlineStr">
        <is>
          <t>AESO load forecast, daily peak (MW)</t>
        </is>
      </c>
      <c r="E3" s="25" t="inlineStr">
        <is>
          <t>AESO load forecast, HE8-23 avg (MW)</t>
        </is>
      </c>
      <c r="H3" s="25" t="inlineStr">
        <is>
          <t>Load actual, daily peak (MW)</t>
        </is>
      </c>
      <c r="K3" s="25" t="inlineStr">
        <is>
          <t>Load miss: actual peak - day-ahead forecast peak (MW)</t>
        </is>
      </c>
      <c r="N3" s="25" t="inlineStr">
        <is>
          <t>Baseload gas available (cogen + CC + GFS), HE8-23 avg (MW)</t>
        </is>
      </c>
      <c r="Q3" s="25" t="inlineStr">
        <is>
          <t>Simple cycle available, HE8-23 avg (MW)</t>
        </is>
      </c>
      <c r="T3" s="25" t="inlineStr">
        <is>
          <t>Thermal MW unavailable in the 90-day outage report (SC+cogen+CC+GFS) (MW)</t>
        </is>
      </c>
      <c r="W3" s="25" t="inlineStr">
        <is>
          <t>Trips: largest hour-over-hour drop in baseload gas available (MW)</t>
        </is>
      </c>
      <c r="Z3" s="25" t="inlineStr">
        <is>
          <t>Wind forecast, HE8-23 avg (MW)</t>
        </is>
      </c>
      <c r="AC3" s="25" t="inlineStr">
        <is>
          <t>Wind actual, HE8-23 avg (MW)</t>
        </is>
      </c>
      <c r="AF3" s="25" t="inlineStr">
        <is>
          <t>Wind miss: actual - day-ahead forecast, HE8-23 avg (MW)</t>
        </is>
      </c>
      <c r="AI3" s="25" t="inlineStr">
        <is>
          <t>Wind capacity factor, daily mean (calm day = below 16) (%)</t>
        </is>
      </c>
      <c r="AL3" s="25" t="inlineStr">
        <is>
          <t>Solar, daily max (actual history / forecast forward) (MW)</t>
        </is>
      </c>
      <c r="AO3" s="25" t="inlineStr">
        <is>
          <t>Cushion (internal dispatchable supply - net demand), tightest HE8-23 (MW)</t>
        </is>
      </c>
      <c r="AR3" s="25" t="inlineStr">
        <is>
          <t>Cushion, HE8-23 avg (MW)</t>
        </is>
      </c>
      <c r="AU3" s="25" t="inlineStr">
        <is>
          <t>Thermal remaining (baseload gas spare before SC), tightest HE8-23 (MW)</t>
        </is>
      </c>
      <c r="AX3" s="25" t="inlineStr">
        <is>
          <t>Import ATC, all paths, daily avg (MW)</t>
        </is>
      </c>
      <c r="BA3" s="25" t="inlineStr">
        <is>
          <t>Net imports actual scheduled, daily avg (MW)</t>
        </is>
      </c>
      <c r="BD3" s="25" t="inlineStr">
        <is>
          <t>Mid-C daily price (USD/MWh)</t>
        </is>
      </c>
      <c r="BG3" s="25" t="inlineStr">
        <is>
          <t>AB-NIT gas, daily ($/GJ)</t>
        </is>
      </c>
      <c r="BJ3" s="25" t="inlineStr">
        <is>
          <t>Pool price, 7x24 avg ($/MWh)</t>
        </is>
      </c>
      <c r="BM3" s="25" t="inlineStr">
        <is>
          <t>Pool price, HE8-23 avg ($/MWh)</t>
        </is>
      </c>
      <c r="BP3" s="25" t="inlineStr">
        <is>
          <t>Pool price, worst hour ($/MWh)</t>
        </is>
      </c>
      <c r="BS3" s="25" t="inlineStr">
        <is>
          <t>Hours over $100 (hours)</t>
        </is>
      </c>
      <c r="BV3" s="25" t="inlineStr">
        <is>
          <t>Day-ahead forward, peak (XDQ), last settle before delivery ($/MWh)</t>
        </is>
      </c>
      <c r="BY3" s="25" t="inlineStr">
        <is>
          <t>Day-ahead forward, flat (XDT), last settle before delivery ($/MWh)</t>
        </is>
      </c>
      <c r="CB3" s="25" t="inlineStr">
        <is>
          <t>Peak settle - day-ahead forward (+ = buys won) ($/MWh)</t>
        </is>
      </c>
      <c r="CE3" s="25" t="inlineStr">
        <is>
          <t>Max temperature, province avg (Calgary / Edmonton / Pincher) (deg C)</t>
        </is>
      </c>
      <c r="CH3" s="25" t="inlineStr">
        <is>
          <t>Mean temperature, province avg (deg C)</t>
        </is>
      </c>
      <c r="CK3" s="25" t="inlineStr">
        <is>
          <t>Wind at 100 m, province avg, HE8-23 (km/h)</t>
        </is>
      </c>
      <c r="CN3" s="25" t="inlineStr">
        <is>
          <t>Solar radiation, 11:00-16:00 avg (W/m2)</t>
        </is>
      </c>
      <c r="CQ3" s="25" t="inlineStr">
        <is>
          <t>Cloud cover, 11:00-16:00 avg (%)</t>
        </is>
      </c>
      <c r="CT3" s="25" t="inlineStr">
        <is>
          <t>Tight line: cushion below this = spike zone (MW)</t>
        </is>
      </c>
    </row>
    <row r="4">
      <c r="A4" s="3" t="inlineStr">
        <is>
          <t>Date</t>
        </is>
      </c>
      <c r="B4" s="26" t="inlineStr">
        <is>
          <t>Value</t>
        </is>
      </c>
      <c r="C4" s="26" t="inlineStr">
        <is>
          <t>vs last-14</t>
        </is>
      </c>
      <c r="D4" s="26" t="inlineStr">
        <is>
          <t>vs last-30</t>
        </is>
      </c>
      <c r="E4" s="26" t="inlineStr">
        <is>
          <t>Value</t>
        </is>
      </c>
      <c r="F4" s="26" t="inlineStr">
        <is>
          <t>vs last-14</t>
        </is>
      </c>
      <c r="G4" s="26" t="inlineStr">
        <is>
          <t>vs last-30</t>
        </is>
      </c>
      <c r="H4" s="26" t="inlineStr">
        <is>
          <t>Value</t>
        </is>
      </c>
      <c r="I4" s="26" t="inlineStr">
        <is>
          <t>vs last-14</t>
        </is>
      </c>
      <c r="J4" s="26" t="inlineStr">
        <is>
          <t>vs last-30</t>
        </is>
      </c>
      <c r="K4" s="26" t="inlineStr">
        <is>
          <t>Value</t>
        </is>
      </c>
      <c r="L4" s="26" t="inlineStr">
        <is>
          <t>vs last-14</t>
        </is>
      </c>
      <c r="M4" s="26" t="inlineStr">
        <is>
          <t>vs last-30</t>
        </is>
      </c>
      <c r="N4" s="26" t="inlineStr">
        <is>
          <t>Value</t>
        </is>
      </c>
      <c r="O4" s="26" t="inlineStr">
        <is>
          <t>vs last-14</t>
        </is>
      </c>
      <c r="P4" s="26" t="inlineStr">
        <is>
          <t>vs last-30</t>
        </is>
      </c>
      <c r="Q4" s="26" t="inlineStr">
        <is>
          <t>Value</t>
        </is>
      </c>
      <c r="R4" s="26" t="inlineStr">
        <is>
          <t>vs last-14</t>
        </is>
      </c>
      <c r="S4" s="26" t="inlineStr">
        <is>
          <t>vs last-30</t>
        </is>
      </c>
      <c r="T4" s="26" t="inlineStr">
        <is>
          <t>Value</t>
        </is>
      </c>
      <c r="U4" s="26" t="inlineStr">
        <is>
          <t>vs last-14</t>
        </is>
      </c>
      <c r="V4" s="26" t="inlineStr">
        <is>
          <t>vs last-30</t>
        </is>
      </c>
      <c r="W4" s="26" t="inlineStr">
        <is>
          <t>Value</t>
        </is>
      </c>
      <c r="X4" s="26" t="inlineStr">
        <is>
          <t>vs last-14</t>
        </is>
      </c>
      <c r="Y4" s="26" t="inlineStr">
        <is>
          <t>vs last-30</t>
        </is>
      </c>
      <c r="Z4" s="26" t="inlineStr">
        <is>
          <t>Value</t>
        </is>
      </c>
      <c r="AA4" s="26" t="inlineStr">
        <is>
          <t>vs last-14</t>
        </is>
      </c>
      <c r="AB4" s="26" t="inlineStr">
        <is>
          <t>vs last-30</t>
        </is>
      </c>
      <c r="AC4" s="26" t="inlineStr">
        <is>
          <t>Value</t>
        </is>
      </c>
      <c r="AD4" s="26" t="inlineStr">
        <is>
          <t>vs last-14</t>
        </is>
      </c>
      <c r="AE4" s="26" t="inlineStr">
        <is>
          <t>vs last-30</t>
        </is>
      </c>
      <c r="AF4" s="26" t="inlineStr">
        <is>
          <t>Value</t>
        </is>
      </c>
      <c r="AG4" s="26" t="inlineStr">
        <is>
          <t>vs last-14</t>
        </is>
      </c>
      <c r="AH4" s="26" t="inlineStr">
        <is>
          <t>vs last-30</t>
        </is>
      </c>
      <c r="AI4" s="26" t="inlineStr">
        <is>
          <t>Value</t>
        </is>
      </c>
      <c r="AJ4" s="26" t="inlineStr">
        <is>
          <t>vs last-14</t>
        </is>
      </c>
      <c r="AK4" s="26" t="inlineStr">
        <is>
          <t>vs last-30</t>
        </is>
      </c>
      <c r="AL4" s="26" t="inlineStr">
        <is>
          <t>Value</t>
        </is>
      </c>
      <c r="AM4" s="26" t="inlineStr">
        <is>
          <t>vs last-14</t>
        </is>
      </c>
      <c r="AN4" s="26" t="inlineStr">
        <is>
          <t>vs last-30</t>
        </is>
      </c>
      <c r="AO4" s="26" t="inlineStr">
        <is>
          <t>Value</t>
        </is>
      </c>
      <c r="AP4" s="26" t="inlineStr">
        <is>
          <t>vs last-14</t>
        </is>
      </c>
      <c r="AQ4" s="26" t="inlineStr">
        <is>
          <t>vs last-30</t>
        </is>
      </c>
      <c r="AR4" s="26" t="inlineStr">
        <is>
          <t>Value</t>
        </is>
      </c>
      <c r="AS4" s="26" t="inlineStr">
        <is>
          <t>vs last-14</t>
        </is>
      </c>
      <c r="AT4" s="26" t="inlineStr">
        <is>
          <t>vs last-30</t>
        </is>
      </c>
      <c r="AU4" s="26" t="inlineStr">
        <is>
          <t>Value</t>
        </is>
      </c>
      <c r="AV4" s="26" t="inlineStr">
        <is>
          <t>vs last-14</t>
        </is>
      </c>
      <c r="AW4" s="26" t="inlineStr">
        <is>
          <t>vs last-30</t>
        </is>
      </c>
      <c r="AX4" s="26" t="inlineStr">
        <is>
          <t>Value</t>
        </is>
      </c>
      <c r="AY4" s="26" t="inlineStr">
        <is>
          <t>vs last-14</t>
        </is>
      </c>
      <c r="AZ4" s="26" t="inlineStr">
        <is>
          <t>vs last-30</t>
        </is>
      </c>
      <c r="BA4" s="26" t="inlineStr">
        <is>
          <t>Value</t>
        </is>
      </c>
      <c r="BB4" s="26" t="inlineStr">
        <is>
          <t>vs last-14</t>
        </is>
      </c>
      <c r="BC4" s="26" t="inlineStr">
        <is>
          <t>vs last-30</t>
        </is>
      </c>
      <c r="BD4" s="26" t="inlineStr">
        <is>
          <t>Value</t>
        </is>
      </c>
      <c r="BE4" s="26" t="inlineStr">
        <is>
          <t>vs last-14</t>
        </is>
      </c>
      <c r="BF4" s="26" t="inlineStr">
        <is>
          <t>vs last-30</t>
        </is>
      </c>
      <c r="BG4" s="26" t="inlineStr">
        <is>
          <t>Value</t>
        </is>
      </c>
      <c r="BH4" s="26" t="inlineStr">
        <is>
          <t>vs last-14</t>
        </is>
      </c>
      <c r="BI4" s="26" t="inlineStr">
        <is>
          <t>vs last-30</t>
        </is>
      </c>
      <c r="BJ4" s="26" t="inlineStr">
        <is>
          <t>Value</t>
        </is>
      </c>
      <c r="BK4" s="26" t="inlineStr">
        <is>
          <t>vs last-14</t>
        </is>
      </c>
      <c r="BL4" s="26" t="inlineStr">
        <is>
          <t>vs last-30</t>
        </is>
      </c>
      <c r="BM4" s="26" t="inlineStr">
        <is>
          <t>Value</t>
        </is>
      </c>
      <c r="BN4" s="26" t="inlineStr">
        <is>
          <t>vs last-14</t>
        </is>
      </c>
      <c r="BO4" s="26" t="inlineStr">
        <is>
          <t>vs last-30</t>
        </is>
      </c>
      <c r="BP4" s="26" t="inlineStr">
        <is>
          <t>Value</t>
        </is>
      </c>
      <c r="BQ4" s="26" t="inlineStr">
        <is>
          <t>vs last-14</t>
        </is>
      </c>
      <c r="BR4" s="26" t="inlineStr">
        <is>
          <t>vs last-30</t>
        </is>
      </c>
      <c r="BS4" s="26" t="inlineStr">
        <is>
          <t>Value</t>
        </is>
      </c>
      <c r="BT4" s="26" t="inlineStr">
        <is>
          <t>vs last-14</t>
        </is>
      </c>
      <c r="BU4" s="26" t="inlineStr">
        <is>
          <t>vs last-30</t>
        </is>
      </c>
      <c r="BV4" s="26" t="inlineStr">
        <is>
          <t>Value</t>
        </is>
      </c>
      <c r="BW4" s="26" t="inlineStr">
        <is>
          <t>vs last-14</t>
        </is>
      </c>
      <c r="BX4" s="26" t="inlineStr">
        <is>
          <t>vs last-30</t>
        </is>
      </c>
      <c r="BY4" s="26" t="inlineStr">
        <is>
          <t>Value</t>
        </is>
      </c>
      <c r="BZ4" s="26" t="inlineStr">
        <is>
          <t>vs last-14</t>
        </is>
      </c>
      <c r="CA4" s="26" t="inlineStr">
        <is>
          <t>vs last-30</t>
        </is>
      </c>
      <c r="CB4" s="26" t="inlineStr">
        <is>
          <t>Value</t>
        </is>
      </c>
      <c r="CC4" s="26" t="inlineStr">
        <is>
          <t>vs last-14</t>
        </is>
      </c>
      <c r="CD4" s="26" t="inlineStr">
        <is>
          <t>vs last-30</t>
        </is>
      </c>
      <c r="CE4" s="26" t="inlineStr">
        <is>
          <t>Value</t>
        </is>
      </c>
      <c r="CF4" s="26" t="inlineStr">
        <is>
          <t>vs last-14</t>
        </is>
      </c>
      <c r="CG4" s="26" t="inlineStr">
        <is>
          <t>vs last-30</t>
        </is>
      </c>
      <c r="CH4" s="26" t="inlineStr">
        <is>
          <t>Value</t>
        </is>
      </c>
      <c r="CI4" s="26" t="inlineStr">
        <is>
          <t>vs last-14</t>
        </is>
      </c>
      <c r="CJ4" s="26" t="inlineStr">
        <is>
          <t>vs last-30</t>
        </is>
      </c>
      <c r="CK4" s="26" t="inlineStr">
        <is>
          <t>Value</t>
        </is>
      </c>
      <c r="CL4" s="26" t="inlineStr">
        <is>
          <t>vs last-14</t>
        </is>
      </c>
      <c r="CM4" s="26" t="inlineStr">
        <is>
          <t>vs last-30</t>
        </is>
      </c>
      <c r="CN4" s="26" t="inlineStr">
        <is>
          <t>Value</t>
        </is>
      </c>
      <c r="CO4" s="26" t="inlineStr">
        <is>
          <t>vs last-14</t>
        </is>
      </c>
      <c r="CP4" s="26" t="inlineStr">
        <is>
          <t>vs last-30</t>
        </is>
      </c>
      <c r="CQ4" s="26" t="inlineStr">
        <is>
          <t>Value</t>
        </is>
      </c>
      <c r="CR4" s="26" t="inlineStr">
        <is>
          <t>vs last-14</t>
        </is>
      </c>
      <c r="CS4" s="26" t="inlineStr">
        <is>
          <t>vs last-30</t>
        </is>
      </c>
      <c r="CT4" s="26" t="inlineStr">
        <is>
          <t>Value</t>
        </is>
      </c>
      <c r="CU4" s="26" t="inlineStr">
        <is>
          <t>vs last-14</t>
        </is>
      </c>
      <c r="CV4" s="26" t="inlineStr">
        <is>
          <t>vs last-30</t>
        </is>
      </c>
    </row>
    <row r="5">
      <c r="A5" s="27" t="n">
        <v>46295</v>
      </c>
      <c r="B5" s="7">
        <f>IFERROR(IF(INDEX(Data!$C$2:$C$45,MATCH($A5,Data!$A$2:$A$45,0))="","",INDEX(Data!$C$2:$C$45,MATCH($A5,Data!$A$2:$A$45,0))),"")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IFERROR(IF(INDEX(Data!$D$2:$D$45,MATCH($A5,Data!$A$2:$A$45,0))="","",INDEX(Data!$D$2:$D$45,MATCH($A5,Data!$A$2:$A$45,0))),"")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IFERROR(IF(INDEX(Data!$E$2:$E$45,MATCH($A5,Data!$A$2:$A$45,0))="","",INDEX(Data!$E$2:$E$45,MATCH($A5,Data!$A$2:$A$45,0))),"")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IFERROR(IF(INDEX(Data!$F$2:$F$45,MATCH($A5,Data!$A$2:$A$45,0))="","",INDEX(Data!$F$2:$F$45,MATCH($A5,Data!$A$2:$A$45,0))),"")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IFERROR(IF(INDEX(Data!$G$2:$G$45,MATCH($A5,Data!$A$2:$A$45,0))="","",INDEX(Data!$G$2:$G$45,MATCH($A5,Data!$A$2:$A$45,0))),"")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IFERROR(IF(INDEX(Data!$H$2:$H$45,MATCH($A5,Data!$A$2:$A$45,0))="","",INDEX(Data!$H$2:$H$45,MATCH($A5,Data!$A$2:$A$45,0))),"")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IFERROR(IF(INDEX(Data!$I$2:$I$45,MATCH($A5,Data!$A$2:$A$45,0))="","",INDEX(Data!$I$2:$I$45,MATCH($A5,Data!$A$2:$A$45,0))),"")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IFERROR(IF(INDEX(Data!$J$2:$J$45,MATCH($A5,Data!$A$2:$A$45,0))="","",INDEX(Data!$J$2:$J$45,MATCH($A5,Data!$A$2:$A$45,0))),"")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IFERROR(IF(INDEX(Data!$K$2:$K$45,MATCH($A5,Data!$A$2:$A$45,0))="","",INDEX(Data!$K$2:$K$45,MATCH($A5,Data!$A$2:$A$45,0))),"")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IFERROR(IF(INDEX(Data!$L$2:$L$45,MATCH($A5,Data!$A$2:$A$45,0))="","",INDEX(Data!$L$2:$L$45,MATCH($A5,Data!$A$2:$A$45,0))),"")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IFERROR(IF(INDEX(Data!$M$2:$M$45,MATCH($A5,Data!$A$2:$A$45,0))="","",INDEX(Data!$M$2:$M$45,MATCH($A5,Data!$A$2:$A$45,0))),"")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IFERROR(IF(INDEX(Data!$N$2:$N$45,MATCH($A5,Data!$A$2:$A$45,0))="","",INDEX(Data!$N$2:$N$45,MATCH($A5,Data!$A$2:$A$45,0))),"")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IFERROR(IF(INDEX(Data!$O$2:$O$45,MATCH($A5,Data!$A$2:$A$45,0))="","",INDEX(Data!$O$2:$O$45,MATCH($A5,Data!$A$2:$A$45,0))),"")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IFERROR(IF(INDEX(Data!$P$2:$P$45,MATCH($A5,Data!$A$2:$A$45,0))="","",INDEX(Data!$P$2:$P$45,MATCH($A5,Data!$A$2:$A$45,0))),"")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IFERROR(IF(INDEX(Data!$Q$2:$Q$45,MATCH($A5,Data!$A$2:$A$45,0))="","",INDEX(Data!$Q$2:$Q$45,MATCH($A5,Data!$A$2:$A$45,0))),"")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IFERROR(IF(INDEX(Data!$R$2:$R$45,MATCH($A5,Data!$A$2:$A$45,0))="","",INDEX(Data!$R$2:$R$45,MATCH($A5,Data!$A$2:$A$45,0))),"")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IFERROR(IF(INDEX(Data!$S$2:$S$45,MATCH($A5,Data!$A$2:$A$45,0))="","",INDEX(Data!$S$2:$S$45,MATCH($A5,Data!$A$2:$A$45,0))),"")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IFERROR(IF(INDEX(Data!$T$2:$T$45,MATCH($A5,Data!$A$2:$A$45,0))="","",INDEX(Data!$T$2:$T$45,MATCH($A5,Data!$A$2:$A$45,0))),"")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IFERROR(IF(INDEX(Data!$U$2:$U$45,MATCH($A5,Data!$A$2:$A$45,0))="","",INDEX(Data!$U$2:$U$45,MATCH($A5,Data!$A$2:$A$45,0))),"")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IFERROR(IF(INDEX(Data!$V$2:$V$45,MATCH($A5,Data!$A$2:$A$45,0))="","",INDEX(Data!$V$2:$V$45,MATCH($A5,Data!$A$2:$A$45,0))),"")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IFERROR(IF(INDEX(Data!$W$2:$W$45,MATCH($A5,Data!$A$2:$A$45,0))="","",INDEX(Data!$W$2:$W$45,MATCH($A5,Data!$A$2:$A$45,0))),"")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IFERROR(IF(INDEX(Data!$X$2:$X$45,MATCH($A5,Data!$A$2:$A$45,0))="","",INDEX(Data!$X$2:$X$45,MATCH($A5,Data!$A$2:$A$45,0))),"")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IFERROR(IF(INDEX(Data!$Y$2:$Y$45,MATCH($A5,Data!$A$2:$A$45,0))="","",INDEX(Data!$Y$2:$Y$45,MATCH($A5,Data!$A$2:$A$45,0))),"")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IFERROR(IF(INDEX(Data!$Z$2:$Z$45,MATCH($A5,Data!$A$2:$A$45,0))="","",INDEX(Data!$Z$2:$Z$45,MATCH($A5,Data!$A$2:$A$45,0))),"")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IFERROR(IF(INDEX(Data!$AA$2:$AA$45,MATCH($A5,Data!$A$2:$A$45,0))="","",INDEX(Data!$AA$2:$AA$45,MATCH($A5,Data!$A$2:$A$45,0))),"")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IFERROR(IF(INDEX(Data!$AB$2:$AB$45,MATCH($A5,Data!$A$2:$A$45,0))="","",INDEX(Data!$AB$2:$AB$45,MATCH($A5,Data!$A$2:$A$45,0))),"")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IFERROR(IF(INDEX(Data!$AC$2:$AC$45,MATCH($A5,Data!$A$2:$A$45,0))="","",INDEX(Data!$AC$2:$AC$45,MATCH($A5,Data!$A$2:$A$45,0))),"")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IFERROR(IF(INDEX(Data!$AD$2:$AD$45,MATCH($A5,Data!$A$2:$A$45,0))="","",INDEX(Data!$AD$2:$AD$45,MATCH($A5,Data!$A$2:$A$45,0))),"")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IFERROR(IF(INDEX(Data!$AE$2:$AE$45,MATCH($A5,Data!$A$2:$A$45,0))="","",INDEX(Data!$AE$2:$AE$45,MATCH($A5,Data!$A$2:$A$45,0))),"")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IFERROR(IF(INDEX(Data!$AF$2:$AF$45,MATCH($A5,Data!$A$2:$A$45,0))="","",INDEX(Data!$AF$2:$AF$45,MATCH($A5,Data!$A$2:$A$45,0))),"")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IFERROR(IF(INDEX(Data!$AG$2:$AG$45,MATCH($A5,Data!$A$2:$A$45,0))="","",INDEX(Data!$AG$2:$AG$45,MATCH($A5,Data!$A$2:$A$45,0))),"")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IFERROR(IF(INDEX(Data!$AH$2:$AH$45,MATCH($A5,Data!$A$2:$A$45,0))="","",INDEX(Data!$AH$2:$AH$45,MATCH($A5,Data!$A$2:$A$45,0))),"")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IFERROR(IF(INDEX(Data!$AI$2:$AI$45,MATCH($A5,Data!$A$2:$A$45,0))="","",INDEX(Data!$AI$2:$AI$45,MATCH($A5,Data!$A$2:$A$45,0))),"")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7" t="n">
        <v>46296</v>
      </c>
      <c r="B6" s="7">
        <f>IFERROR(IF(INDEX(Data!$C$2:$C$45,MATCH($A6,Data!$A$2:$A$45,0))="","",INDEX(Data!$C$2:$C$45,MATCH($A6,Data!$A$2:$A$45,0))),"")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IFERROR(IF(INDEX(Data!$D$2:$D$45,MATCH($A6,Data!$A$2:$A$45,0))="","",INDEX(Data!$D$2:$D$45,MATCH($A6,Data!$A$2:$A$45,0))),"")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IFERROR(IF(INDEX(Data!$E$2:$E$45,MATCH($A6,Data!$A$2:$A$45,0))="","",INDEX(Data!$E$2:$E$45,MATCH($A6,Data!$A$2:$A$45,0))),"")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IFERROR(IF(INDEX(Data!$F$2:$F$45,MATCH($A6,Data!$A$2:$A$45,0))="","",INDEX(Data!$F$2:$F$45,MATCH($A6,Data!$A$2:$A$45,0))),"")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IFERROR(IF(INDEX(Data!$G$2:$G$45,MATCH($A6,Data!$A$2:$A$45,0))="","",INDEX(Data!$G$2:$G$45,MATCH($A6,Data!$A$2:$A$45,0))),"")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IFERROR(IF(INDEX(Data!$H$2:$H$45,MATCH($A6,Data!$A$2:$A$45,0))="","",INDEX(Data!$H$2:$H$45,MATCH($A6,Data!$A$2:$A$45,0))),"")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IFERROR(IF(INDEX(Data!$I$2:$I$45,MATCH($A6,Data!$A$2:$A$45,0))="","",INDEX(Data!$I$2:$I$45,MATCH($A6,Data!$A$2:$A$45,0))),"")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IFERROR(IF(INDEX(Data!$J$2:$J$45,MATCH($A6,Data!$A$2:$A$45,0))="","",INDEX(Data!$J$2:$J$45,MATCH($A6,Data!$A$2:$A$45,0))),"")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IFERROR(IF(INDEX(Data!$K$2:$K$45,MATCH($A6,Data!$A$2:$A$45,0))="","",INDEX(Data!$K$2:$K$45,MATCH($A6,Data!$A$2:$A$45,0))),"")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IFERROR(IF(INDEX(Data!$L$2:$L$45,MATCH($A6,Data!$A$2:$A$45,0))="","",INDEX(Data!$L$2:$L$45,MATCH($A6,Data!$A$2:$A$45,0))),"")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IFERROR(IF(INDEX(Data!$M$2:$M$45,MATCH($A6,Data!$A$2:$A$45,0))="","",INDEX(Data!$M$2:$M$45,MATCH($A6,Data!$A$2:$A$45,0))),"")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IFERROR(IF(INDEX(Data!$N$2:$N$45,MATCH($A6,Data!$A$2:$A$45,0))="","",INDEX(Data!$N$2:$N$45,MATCH($A6,Data!$A$2:$A$45,0))),"")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IFERROR(IF(INDEX(Data!$O$2:$O$45,MATCH($A6,Data!$A$2:$A$45,0))="","",INDEX(Data!$O$2:$O$45,MATCH($A6,Data!$A$2:$A$45,0))),"")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IFERROR(IF(INDEX(Data!$P$2:$P$45,MATCH($A6,Data!$A$2:$A$45,0))="","",INDEX(Data!$P$2:$P$45,MATCH($A6,Data!$A$2:$A$45,0))),"")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IFERROR(IF(INDEX(Data!$Q$2:$Q$45,MATCH($A6,Data!$A$2:$A$45,0))="","",INDEX(Data!$Q$2:$Q$45,MATCH($A6,Data!$A$2:$A$45,0))),"")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IFERROR(IF(INDEX(Data!$R$2:$R$45,MATCH($A6,Data!$A$2:$A$45,0))="","",INDEX(Data!$R$2:$R$45,MATCH($A6,Data!$A$2:$A$45,0))),"")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IFERROR(IF(INDEX(Data!$S$2:$S$45,MATCH($A6,Data!$A$2:$A$45,0))="","",INDEX(Data!$S$2:$S$45,MATCH($A6,Data!$A$2:$A$45,0))),"")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IFERROR(IF(INDEX(Data!$T$2:$T$45,MATCH($A6,Data!$A$2:$A$45,0))="","",INDEX(Data!$T$2:$T$45,MATCH($A6,Data!$A$2:$A$45,0))),"")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IFERROR(IF(INDEX(Data!$U$2:$U$45,MATCH($A6,Data!$A$2:$A$45,0))="","",INDEX(Data!$U$2:$U$45,MATCH($A6,Data!$A$2:$A$45,0))),"")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IFERROR(IF(INDEX(Data!$V$2:$V$45,MATCH($A6,Data!$A$2:$A$45,0))="","",INDEX(Data!$V$2:$V$45,MATCH($A6,Data!$A$2:$A$45,0))),"")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IFERROR(IF(INDEX(Data!$W$2:$W$45,MATCH($A6,Data!$A$2:$A$45,0))="","",INDEX(Data!$W$2:$W$45,MATCH($A6,Data!$A$2:$A$45,0))),"")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IFERROR(IF(INDEX(Data!$X$2:$X$45,MATCH($A6,Data!$A$2:$A$45,0))="","",INDEX(Data!$X$2:$X$45,MATCH($A6,Data!$A$2:$A$45,0))),"")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IFERROR(IF(INDEX(Data!$Y$2:$Y$45,MATCH($A6,Data!$A$2:$A$45,0))="","",INDEX(Data!$Y$2:$Y$45,MATCH($A6,Data!$A$2:$A$45,0))),"")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IFERROR(IF(INDEX(Data!$Z$2:$Z$45,MATCH($A6,Data!$A$2:$A$45,0))="","",INDEX(Data!$Z$2:$Z$45,MATCH($A6,Data!$A$2:$A$45,0))),"")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IFERROR(IF(INDEX(Data!$AA$2:$AA$45,MATCH($A6,Data!$A$2:$A$45,0))="","",INDEX(Data!$AA$2:$AA$45,MATCH($A6,Data!$A$2:$A$45,0))),"")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IFERROR(IF(INDEX(Data!$AB$2:$AB$45,MATCH($A6,Data!$A$2:$A$45,0))="","",INDEX(Data!$AB$2:$AB$45,MATCH($A6,Data!$A$2:$A$45,0))),"")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IFERROR(IF(INDEX(Data!$AC$2:$AC$45,MATCH($A6,Data!$A$2:$A$45,0))="","",INDEX(Data!$AC$2:$AC$45,MATCH($A6,Data!$A$2:$A$45,0))),"")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IFERROR(IF(INDEX(Data!$AD$2:$AD$45,MATCH($A6,Data!$A$2:$A$45,0))="","",INDEX(Data!$AD$2:$AD$45,MATCH($A6,Data!$A$2:$A$45,0))),"")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IFERROR(IF(INDEX(Data!$AE$2:$AE$45,MATCH($A6,Data!$A$2:$A$45,0))="","",INDEX(Data!$AE$2:$AE$45,MATCH($A6,Data!$A$2:$A$45,0))),"")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IFERROR(IF(INDEX(Data!$AF$2:$AF$45,MATCH($A6,Data!$A$2:$A$45,0))="","",INDEX(Data!$AF$2:$AF$45,MATCH($A6,Data!$A$2:$A$45,0))),"")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IFERROR(IF(INDEX(Data!$AG$2:$AG$45,MATCH($A6,Data!$A$2:$A$45,0))="","",INDEX(Data!$AG$2:$AG$45,MATCH($A6,Data!$A$2:$A$45,0))),"")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IFERROR(IF(INDEX(Data!$AH$2:$AH$45,MATCH($A6,Data!$A$2:$A$45,0))="","",INDEX(Data!$AH$2:$AH$45,MATCH($A6,Data!$A$2:$A$45,0))),"")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IFERROR(IF(INDEX(Data!$AI$2:$AI$45,MATCH($A6,Data!$A$2:$A$45,0))="","",INDEX(Data!$AI$2:$AI$45,MATCH($A6,Data!$A$2:$A$45,0))),"")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7" t="n">
        <v>46297</v>
      </c>
      <c r="B7" s="7">
        <f>IFERROR(IF(INDEX(Data!$C$2:$C$45,MATCH($A7,Data!$A$2:$A$45,0))="","",INDEX(Data!$C$2:$C$45,MATCH($A7,Data!$A$2:$A$45,0))),"")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IFERROR(IF(INDEX(Data!$D$2:$D$45,MATCH($A7,Data!$A$2:$A$45,0))="","",INDEX(Data!$D$2:$D$45,MATCH($A7,Data!$A$2:$A$45,0))),"")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IFERROR(IF(INDEX(Data!$E$2:$E$45,MATCH($A7,Data!$A$2:$A$45,0))="","",INDEX(Data!$E$2:$E$45,MATCH($A7,Data!$A$2:$A$45,0))),"")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IFERROR(IF(INDEX(Data!$F$2:$F$45,MATCH($A7,Data!$A$2:$A$45,0))="","",INDEX(Data!$F$2:$F$45,MATCH($A7,Data!$A$2:$A$45,0))),"")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IFERROR(IF(INDEX(Data!$G$2:$G$45,MATCH($A7,Data!$A$2:$A$45,0))="","",INDEX(Data!$G$2:$G$45,MATCH($A7,Data!$A$2:$A$45,0))),"")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IFERROR(IF(INDEX(Data!$H$2:$H$45,MATCH($A7,Data!$A$2:$A$45,0))="","",INDEX(Data!$H$2:$H$45,MATCH($A7,Data!$A$2:$A$45,0))),"")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IFERROR(IF(INDEX(Data!$I$2:$I$45,MATCH($A7,Data!$A$2:$A$45,0))="","",INDEX(Data!$I$2:$I$45,MATCH($A7,Data!$A$2:$A$45,0))),"")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IFERROR(IF(INDEX(Data!$J$2:$J$45,MATCH($A7,Data!$A$2:$A$45,0))="","",INDEX(Data!$J$2:$J$45,MATCH($A7,Data!$A$2:$A$45,0))),"")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IFERROR(IF(INDEX(Data!$K$2:$K$45,MATCH($A7,Data!$A$2:$A$45,0))="","",INDEX(Data!$K$2:$K$45,MATCH($A7,Data!$A$2:$A$45,0))),"")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IFERROR(IF(INDEX(Data!$L$2:$L$45,MATCH($A7,Data!$A$2:$A$45,0))="","",INDEX(Data!$L$2:$L$45,MATCH($A7,Data!$A$2:$A$45,0))),"")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IFERROR(IF(INDEX(Data!$M$2:$M$45,MATCH($A7,Data!$A$2:$A$45,0))="","",INDEX(Data!$M$2:$M$45,MATCH($A7,Data!$A$2:$A$45,0))),"")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IFERROR(IF(INDEX(Data!$N$2:$N$45,MATCH($A7,Data!$A$2:$A$45,0))="","",INDEX(Data!$N$2:$N$45,MATCH($A7,Data!$A$2:$A$45,0))),"")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IFERROR(IF(INDEX(Data!$O$2:$O$45,MATCH($A7,Data!$A$2:$A$45,0))="","",INDEX(Data!$O$2:$O$45,MATCH($A7,Data!$A$2:$A$45,0))),"")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IFERROR(IF(INDEX(Data!$P$2:$P$45,MATCH($A7,Data!$A$2:$A$45,0))="","",INDEX(Data!$P$2:$P$45,MATCH($A7,Data!$A$2:$A$45,0))),"")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IFERROR(IF(INDEX(Data!$Q$2:$Q$45,MATCH($A7,Data!$A$2:$A$45,0))="","",INDEX(Data!$Q$2:$Q$45,MATCH($A7,Data!$A$2:$A$45,0))),"")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IFERROR(IF(INDEX(Data!$R$2:$R$45,MATCH($A7,Data!$A$2:$A$45,0))="","",INDEX(Data!$R$2:$R$45,MATCH($A7,Data!$A$2:$A$45,0))),"")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IFERROR(IF(INDEX(Data!$S$2:$S$45,MATCH($A7,Data!$A$2:$A$45,0))="","",INDEX(Data!$S$2:$S$45,MATCH($A7,Data!$A$2:$A$45,0))),"")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IFERROR(IF(INDEX(Data!$T$2:$T$45,MATCH($A7,Data!$A$2:$A$45,0))="","",INDEX(Data!$T$2:$T$45,MATCH($A7,Data!$A$2:$A$45,0))),"")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IFERROR(IF(INDEX(Data!$U$2:$U$45,MATCH($A7,Data!$A$2:$A$45,0))="","",INDEX(Data!$U$2:$U$45,MATCH($A7,Data!$A$2:$A$45,0))),"")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IFERROR(IF(INDEX(Data!$V$2:$V$45,MATCH($A7,Data!$A$2:$A$45,0))="","",INDEX(Data!$V$2:$V$45,MATCH($A7,Data!$A$2:$A$45,0))),"")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IFERROR(IF(INDEX(Data!$W$2:$W$45,MATCH($A7,Data!$A$2:$A$45,0))="","",INDEX(Data!$W$2:$W$45,MATCH($A7,Data!$A$2:$A$45,0))),"")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IFERROR(IF(INDEX(Data!$X$2:$X$45,MATCH($A7,Data!$A$2:$A$45,0))="","",INDEX(Data!$X$2:$X$45,MATCH($A7,Data!$A$2:$A$45,0))),"")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IFERROR(IF(INDEX(Data!$Y$2:$Y$45,MATCH($A7,Data!$A$2:$A$45,0))="","",INDEX(Data!$Y$2:$Y$45,MATCH($A7,Data!$A$2:$A$45,0))),"")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IFERROR(IF(INDEX(Data!$Z$2:$Z$45,MATCH($A7,Data!$A$2:$A$45,0))="","",INDEX(Data!$Z$2:$Z$45,MATCH($A7,Data!$A$2:$A$45,0))),"")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IFERROR(IF(INDEX(Data!$AA$2:$AA$45,MATCH($A7,Data!$A$2:$A$45,0))="","",INDEX(Data!$AA$2:$AA$45,MATCH($A7,Data!$A$2:$A$45,0))),"")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IFERROR(IF(INDEX(Data!$AB$2:$AB$45,MATCH($A7,Data!$A$2:$A$45,0))="","",INDEX(Data!$AB$2:$AB$45,MATCH($A7,Data!$A$2:$A$45,0))),"")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IFERROR(IF(INDEX(Data!$AC$2:$AC$45,MATCH($A7,Data!$A$2:$A$45,0))="","",INDEX(Data!$AC$2:$AC$45,MATCH($A7,Data!$A$2:$A$45,0))),"")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IFERROR(IF(INDEX(Data!$AD$2:$AD$45,MATCH($A7,Data!$A$2:$A$45,0))="","",INDEX(Data!$AD$2:$AD$45,MATCH($A7,Data!$A$2:$A$45,0))),"")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IFERROR(IF(INDEX(Data!$AE$2:$AE$45,MATCH($A7,Data!$A$2:$A$45,0))="","",INDEX(Data!$AE$2:$AE$45,MATCH($A7,Data!$A$2:$A$45,0))),"")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IFERROR(IF(INDEX(Data!$AF$2:$AF$45,MATCH($A7,Data!$A$2:$A$45,0))="","",INDEX(Data!$AF$2:$AF$45,MATCH($A7,Data!$A$2:$A$45,0))),"")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IFERROR(IF(INDEX(Data!$AG$2:$AG$45,MATCH($A7,Data!$A$2:$A$45,0))="","",INDEX(Data!$AG$2:$AG$45,MATCH($A7,Data!$A$2:$A$45,0))),"")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IFERROR(IF(INDEX(Data!$AH$2:$AH$45,MATCH($A7,Data!$A$2:$A$45,0))="","",INDEX(Data!$AH$2:$AH$45,MATCH($A7,Data!$A$2:$A$45,0))),"")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IFERROR(IF(INDEX(Data!$AI$2:$AI$45,MATCH($A7,Data!$A$2:$A$45,0))="","",INDEX(Data!$AI$2:$AI$45,MATCH($A7,Data!$A$2:$A$45,0))),"")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7" t="n">
        <v>46298</v>
      </c>
      <c r="B8" s="7">
        <f>IFERROR(IF(INDEX(Data!$C$2:$C$45,MATCH($A8,Data!$A$2:$A$45,0))="","",INDEX(Data!$C$2:$C$45,MATCH($A8,Data!$A$2:$A$45,0))),"")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IFERROR(IF(INDEX(Data!$D$2:$D$45,MATCH($A8,Data!$A$2:$A$45,0))="","",INDEX(Data!$D$2:$D$45,MATCH($A8,Data!$A$2:$A$45,0))),"")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IFERROR(IF(INDEX(Data!$E$2:$E$45,MATCH($A8,Data!$A$2:$A$45,0))="","",INDEX(Data!$E$2:$E$45,MATCH($A8,Data!$A$2:$A$45,0))),"")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IFERROR(IF(INDEX(Data!$F$2:$F$45,MATCH($A8,Data!$A$2:$A$45,0))="","",INDEX(Data!$F$2:$F$45,MATCH($A8,Data!$A$2:$A$45,0))),"")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IFERROR(IF(INDEX(Data!$G$2:$G$45,MATCH($A8,Data!$A$2:$A$45,0))="","",INDEX(Data!$G$2:$G$45,MATCH($A8,Data!$A$2:$A$45,0))),"")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IFERROR(IF(INDEX(Data!$H$2:$H$45,MATCH($A8,Data!$A$2:$A$45,0))="","",INDEX(Data!$H$2:$H$45,MATCH($A8,Data!$A$2:$A$45,0))),"")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IFERROR(IF(INDEX(Data!$I$2:$I$45,MATCH($A8,Data!$A$2:$A$45,0))="","",INDEX(Data!$I$2:$I$45,MATCH($A8,Data!$A$2:$A$45,0))),"")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IFERROR(IF(INDEX(Data!$J$2:$J$45,MATCH($A8,Data!$A$2:$A$45,0))="","",INDEX(Data!$J$2:$J$45,MATCH($A8,Data!$A$2:$A$45,0))),"")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IFERROR(IF(INDEX(Data!$K$2:$K$45,MATCH($A8,Data!$A$2:$A$45,0))="","",INDEX(Data!$K$2:$K$45,MATCH($A8,Data!$A$2:$A$45,0))),"")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IFERROR(IF(INDEX(Data!$L$2:$L$45,MATCH($A8,Data!$A$2:$A$45,0))="","",INDEX(Data!$L$2:$L$45,MATCH($A8,Data!$A$2:$A$45,0))),"")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IFERROR(IF(INDEX(Data!$M$2:$M$45,MATCH($A8,Data!$A$2:$A$45,0))="","",INDEX(Data!$M$2:$M$45,MATCH($A8,Data!$A$2:$A$45,0))),"")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IFERROR(IF(INDEX(Data!$N$2:$N$45,MATCH($A8,Data!$A$2:$A$45,0))="","",INDEX(Data!$N$2:$N$45,MATCH($A8,Data!$A$2:$A$45,0))),"")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IFERROR(IF(INDEX(Data!$O$2:$O$45,MATCH($A8,Data!$A$2:$A$45,0))="","",INDEX(Data!$O$2:$O$45,MATCH($A8,Data!$A$2:$A$45,0))),"")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IFERROR(IF(INDEX(Data!$P$2:$P$45,MATCH($A8,Data!$A$2:$A$45,0))="","",INDEX(Data!$P$2:$P$45,MATCH($A8,Data!$A$2:$A$45,0))),"")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IFERROR(IF(INDEX(Data!$Q$2:$Q$45,MATCH($A8,Data!$A$2:$A$45,0))="","",INDEX(Data!$Q$2:$Q$45,MATCH($A8,Data!$A$2:$A$45,0))),"")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IFERROR(IF(INDEX(Data!$R$2:$R$45,MATCH($A8,Data!$A$2:$A$45,0))="","",INDEX(Data!$R$2:$R$45,MATCH($A8,Data!$A$2:$A$45,0))),"")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IFERROR(IF(INDEX(Data!$S$2:$S$45,MATCH($A8,Data!$A$2:$A$45,0))="","",INDEX(Data!$S$2:$S$45,MATCH($A8,Data!$A$2:$A$45,0))),"")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IFERROR(IF(INDEX(Data!$T$2:$T$45,MATCH($A8,Data!$A$2:$A$45,0))="","",INDEX(Data!$T$2:$T$45,MATCH($A8,Data!$A$2:$A$45,0))),"")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IFERROR(IF(INDEX(Data!$U$2:$U$45,MATCH($A8,Data!$A$2:$A$45,0))="","",INDEX(Data!$U$2:$U$45,MATCH($A8,Data!$A$2:$A$45,0))),"")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IFERROR(IF(INDEX(Data!$V$2:$V$45,MATCH($A8,Data!$A$2:$A$45,0))="","",INDEX(Data!$V$2:$V$45,MATCH($A8,Data!$A$2:$A$45,0))),"")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IFERROR(IF(INDEX(Data!$W$2:$W$45,MATCH($A8,Data!$A$2:$A$45,0))="","",INDEX(Data!$W$2:$W$45,MATCH($A8,Data!$A$2:$A$45,0))),"")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IFERROR(IF(INDEX(Data!$X$2:$X$45,MATCH($A8,Data!$A$2:$A$45,0))="","",INDEX(Data!$X$2:$X$45,MATCH($A8,Data!$A$2:$A$45,0))),"")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IFERROR(IF(INDEX(Data!$Y$2:$Y$45,MATCH($A8,Data!$A$2:$A$45,0))="","",INDEX(Data!$Y$2:$Y$45,MATCH($A8,Data!$A$2:$A$45,0))),"")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IFERROR(IF(INDEX(Data!$Z$2:$Z$45,MATCH($A8,Data!$A$2:$A$45,0))="","",INDEX(Data!$Z$2:$Z$45,MATCH($A8,Data!$A$2:$A$45,0))),"")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IFERROR(IF(INDEX(Data!$AA$2:$AA$45,MATCH($A8,Data!$A$2:$A$45,0))="","",INDEX(Data!$AA$2:$AA$45,MATCH($A8,Data!$A$2:$A$45,0))),"")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IFERROR(IF(INDEX(Data!$AB$2:$AB$45,MATCH($A8,Data!$A$2:$A$45,0))="","",INDEX(Data!$AB$2:$AB$45,MATCH($A8,Data!$A$2:$A$45,0))),"")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IFERROR(IF(INDEX(Data!$AC$2:$AC$45,MATCH($A8,Data!$A$2:$A$45,0))="","",INDEX(Data!$AC$2:$AC$45,MATCH($A8,Data!$A$2:$A$45,0))),"")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IFERROR(IF(INDEX(Data!$AD$2:$AD$45,MATCH($A8,Data!$A$2:$A$45,0))="","",INDEX(Data!$AD$2:$AD$45,MATCH($A8,Data!$A$2:$A$45,0))),"")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IFERROR(IF(INDEX(Data!$AE$2:$AE$45,MATCH($A8,Data!$A$2:$A$45,0))="","",INDEX(Data!$AE$2:$AE$45,MATCH($A8,Data!$A$2:$A$45,0))),"")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IFERROR(IF(INDEX(Data!$AF$2:$AF$45,MATCH($A8,Data!$A$2:$A$45,0))="","",INDEX(Data!$AF$2:$AF$45,MATCH($A8,Data!$A$2:$A$45,0))),"")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IFERROR(IF(INDEX(Data!$AG$2:$AG$45,MATCH($A8,Data!$A$2:$A$45,0))="","",INDEX(Data!$AG$2:$AG$45,MATCH($A8,Data!$A$2:$A$45,0))),"")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IFERROR(IF(INDEX(Data!$AH$2:$AH$45,MATCH($A8,Data!$A$2:$A$45,0))="","",INDEX(Data!$AH$2:$AH$45,MATCH($A8,Data!$A$2:$A$45,0))),"")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IFERROR(IF(INDEX(Data!$AI$2:$AI$45,MATCH($A8,Data!$A$2:$A$45,0))="","",INDEX(Data!$AI$2:$AI$45,MATCH($A8,Data!$A$2:$A$45,0))),"")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7" t="n">
        <v>46299</v>
      </c>
      <c r="B9" s="7">
        <f>IFERROR(IF(INDEX(Data!$C$2:$C$45,MATCH($A9,Data!$A$2:$A$45,0))="","",INDEX(Data!$C$2:$C$45,MATCH($A9,Data!$A$2:$A$45,0))),"")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IFERROR(IF(INDEX(Data!$D$2:$D$45,MATCH($A9,Data!$A$2:$A$45,0))="","",INDEX(Data!$D$2:$D$45,MATCH($A9,Data!$A$2:$A$45,0))),"")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IFERROR(IF(INDEX(Data!$E$2:$E$45,MATCH($A9,Data!$A$2:$A$45,0))="","",INDEX(Data!$E$2:$E$45,MATCH($A9,Data!$A$2:$A$45,0))),"")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IFERROR(IF(INDEX(Data!$F$2:$F$45,MATCH($A9,Data!$A$2:$A$45,0))="","",INDEX(Data!$F$2:$F$45,MATCH($A9,Data!$A$2:$A$45,0))),"")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IFERROR(IF(INDEX(Data!$G$2:$G$45,MATCH($A9,Data!$A$2:$A$45,0))="","",INDEX(Data!$G$2:$G$45,MATCH($A9,Data!$A$2:$A$45,0))),"")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IFERROR(IF(INDEX(Data!$H$2:$H$45,MATCH($A9,Data!$A$2:$A$45,0))="","",INDEX(Data!$H$2:$H$45,MATCH($A9,Data!$A$2:$A$45,0))),"")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IFERROR(IF(INDEX(Data!$I$2:$I$45,MATCH($A9,Data!$A$2:$A$45,0))="","",INDEX(Data!$I$2:$I$45,MATCH($A9,Data!$A$2:$A$45,0))),"")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IFERROR(IF(INDEX(Data!$J$2:$J$45,MATCH($A9,Data!$A$2:$A$45,0))="","",INDEX(Data!$J$2:$J$45,MATCH($A9,Data!$A$2:$A$45,0))),"")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IFERROR(IF(INDEX(Data!$K$2:$K$45,MATCH($A9,Data!$A$2:$A$45,0))="","",INDEX(Data!$K$2:$K$45,MATCH($A9,Data!$A$2:$A$45,0))),"")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IFERROR(IF(INDEX(Data!$L$2:$L$45,MATCH($A9,Data!$A$2:$A$45,0))="","",INDEX(Data!$L$2:$L$45,MATCH($A9,Data!$A$2:$A$45,0))),"")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IFERROR(IF(INDEX(Data!$M$2:$M$45,MATCH($A9,Data!$A$2:$A$45,0))="","",INDEX(Data!$M$2:$M$45,MATCH($A9,Data!$A$2:$A$45,0))),"")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IFERROR(IF(INDEX(Data!$N$2:$N$45,MATCH($A9,Data!$A$2:$A$45,0))="","",INDEX(Data!$N$2:$N$45,MATCH($A9,Data!$A$2:$A$45,0))),"")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IFERROR(IF(INDEX(Data!$O$2:$O$45,MATCH($A9,Data!$A$2:$A$45,0))="","",INDEX(Data!$O$2:$O$45,MATCH($A9,Data!$A$2:$A$45,0))),"")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IFERROR(IF(INDEX(Data!$P$2:$P$45,MATCH($A9,Data!$A$2:$A$45,0))="","",INDEX(Data!$P$2:$P$45,MATCH($A9,Data!$A$2:$A$45,0))),"")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IFERROR(IF(INDEX(Data!$Q$2:$Q$45,MATCH($A9,Data!$A$2:$A$45,0))="","",INDEX(Data!$Q$2:$Q$45,MATCH($A9,Data!$A$2:$A$45,0))),"")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IFERROR(IF(INDEX(Data!$R$2:$R$45,MATCH($A9,Data!$A$2:$A$45,0))="","",INDEX(Data!$R$2:$R$45,MATCH($A9,Data!$A$2:$A$45,0))),"")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IFERROR(IF(INDEX(Data!$S$2:$S$45,MATCH($A9,Data!$A$2:$A$45,0))="","",INDEX(Data!$S$2:$S$45,MATCH($A9,Data!$A$2:$A$45,0))),"")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IFERROR(IF(INDEX(Data!$T$2:$T$45,MATCH($A9,Data!$A$2:$A$45,0))="","",INDEX(Data!$T$2:$T$45,MATCH($A9,Data!$A$2:$A$45,0))),"")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IFERROR(IF(INDEX(Data!$U$2:$U$45,MATCH($A9,Data!$A$2:$A$45,0))="","",INDEX(Data!$U$2:$U$45,MATCH($A9,Data!$A$2:$A$45,0))),"")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IFERROR(IF(INDEX(Data!$V$2:$V$45,MATCH($A9,Data!$A$2:$A$45,0))="","",INDEX(Data!$V$2:$V$45,MATCH($A9,Data!$A$2:$A$45,0))),"")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IFERROR(IF(INDEX(Data!$W$2:$W$45,MATCH($A9,Data!$A$2:$A$45,0))="","",INDEX(Data!$W$2:$W$45,MATCH($A9,Data!$A$2:$A$45,0))),"")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IFERROR(IF(INDEX(Data!$X$2:$X$45,MATCH($A9,Data!$A$2:$A$45,0))="","",INDEX(Data!$X$2:$X$45,MATCH($A9,Data!$A$2:$A$45,0))),"")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IFERROR(IF(INDEX(Data!$Y$2:$Y$45,MATCH($A9,Data!$A$2:$A$45,0))="","",INDEX(Data!$Y$2:$Y$45,MATCH($A9,Data!$A$2:$A$45,0))),"")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IFERROR(IF(INDEX(Data!$Z$2:$Z$45,MATCH($A9,Data!$A$2:$A$45,0))="","",INDEX(Data!$Z$2:$Z$45,MATCH($A9,Data!$A$2:$A$45,0))),"")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IFERROR(IF(INDEX(Data!$AA$2:$AA$45,MATCH($A9,Data!$A$2:$A$45,0))="","",INDEX(Data!$AA$2:$AA$45,MATCH($A9,Data!$A$2:$A$45,0))),"")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IFERROR(IF(INDEX(Data!$AB$2:$AB$45,MATCH($A9,Data!$A$2:$A$45,0))="","",INDEX(Data!$AB$2:$AB$45,MATCH($A9,Data!$A$2:$A$45,0))),"")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IFERROR(IF(INDEX(Data!$AC$2:$AC$45,MATCH($A9,Data!$A$2:$A$45,0))="","",INDEX(Data!$AC$2:$AC$45,MATCH($A9,Data!$A$2:$A$45,0))),"")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IFERROR(IF(INDEX(Data!$AD$2:$AD$45,MATCH($A9,Data!$A$2:$A$45,0))="","",INDEX(Data!$AD$2:$AD$45,MATCH($A9,Data!$A$2:$A$45,0))),"")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IFERROR(IF(INDEX(Data!$AE$2:$AE$45,MATCH($A9,Data!$A$2:$A$45,0))="","",INDEX(Data!$AE$2:$AE$45,MATCH($A9,Data!$A$2:$A$45,0))),"")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IFERROR(IF(INDEX(Data!$AF$2:$AF$45,MATCH($A9,Data!$A$2:$A$45,0))="","",INDEX(Data!$AF$2:$AF$45,MATCH($A9,Data!$A$2:$A$45,0))),"")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IFERROR(IF(INDEX(Data!$AG$2:$AG$45,MATCH($A9,Data!$A$2:$A$45,0))="","",INDEX(Data!$AG$2:$AG$45,MATCH($A9,Data!$A$2:$A$45,0))),"")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IFERROR(IF(INDEX(Data!$AH$2:$AH$45,MATCH($A9,Data!$A$2:$A$45,0))="","",INDEX(Data!$AH$2:$AH$45,MATCH($A9,Data!$A$2:$A$45,0))),"")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IFERROR(IF(INDEX(Data!$AI$2:$AI$45,MATCH($A9,Data!$A$2:$A$45,0))="","",INDEX(Data!$AI$2:$AI$45,MATCH($A9,Data!$A$2:$A$45,0))),"")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7" t="n">
        <v>46300</v>
      </c>
      <c r="B10" s="7">
        <f>IFERROR(IF(INDEX(Data!$C$2:$C$45,MATCH($A10,Data!$A$2:$A$45,0))="","",INDEX(Data!$C$2:$C$45,MATCH($A10,Data!$A$2:$A$45,0))),"")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IFERROR(IF(INDEX(Data!$D$2:$D$45,MATCH($A10,Data!$A$2:$A$45,0))="","",INDEX(Data!$D$2:$D$45,MATCH($A10,Data!$A$2:$A$45,0))),"")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IFERROR(IF(INDEX(Data!$E$2:$E$45,MATCH($A10,Data!$A$2:$A$45,0))="","",INDEX(Data!$E$2:$E$45,MATCH($A10,Data!$A$2:$A$45,0))),"")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IFERROR(IF(INDEX(Data!$F$2:$F$45,MATCH($A10,Data!$A$2:$A$45,0))="","",INDEX(Data!$F$2:$F$45,MATCH($A10,Data!$A$2:$A$45,0))),"")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IFERROR(IF(INDEX(Data!$G$2:$G$45,MATCH($A10,Data!$A$2:$A$45,0))="","",INDEX(Data!$G$2:$G$45,MATCH($A10,Data!$A$2:$A$45,0))),"")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IFERROR(IF(INDEX(Data!$H$2:$H$45,MATCH($A10,Data!$A$2:$A$45,0))="","",INDEX(Data!$H$2:$H$45,MATCH($A10,Data!$A$2:$A$45,0))),"")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IFERROR(IF(INDEX(Data!$I$2:$I$45,MATCH($A10,Data!$A$2:$A$45,0))="","",INDEX(Data!$I$2:$I$45,MATCH($A10,Data!$A$2:$A$45,0))),"")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IFERROR(IF(INDEX(Data!$J$2:$J$45,MATCH($A10,Data!$A$2:$A$45,0))="","",INDEX(Data!$J$2:$J$45,MATCH($A10,Data!$A$2:$A$45,0))),"")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IFERROR(IF(INDEX(Data!$K$2:$K$45,MATCH($A10,Data!$A$2:$A$45,0))="","",INDEX(Data!$K$2:$K$45,MATCH($A10,Data!$A$2:$A$45,0))),"")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IFERROR(IF(INDEX(Data!$L$2:$L$45,MATCH($A10,Data!$A$2:$A$45,0))="","",INDEX(Data!$L$2:$L$45,MATCH($A10,Data!$A$2:$A$45,0))),"")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IFERROR(IF(INDEX(Data!$M$2:$M$45,MATCH($A10,Data!$A$2:$A$45,0))="","",INDEX(Data!$M$2:$M$45,MATCH($A10,Data!$A$2:$A$45,0))),"")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IFERROR(IF(INDEX(Data!$N$2:$N$45,MATCH($A10,Data!$A$2:$A$45,0))="","",INDEX(Data!$N$2:$N$45,MATCH($A10,Data!$A$2:$A$45,0))),"")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IFERROR(IF(INDEX(Data!$O$2:$O$45,MATCH($A10,Data!$A$2:$A$45,0))="","",INDEX(Data!$O$2:$O$45,MATCH($A10,Data!$A$2:$A$45,0))),"")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IFERROR(IF(INDEX(Data!$P$2:$P$45,MATCH($A10,Data!$A$2:$A$45,0))="","",INDEX(Data!$P$2:$P$45,MATCH($A10,Data!$A$2:$A$45,0))),"")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IFERROR(IF(INDEX(Data!$Q$2:$Q$45,MATCH($A10,Data!$A$2:$A$45,0))="","",INDEX(Data!$Q$2:$Q$45,MATCH($A10,Data!$A$2:$A$45,0))),"")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IFERROR(IF(INDEX(Data!$R$2:$R$45,MATCH($A10,Data!$A$2:$A$45,0))="","",INDEX(Data!$R$2:$R$45,MATCH($A10,Data!$A$2:$A$45,0))),"")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IFERROR(IF(INDEX(Data!$S$2:$S$45,MATCH($A10,Data!$A$2:$A$45,0))="","",INDEX(Data!$S$2:$S$45,MATCH($A10,Data!$A$2:$A$45,0))),"")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IFERROR(IF(INDEX(Data!$T$2:$T$45,MATCH($A10,Data!$A$2:$A$45,0))="","",INDEX(Data!$T$2:$T$45,MATCH($A10,Data!$A$2:$A$45,0))),"")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IFERROR(IF(INDEX(Data!$U$2:$U$45,MATCH($A10,Data!$A$2:$A$45,0))="","",INDEX(Data!$U$2:$U$45,MATCH($A10,Data!$A$2:$A$45,0))),"")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IFERROR(IF(INDEX(Data!$V$2:$V$45,MATCH($A10,Data!$A$2:$A$45,0))="","",INDEX(Data!$V$2:$V$45,MATCH($A10,Data!$A$2:$A$45,0))),"")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IFERROR(IF(INDEX(Data!$W$2:$W$45,MATCH($A10,Data!$A$2:$A$45,0))="","",INDEX(Data!$W$2:$W$45,MATCH($A10,Data!$A$2:$A$45,0))),"")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IFERROR(IF(INDEX(Data!$X$2:$X$45,MATCH($A10,Data!$A$2:$A$45,0))="","",INDEX(Data!$X$2:$X$45,MATCH($A10,Data!$A$2:$A$45,0))),"")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IFERROR(IF(INDEX(Data!$Y$2:$Y$45,MATCH($A10,Data!$A$2:$A$45,0))="","",INDEX(Data!$Y$2:$Y$45,MATCH($A10,Data!$A$2:$A$45,0))),"")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IFERROR(IF(INDEX(Data!$Z$2:$Z$45,MATCH($A10,Data!$A$2:$A$45,0))="","",INDEX(Data!$Z$2:$Z$45,MATCH($A10,Data!$A$2:$A$45,0))),"")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IFERROR(IF(INDEX(Data!$AA$2:$AA$45,MATCH($A10,Data!$A$2:$A$45,0))="","",INDEX(Data!$AA$2:$AA$45,MATCH($A10,Data!$A$2:$A$45,0))),"")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IFERROR(IF(INDEX(Data!$AB$2:$AB$45,MATCH($A10,Data!$A$2:$A$45,0))="","",INDEX(Data!$AB$2:$AB$45,MATCH($A10,Data!$A$2:$A$45,0))),"")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IFERROR(IF(INDEX(Data!$AC$2:$AC$45,MATCH($A10,Data!$A$2:$A$45,0))="","",INDEX(Data!$AC$2:$AC$45,MATCH($A10,Data!$A$2:$A$45,0))),"")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IFERROR(IF(INDEX(Data!$AD$2:$AD$45,MATCH($A10,Data!$A$2:$A$45,0))="","",INDEX(Data!$AD$2:$AD$45,MATCH($A10,Data!$A$2:$A$45,0))),"")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IFERROR(IF(INDEX(Data!$AE$2:$AE$45,MATCH($A10,Data!$A$2:$A$45,0))="","",INDEX(Data!$AE$2:$AE$45,MATCH($A10,Data!$A$2:$A$45,0))),"")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IFERROR(IF(INDEX(Data!$AF$2:$AF$45,MATCH($A10,Data!$A$2:$A$45,0))="","",INDEX(Data!$AF$2:$AF$45,MATCH($A10,Data!$A$2:$A$45,0))),"")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IFERROR(IF(INDEX(Data!$AG$2:$AG$45,MATCH($A10,Data!$A$2:$A$45,0))="","",INDEX(Data!$AG$2:$AG$45,MATCH($A10,Data!$A$2:$A$45,0))),"")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IFERROR(IF(INDEX(Data!$AH$2:$AH$45,MATCH($A10,Data!$A$2:$A$45,0))="","",INDEX(Data!$AH$2:$AH$45,MATCH($A10,Data!$A$2:$A$45,0))),"")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IFERROR(IF(INDEX(Data!$AI$2:$AI$45,MATCH($A10,Data!$A$2:$A$45,0))="","",INDEX(Data!$AI$2:$AI$45,MATCH($A10,Data!$A$2:$A$45,0))),"")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7" t="n">
        <v>46301</v>
      </c>
      <c r="B11" s="7">
        <f>IFERROR(IF(INDEX(Data!$C$2:$C$45,MATCH($A11,Data!$A$2:$A$45,0))="","",INDEX(Data!$C$2:$C$45,MATCH($A11,Data!$A$2:$A$45,0))),"")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IFERROR(IF(INDEX(Data!$D$2:$D$45,MATCH($A11,Data!$A$2:$A$45,0))="","",INDEX(Data!$D$2:$D$45,MATCH($A11,Data!$A$2:$A$45,0))),"")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IFERROR(IF(INDEX(Data!$E$2:$E$45,MATCH($A11,Data!$A$2:$A$45,0))="","",INDEX(Data!$E$2:$E$45,MATCH($A11,Data!$A$2:$A$45,0))),"")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IFERROR(IF(INDEX(Data!$F$2:$F$45,MATCH($A11,Data!$A$2:$A$45,0))="","",INDEX(Data!$F$2:$F$45,MATCH($A11,Data!$A$2:$A$45,0))),"")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IFERROR(IF(INDEX(Data!$G$2:$G$45,MATCH($A11,Data!$A$2:$A$45,0))="","",INDEX(Data!$G$2:$G$45,MATCH($A11,Data!$A$2:$A$45,0))),"")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IFERROR(IF(INDEX(Data!$H$2:$H$45,MATCH($A11,Data!$A$2:$A$45,0))="","",INDEX(Data!$H$2:$H$45,MATCH($A11,Data!$A$2:$A$45,0))),"")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IFERROR(IF(INDEX(Data!$I$2:$I$45,MATCH($A11,Data!$A$2:$A$45,0))="","",INDEX(Data!$I$2:$I$45,MATCH($A11,Data!$A$2:$A$45,0))),"")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IFERROR(IF(INDEX(Data!$J$2:$J$45,MATCH($A11,Data!$A$2:$A$45,0))="","",INDEX(Data!$J$2:$J$45,MATCH($A11,Data!$A$2:$A$45,0))),"")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IFERROR(IF(INDEX(Data!$K$2:$K$45,MATCH($A11,Data!$A$2:$A$45,0))="","",INDEX(Data!$K$2:$K$45,MATCH($A11,Data!$A$2:$A$45,0))),"")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IFERROR(IF(INDEX(Data!$L$2:$L$45,MATCH($A11,Data!$A$2:$A$45,0))="","",INDEX(Data!$L$2:$L$45,MATCH($A11,Data!$A$2:$A$45,0))),"")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IFERROR(IF(INDEX(Data!$M$2:$M$45,MATCH($A11,Data!$A$2:$A$45,0))="","",INDEX(Data!$M$2:$M$45,MATCH($A11,Data!$A$2:$A$45,0))),"")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IFERROR(IF(INDEX(Data!$N$2:$N$45,MATCH($A11,Data!$A$2:$A$45,0))="","",INDEX(Data!$N$2:$N$45,MATCH($A11,Data!$A$2:$A$45,0))),"")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IFERROR(IF(INDEX(Data!$O$2:$O$45,MATCH($A11,Data!$A$2:$A$45,0))="","",INDEX(Data!$O$2:$O$45,MATCH($A11,Data!$A$2:$A$45,0))),"")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IFERROR(IF(INDEX(Data!$P$2:$P$45,MATCH($A11,Data!$A$2:$A$45,0))="","",INDEX(Data!$P$2:$P$45,MATCH($A11,Data!$A$2:$A$45,0))),"")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IFERROR(IF(INDEX(Data!$Q$2:$Q$45,MATCH($A11,Data!$A$2:$A$45,0))="","",INDEX(Data!$Q$2:$Q$45,MATCH($A11,Data!$A$2:$A$45,0))),"")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IFERROR(IF(INDEX(Data!$R$2:$R$45,MATCH($A11,Data!$A$2:$A$45,0))="","",INDEX(Data!$R$2:$R$45,MATCH($A11,Data!$A$2:$A$45,0))),"")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IFERROR(IF(INDEX(Data!$S$2:$S$45,MATCH($A11,Data!$A$2:$A$45,0))="","",INDEX(Data!$S$2:$S$45,MATCH($A11,Data!$A$2:$A$45,0))),"")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IFERROR(IF(INDEX(Data!$T$2:$T$45,MATCH($A11,Data!$A$2:$A$45,0))="","",INDEX(Data!$T$2:$T$45,MATCH($A11,Data!$A$2:$A$45,0))),"")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IFERROR(IF(INDEX(Data!$U$2:$U$45,MATCH($A11,Data!$A$2:$A$45,0))="","",INDEX(Data!$U$2:$U$45,MATCH($A11,Data!$A$2:$A$45,0))),"")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IFERROR(IF(INDEX(Data!$V$2:$V$45,MATCH($A11,Data!$A$2:$A$45,0))="","",INDEX(Data!$V$2:$V$45,MATCH($A11,Data!$A$2:$A$45,0))),"")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IFERROR(IF(INDEX(Data!$W$2:$W$45,MATCH($A11,Data!$A$2:$A$45,0))="","",INDEX(Data!$W$2:$W$45,MATCH($A11,Data!$A$2:$A$45,0))),"")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IFERROR(IF(INDEX(Data!$X$2:$X$45,MATCH($A11,Data!$A$2:$A$45,0))="","",INDEX(Data!$X$2:$X$45,MATCH($A11,Data!$A$2:$A$45,0))),"")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IFERROR(IF(INDEX(Data!$Y$2:$Y$45,MATCH($A11,Data!$A$2:$A$45,0))="","",INDEX(Data!$Y$2:$Y$45,MATCH($A11,Data!$A$2:$A$45,0))),"")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IFERROR(IF(INDEX(Data!$Z$2:$Z$45,MATCH($A11,Data!$A$2:$A$45,0))="","",INDEX(Data!$Z$2:$Z$45,MATCH($A11,Data!$A$2:$A$45,0))),"")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IFERROR(IF(INDEX(Data!$AA$2:$AA$45,MATCH($A11,Data!$A$2:$A$45,0))="","",INDEX(Data!$AA$2:$AA$45,MATCH($A11,Data!$A$2:$A$45,0))),"")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IFERROR(IF(INDEX(Data!$AB$2:$AB$45,MATCH($A11,Data!$A$2:$A$45,0))="","",INDEX(Data!$AB$2:$AB$45,MATCH($A11,Data!$A$2:$A$45,0))),"")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IFERROR(IF(INDEX(Data!$AC$2:$AC$45,MATCH($A11,Data!$A$2:$A$45,0))="","",INDEX(Data!$AC$2:$AC$45,MATCH($A11,Data!$A$2:$A$45,0))),"")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IFERROR(IF(INDEX(Data!$AD$2:$AD$45,MATCH($A11,Data!$A$2:$A$45,0))="","",INDEX(Data!$AD$2:$AD$45,MATCH($A11,Data!$A$2:$A$45,0))),"")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IFERROR(IF(INDEX(Data!$AE$2:$AE$45,MATCH($A11,Data!$A$2:$A$45,0))="","",INDEX(Data!$AE$2:$AE$45,MATCH($A11,Data!$A$2:$A$45,0))),"")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IFERROR(IF(INDEX(Data!$AF$2:$AF$45,MATCH($A11,Data!$A$2:$A$45,0))="","",INDEX(Data!$AF$2:$AF$45,MATCH($A11,Data!$A$2:$A$45,0))),"")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IFERROR(IF(INDEX(Data!$AG$2:$AG$45,MATCH($A11,Data!$A$2:$A$45,0))="","",INDEX(Data!$AG$2:$AG$45,MATCH($A11,Data!$A$2:$A$45,0))),"")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IFERROR(IF(INDEX(Data!$AH$2:$AH$45,MATCH($A11,Data!$A$2:$A$45,0))="","",INDEX(Data!$AH$2:$AH$45,MATCH($A11,Data!$A$2:$A$45,0))),"")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IFERROR(IF(INDEX(Data!$AI$2:$AI$45,MATCH($A11,Data!$A$2:$A$45,0))="","",INDEX(Data!$AI$2:$AI$45,MATCH($A11,Data!$A$2:$A$45,0))),"")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7" t="n">
        <v>46302</v>
      </c>
      <c r="B12" s="7">
        <f>IFERROR(IF(INDEX(Data!$C$2:$C$45,MATCH($A12,Data!$A$2:$A$45,0))="","",INDEX(Data!$C$2:$C$45,MATCH($A12,Data!$A$2:$A$45,0))),"")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IFERROR(IF(INDEX(Data!$D$2:$D$45,MATCH($A12,Data!$A$2:$A$45,0))="","",INDEX(Data!$D$2:$D$45,MATCH($A12,Data!$A$2:$A$45,0))),"")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IFERROR(IF(INDEX(Data!$E$2:$E$45,MATCH($A12,Data!$A$2:$A$45,0))="","",INDEX(Data!$E$2:$E$45,MATCH($A12,Data!$A$2:$A$45,0))),"")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IFERROR(IF(INDEX(Data!$F$2:$F$45,MATCH($A12,Data!$A$2:$A$45,0))="","",INDEX(Data!$F$2:$F$45,MATCH($A12,Data!$A$2:$A$45,0))),"")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IFERROR(IF(INDEX(Data!$G$2:$G$45,MATCH($A12,Data!$A$2:$A$45,0))="","",INDEX(Data!$G$2:$G$45,MATCH($A12,Data!$A$2:$A$45,0))),"")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IFERROR(IF(INDEX(Data!$H$2:$H$45,MATCH($A12,Data!$A$2:$A$45,0))="","",INDEX(Data!$H$2:$H$45,MATCH($A12,Data!$A$2:$A$45,0))),"")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IFERROR(IF(INDEX(Data!$I$2:$I$45,MATCH($A12,Data!$A$2:$A$45,0))="","",INDEX(Data!$I$2:$I$45,MATCH($A12,Data!$A$2:$A$45,0))),"")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IFERROR(IF(INDEX(Data!$J$2:$J$45,MATCH($A12,Data!$A$2:$A$45,0))="","",INDEX(Data!$J$2:$J$45,MATCH($A12,Data!$A$2:$A$45,0))),"")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IFERROR(IF(INDEX(Data!$K$2:$K$45,MATCH($A12,Data!$A$2:$A$45,0))="","",INDEX(Data!$K$2:$K$45,MATCH($A12,Data!$A$2:$A$45,0))),"")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IFERROR(IF(INDEX(Data!$L$2:$L$45,MATCH($A12,Data!$A$2:$A$45,0))="","",INDEX(Data!$L$2:$L$45,MATCH($A12,Data!$A$2:$A$45,0))),"")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IFERROR(IF(INDEX(Data!$M$2:$M$45,MATCH($A12,Data!$A$2:$A$45,0))="","",INDEX(Data!$M$2:$M$45,MATCH($A12,Data!$A$2:$A$45,0))),"")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IFERROR(IF(INDEX(Data!$N$2:$N$45,MATCH($A12,Data!$A$2:$A$45,0))="","",INDEX(Data!$N$2:$N$45,MATCH($A12,Data!$A$2:$A$45,0))),"")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IFERROR(IF(INDEX(Data!$O$2:$O$45,MATCH($A12,Data!$A$2:$A$45,0))="","",INDEX(Data!$O$2:$O$45,MATCH($A12,Data!$A$2:$A$45,0))),"")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IFERROR(IF(INDEX(Data!$P$2:$P$45,MATCH($A12,Data!$A$2:$A$45,0))="","",INDEX(Data!$P$2:$P$45,MATCH($A12,Data!$A$2:$A$45,0))),"")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IFERROR(IF(INDEX(Data!$Q$2:$Q$45,MATCH($A12,Data!$A$2:$A$45,0))="","",INDEX(Data!$Q$2:$Q$45,MATCH($A12,Data!$A$2:$A$45,0))),"")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IFERROR(IF(INDEX(Data!$R$2:$R$45,MATCH($A12,Data!$A$2:$A$45,0))="","",INDEX(Data!$R$2:$R$45,MATCH($A12,Data!$A$2:$A$45,0))),"")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IFERROR(IF(INDEX(Data!$S$2:$S$45,MATCH($A12,Data!$A$2:$A$45,0))="","",INDEX(Data!$S$2:$S$45,MATCH($A12,Data!$A$2:$A$45,0))),"")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IFERROR(IF(INDEX(Data!$T$2:$T$45,MATCH($A12,Data!$A$2:$A$45,0))="","",INDEX(Data!$T$2:$T$45,MATCH($A12,Data!$A$2:$A$45,0))),"")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IFERROR(IF(INDEX(Data!$U$2:$U$45,MATCH($A12,Data!$A$2:$A$45,0))="","",INDEX(Data!$U$2:$U$45,MATCH($A12,Data!$A$2:$A$45,0))),"")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IFERROR(IF(INDEX(Data!$V$2:$V$45,MATCH($A12,Data!$A$2:$A$45,0))="","",INDEX(Data!$V$2:$V$45,MATCH($A12,Data!$A$2:$A$45,0))),"")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IFERROR(IF(INDEX(Data!$W$2:$W$45,MATCH($A12,Data!$A$2:$A$45,0))="","",INDEX(Data!$W$2:$W$45,MATCH($A12,Data!$A$2:$A$45,0))),"")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IFERROR(IF(INDEX(Data!$X$2:$X$45,MATCH($A12,Data!$A$2:$A$45,0))="","",INDEX(Data!$X$2:$X$45,MATCH($A12,Data!$A$2:$A$45,0))),"")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IFERROR(IF(INDEX(Data!$Y$2:$Y$45,MATCH($A12,Data!$A$2:$A$45,0))="","",INDEX(Data!$Y$2:$Y$45,MATCH($A12,Data!$A$2:$A$45,0))),"")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IFERROR(IF(INDEX(Data!$Z$2:$Z$45,MATCH($A12,Data!$A$2:$A$45,0))="","",INDEX(Data!$Z$2:$Z$45,MATCH($A12,Data!$A$2:$A$45,0))),"")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IFERROR(IF(INDEX(Data!$AA$2:$AA$45,MATCH($A12,Data!$A$2:$A$45,0))="","",INDEX(Data!$AA$2:$AA$45,MATCH($A12,Data!$A$2:$A$45,0))),"")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IFERROR(IF(INDEX(Data!$AB$2:$AB$45,MATCH($A12,Data!$A$2:$A$45,0))="","",INDEX(Data!$AB$2:$AB$45,MATCH($A12,Data!$A$2:$A$45,0))),"")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IFERROR(IF(INDEX(Data!$AC$2:$AC$45,MATCH($A12,Data!$A$2:$A$45,0))="","",INDEX(Data!$AC$2:$AC$45,MATCH($A12,Data!$A$2:$A$45,0))),"")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IFERROR(IF(INDEX(Data!$AD$2:$AD$45,MATCH($A12,Data!$A$2:$A$45,0))="","",INDEX(Data!$AD$2:$AD$45,MATCH($A12,Data!$A$2:$A$45,0))),"")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IFERROR(IF(INDEX(Data!$AE$2:$AE$45,MATCH($A12,Data!$A$2:$A$45,0))="","",INDEX(Data!$AE$2:$AE$45,MATCH($A12,Data!$A$2:$A$45,0))),"")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IFERROR(IF(INDEX(Data!$AF$2:$AF$45,MATCH($A12,Data!$A$2:$A$45,0))="","",INDEX(Data!$AF$2:$AF$45,MATCH($A12,Data!$A$2:$A$45,0))),"")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IFERROR(IF(INDEX(Data!$AG$2:$AG$45,MATCH($A12,Data!$A$2:$A$45,0))="","",INDEX(Data!$AG$2:$AG$45,MATCH($A12,Data!$A$2:$A$45,0))),"")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IFERROR(IF(INDEX(Data!$AH$2:$AH$45,MATCH($A12,Data!$A$2:$A$45,0))="","",INDEX(Data!$AH$2:$AH$45,MATCH($A12,Data!$A$2:$A$45,0))),"")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IFERROR(IF(INDEX(Data!$AI$2:$AI$45,MATCH($A12,Data!$A$2:$A$45,0))="","",INDEX(Data!$AI$2:$AI$45,MATCH($A12,Data!$A$2:$A$45,0))),"")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7" t="n">
        <v>46303</v>
      </c>
      <c r="B13" s="7">
        <f>IFERROR(IF(INDEX(Data!$C$2:$C$45,MATCH($A13,Data!$A$2:$A$45,0))="","",INDEX(Data!$C$2:$C$45,MATCH($A13,Data!$A$2:$A$45,0))),"")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IFERROR(IF(INDEX(Data!$D$2:$D$45,MATCH($A13,Data!$A$2:$A$45,0))="","",INDEX(Data!$D$2:$D$45,MATCH($A13,Data!$A$2:$A$45,0))),"")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IFERROR(IF(INDEX(Data!$E$2:$E$45,MATCH($A13,Data!$A$2:$A$45,0))="","",INDEX(Data!$E$2:$E$45,MATCH($A13,Data!$A$2:$A$45,0))),"")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IFERROR(IF(INDEX(Data!$F$2:$F$45,MATCH($A13,Data!$A$2:$A$45,0))="","",INDEX(Data!$F$2:$F$45,MATCH($A13,Data!$A$2:$A$45,0))),"")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IFERROR(IF(INDEX(Data!$G$2:$G$45,MATCH($A13,Data!$A$2:$A$45,0))="","",INDEX(Data!$G$2:$G$45,MATCH($A13,Data!$A$2:$A$45,0))),"")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IFERROR(IF(INDEX(Data!$H$2:$H$45,MATCH($A13,Data!$A$2:$A$45,0))="","",INDEX(Data!$H$2:$H$45,MATCH($A13,Data!$A$2:$A$45,0))),"")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IFERROR(IF(INDEX(Data!$I$2:$I$45,MATCH($A13,Data!$A$2:$A$45,0))="","",INDEX(Data!$I$2:$I$45,MATCH($A13,Data!$A$2:$A$45,0))),"")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IFERROR(IF(INDEX(Data!$J$2:$J$45,MATCH($A13,Data!$A$2:$A$45,0))="","",INDEX(Data!$J$2:$J$45,MATCH($A13,Data!$A$2:$A$45,0))),"")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IFERROR(IF(INDEX(Data!$K$2:$K$45,MATCH($A13,Data!$A$2:$A$45,0))="","",INDEX(Data!$K$2:$K$45,MATCH($A13,Data!$A$2:$A$45,0))),"")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IFERROR(IF(INDEX(Data!$L$2:$L$45,MATCH($A13,Data!$A$2:$A$45,0))="","",INDEX(Data!$L$2:$L$45,MATCH($A13,Data!$A$2:$A$45,0))),"")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IFERROR(IF(INDEX(Data!$M$2:$M$45,MATCH($A13,Data!$A$2:$A$45,0))="","",INDEX(Data!$M$2:$M$45,MATCH($A13,Data!$A$2:$A$45,0))),"")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IFERROR(IF(INDEX(Data!$N$2:$N$45,MATCH($A13,Data!$A$2:$A$45,0))="","",INDEX(Data!$N$2:$N$45,MATCH($A13,Data!$A$2:$A$45,0))),"")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IFERROR(IF(INDEX(Data!$O$2:$O$45,MATCH($A13,Data!$A$2:$A$45,0))="","",INDEX(Data!$O$2:$O$45,MATCH($A13,Data!$A$2:$A$45,0))),"")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IFERROR(IF(INDEX(Data!$P$2:$P$45,MATCH($A13,Data!$A$2:$A$45,0))="","",INDEX(Data!$P$2:$P$45,MATCH($A13,Data!$A$2:$A$45,0))),"")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IFERROR(IF(INDEX(Data!$Q$2:$Q$45,MATCH($A13,Data!$A$2:$A$45,0))="","",INDEX(Data!$Q$2:$Q$45,MATCH($A13,Data!$A$2:$A$45,0))),"")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IFERROR(IF(INDEX(Data!$R$2:$R$45,MATCH($A13,Data!$A$2:$A$45,0))="","",INDEX(Data!$R$2:$R$45,MATCH($A13,Data!$A$2:$A$45,0))),"")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IFERROR(IF(INDEX(Data!$S$2:$S$45,MATCH($A13,Data!$A$2:$A$45,0))="","",INDEX(Data!$S$2:$S$45,MATCH($A13,Data!$A$2:$A$45,0))),"")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IFERROR(IF(INDEX(Data!$T$2:$T$45,MATCH($A13,Data!$A$2:$A$45,0))="","",INDEX(Data!$T$2:$T$45,MATCH($A13,Data!$A$2:$A$45,0))),"")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IFERROR(IF(INDEX(Data!$U$2:$U$45,MATCH($A13,Data!$A$2:$A$45,0))="","",INDEX(Data!$U$2:$U$45,MATCH($A13,Data!$A$2:$A$45,0))),"")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IFERROR(IF(INDEX(Data!$V$2:$V$45,MATCH($A13,Data!$A$2:$A$45,0))="","",INDEX(Data!$V$2:$V$45,MATCH($A13,Data!$A$2:$A$45,0))),"")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IFERROR(IF(INDEX(Data!$W$2:$W$45,MATCH($A13,Data!$A$2:$A$45,0))="","",INDEX(Data!$W$2:$W$45,MATCH($A13,Data!$A$2:$A$45,0))),"")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IFERROR(IF(INDEX(Data!$X$2:$X$45,MATCH($A13,Data!$A$2:$A$45,0))="","",INDEX(Data!$X$2:$X$45,MATCH($A13,Data!$A$2:$A$45,0))),"")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IFERROR(IF(INDEX(Data!$Y$2:$Y$45,MATCH($A13,Data!$A$2:$A$45,0))="","",INDEX(Data!$Y$2:$Y$45,MATCH($A13,Data!$A$2:$A$45,0))),"")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IFERROR(IF(INDEX(Data!$Z$2:$Z$45,MATCH($A13,Data!$A$2:$A$45,0))="","",INDEX(Data!$Z$2:$Z$45,MATCH($A13,Data!$A$2:$A$45,0))),"")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IFERROR(IF(INDEX(Data!$AA$2:$AA$45,MATCH($A13,Data!$A$2:$A$45,0))="","",INDEX(Data!$AA$2:$AA$45,MATCH($A13,Data!$A$2:$A$45,0))),"")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IFERROR(IF(INDEX(Data!$AB$2:$AB$45,MATCH($A13,Data!$A$2:$A$45,0))="","",INDEX(Data!$AB$2:$AB$45,MATCH($A13,Data!$A$2:$A$45,0))),"")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IFERROR(IF(INDEX(Data!$AC$2:$AC$45,MATCH($A13,Data!$A$2:$A$45,0))="","",INDEX(Data!$AC$2:$AC$45,MATCH($A13,Data!$A$2:$A$45,0))),"")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IFERROR(IF(INDEX(Data!$AD$2:$AD$45,MATCH($A13,Data!$A$2:$A$45,0))="","",INDEX(Data!$AD$2:$AD$45,MATCH($A13,Data!$A$2:$A$45,0))),"")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IFERROR(IF(INDEX(Data!$AE$2:$AE$45,MATCH($A13,Data!$A$2:$A$45,0))="","",INDEX(Data!$AE$2:$AE$45,MATCH($A13,Data!$A$2:$A$45,0))),"")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IFERROR(IF(INDEX(Data!$AF$2:$AF$45,MATCH($A13,Data!$A$2:$A$45,0))="","",INDEX(Data!$AF$2:$AF$45,MATCH($A13,Data!$A$2:$A$45,0))),"")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IFERROR(IF(INDEX(Data!$AG$2:$AG$45,MATCH($A13,Data!$A$2:$A$45,0))="","",INDEX(Data!$AG$2:$AG$45,MATCH($A13,Data!$A$2:$A$45,0))),"")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IFERROR(IF(INDEX(Data!$AH$2:$AH$45,MATCH($A13,Data!$A$2:$A$45,0))="","",INDEX(Data!$AH$2:$AH$45,MATCH($A13,Data!$A$2:$A$45,0))),"")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IFERROR(IF(INDEX(Data!$AI$2:$AI$45,MATCH($A13,Data!$A$2:$A$45,0))="","",INDEX(Data!$AI$2:$AI$45,MATCH($A13,Data!$A$2:$A$45,0))),"")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7" t="n">
        <v>46304</v>
      </c>
      <c r="B14" s="7">
        <f>IFERROR(IF(INDEX(Data!$C$2:$C$45,MATCH($A14,Data!$A$2:$A$45,0))="","",INDEX(Data!$C$2:$C$45,MATCH($A14,Data!$A$2:$A$45,0))),"")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IFERROR(IF(INDEX(Data!$D$2:$D$45,MATCH($A14,Data!$A$2:$A$45,0))="","",INDEX(Data!$D$2:$D$45,MATCH($A14,Data!$A$2:$A$45,0))),"")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IFERROR(IF(INDEX(Data!$E$2:$E$45,MATCH($A14,Data!$A$2:$A$45,0))="","",INDEX(Data!$E$2:$E$45,MATCH($A14,Data!$A$2:$A$45,0))),"")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IFERROR(IF(INDEX(Data!$F$2:$F$45,MATCH($A14,Data!$A$2:$A$45,0))="","",INDEX(Data!$F$2:$F$45,MATCH($A14,Data!$A$2:$A$45,0))),"")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IFERROR(IF(INDEX(Data!$G$2:$G$45,MATCH($A14,Data!$A$2:$A$45,0))="","",INDEX(Data!$G$2:$G$45,MATCH($A14,Data!$A$2:$A$45,0))),"")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IFERROR(IF(INDEX(Data!$H$2:$H$45,MATCH($A14,Data!$A$2:$A$45,0))="","",INDEX(Data!$H$2:$H$45,MATCH($A14,Data!$A$2:$A$45,0))),"")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IFERROR(IF(INDEX(Data!$I$2:$I$45,MATCH($A14,Data!$A$2:$A$45,0))="","",INDEX(Data!$I$2:$I$45,MATCH($A14,Data!$A$2:$A$45,0))),"")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IFERROR(IF(INDEX(Data!$J$2:$J$45,MATCH($A14,Data!$A$2:$A$45,0))="","",INDEX(Data!$J$2:$J$45,MATCH($A14,Data!$A$2:$A$45,0))),"")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IFERROR(IF(INDEX(Data!$K$2:$K$45,MATCH($A14,Data!$A$2:$A$45,0))="","",INDEX(Data!$K$2:$K$45,MATCH($A14,Data!$A$2:$A$45,0))),"")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IFERROR(IF(INDEX(Data!$L$2:$L$45,MATCH($A14,Data!$A$2:$A$45,0))="","",INDEX(Data!$L$2:$L$45,MATCH($A14,Data!$A$2:$A$45,0))),"")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IFERROR(IF(INDEX(Data!$M$2:$M$45,MATCH($A14,Data!$A$2:$A$45,0))="","",INDEX(Data!$M$2:$M$45,MATCH($A14,Data!$A$2:$A$45,0))),"")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IFERROR(IF(INDEX(Data!$N$2:$N$45,MATCH($A14,Data!$A$2:$A$45,0))="","",INDEX(Data!$N$2:$N$45,MATCH($A14,Data!$A$2:$A$45,0))),"")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IFERROR(IF(INDEX(Data!$O$2:$O$45,MATCH($A14,Data!$A$2:$A$45,0))="","",INDEX(Data!$O$2:$O$45,MATCH($A14,Data!$A$2:$A$45,0))),"")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IFERROR(IF(INDEX(Data!$P$2:$P$45,MATCH($A14,Data!$A$2:$A$45,0))="","",INDEX(Data!$P$2:$P$45,MATCH($A14,Data!$A$2:$A$45,0))),"")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IFERROR(IF(INDEX(Data!$Q$2:$Q$45,MATCH($A14,Data!$A$2:$A$45,0))="","",INDEX(Data!$Q$2:$Q$45,MATCH($A14,Data!$A$2:$A$45,0))),"")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IFERROR(IF(INDEX(Data!$R$2:$R$45,MATCH($A14,Data!$A$2:$A$45,0))="","",INDEX(Data!$R$2:$R$45,MATCH($A14,Data!$A$2:$A$45,0))),"")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IFERROR(IF(INDEX(Data!$S$2:$S$45,MATCH($A14,Data!$A$2:$A$45,0))="","",INDEX(Data!$S$2:$S$45,MATCH($A14,Data!$A$2:$A$45,0))),"")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IFERROR(IF(INDEX(Data!$T$2:$T$45,MATCH($A14,Data!$A$2:$A$45,0))="","",INDEX(Data!$T$2:$T$45,MATCH($A14,Data!$A$2:$A$45,0))),"")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IFERROR(IF(INDEX(Data!$U$2:$U$45,MATCH($A14,Data!$A$2:$A$45,0))="","",INDEX(Data!$U$2:$U$45,MATCH($A14,Data!$A$2:$A$45,0))),"")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IFERROR(IF(INDEX(Data!$V$2:$V$45,MATCH($A14,Data!$A$2:$A$45,0))="","",INDEX(Data!$V$2:$V$45,MATCH($A14,Data!$A$2:$A$45,0))),"")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IFERROR(IF(INDEX(Data!$W$2:$W$45,MATCH($A14,Data!$A$2:$A$45,0))="","",INDEX(Data!$W$2:$W$45,MATCH($A14,Data!$A$2:$A$45,0))),"")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IFERROR(IF(INDEX(Data!$X$2:$X$45,MATCH($A14,Data!$A$2:$A$45,0))="","",INDEX(Data!$X$2:$X$45,MATCH($A14,Data!$A$2:$A$45,0))),"")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IFERROR(IF(INDEX(Data!$Y$2:$Y$45,MATCH($A14,Data!$A$2:$A$45,0))="","",INDEX(Data!$Y$2:$Y$45,MATCH($A14,Data!$A$2:$A$45,0))),"")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IFERROR(IF(INDEX(Data!$Z$2:$Z$45,MATCH($A14,Data!$A$2:$A$45,0))="","",INDEX(Data!$Z$2:$Z$45,MATCH($A14,Data!$A$2:$A$45,0))),"")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IFERROR(IF(INDEX(Data!$AA$2:$AA$45,MATCH($A14,Data!$A$2:$A$45,0))="","",INDEX(Data!$AA$2:$AA$45,MATCH($A14,Data!$A$2:$A$45,0))),"")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IFERROR(IF(INDEX(Data!$AB$2:$AB$45,MATCH($A14,Data!$A$2:$A$45,0))="","",INDEX(Data!$AB$2:$AB$45,MATCH($A14,Data!$A$2:$A$45,0))),"")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IFERROR(IF(INDEX(Data!$AC$2:$AC$45,MATCH($A14,Data!$A$2:$A$45,0))="","",INDEX(Data!$AC$2:$AC$45,MATCH($A14,Data!$A$2:$A$45,0))),"")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IFERROR(IF(INDEX(Data!$AD$2:$AD$45,MATCH($A14,Data!$A$2:$A$45,0))="","",INDEX(Data!$AD$2:$AD$45,MATCH($A14,Data!$A$2:$A$45,0))),"")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IFERROR(IF(INDEX(Data!$AE$2:$AE$45,MATCH($A14,Data!$A$2:$A$45,0))="","",INDEX(Data!$AE$2:$AE$45,MATCH($A14,Data!$A$2:$A$45,0))),"")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IFERROR(IF(INDEX(Data!$AF$2:$AF$45,MATCH($A14,Data!$A$2:$A$45,0))="","",INDEX(Data!$AF$2:$AF$45,MATCH($A14,Data!$A$2:$A$45,0))),"")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IFERROR(IF(INDEX(Data!$AG$2:$AG$45,MATCH($A14,Data!$A$2:$A$45,0))="","",INDEX(Data!$AG$2:$AG$45,MATCH($A14,Data!$A$2:$A$45,0))),"")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IFERROR(IF(INDEX(Data!$AH$2:$AH$45,MATCH($A14,Data!$A$2:$A$45,0))="","",INDEX(Data!$AH$2:$AH$45,MATCH($A14,Data!$A$2:$A$45,0))),"")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IFERROR(IF(INDEX(Data!$AI$2:$AI$45,MATCH($A14,Data!$A$2:$A$45,0))="","",INDEX(Data!$AI$2:$AI$45,MATCH($A14,Data!$A$2:$A$45,0))),"")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7" t="n">
        <v>46305</v>
      </c>
      <c r="B15" s="7">
        <f>IFERROR(IF(INDEX(Data!$C$2:$C$45,MATCH($A15,Data!$A$2:$A$45,0))="","",INDEX(Data!$C$2:$C$45,MATCH($A15,Data!$A$2:$A$45,0))),"")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IFERROR(IF(INDEX(Data!$D$2:$D$45,MATCH($A15,Data!$A$2:$A$45,0))="","",INDEX(Data!$D$2:$D$45,MATCH($A15,Data!$A$2:$A$45,0))),"")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IFERROR(IF(INDEX(Data!$E$2:$E$45,MATCH($A15,Data!$A$2:$A$45,0))="","",INDEX(Data!$E$2:$E$45,MATCH($A15,Data!$A$2:$A$45,0))),"")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IFERROR(IF(INDEX(Data!$F$2:$F$45,MATCH($A15,Data!$A$2:$A$45,0))="","",INDEX(Data!$F$2:$F$45,MATCH($A15,Data!$A$2:$A$45,0))),"")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IFERROR(IF(INDEX(Data!$G$2:$G$45,MATCH($A15,Data!$A$2:$A$45,0))="","",INDEX(Data!$G$2:$G$45,MATCH($A15,Data!$A$2:$A$45,0))),"")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IFERROR(IF(INDEX(Data!$H$2:$H$45,MATCH($A15,Data!$A$2:$A$45,0))="","",INDEX(Data!$H$2:$H$45,MATCH($A15,Data!$A$2:$A$45,0))),"")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IFERROR(IF(INDEX(Data!$I$2:$I$45,MATCH($A15,Data!$A$2:$A$45,0))="","",INDEX(Data!$I$2:$I$45,MATCH($A15,Data!$A$2:$A$45,0))),"")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IFERROR(IF(INDEX(Data!$J$2:$J$45,MATCH($A15,Data!$A$2:$A$45,0))="","",INDEX(Data!$J$2:$J$45,MATCH($A15,Data!$A$2:$A$45,0))),"")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IFERROR(IF(INDEX(Data!$K$2:$K$45,MATCH($A15,Data!$A$2:$A$45,0))="","",INDEX(Data!$K$2:$K$45,MATCH($A15,Data!$A$2:$A$45,0))),"")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IFERROR(IF(INDEX(Data!$L$2:$L$45,MATCH($A15,Data!$A$2:$A$45,0))="","",INDEX(Data!$L$2:$L$45,MATCH($A15,Data!$A$2:$A$45,0))),"")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IFERROR(IF(INDEX(Data!$M$2:$M$45,MATCH($A15,Data!$A$2:$A$45,0))="","",INDEX(Data!$M$2:$M$45,MATCH($A15,Data!$A$2:$A$45,0))),"")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IFERROR(IF(INDEX(Data!$N$2:$N$45,MATCH($A15,Data!$A$2:$A$45,0))="","",INDEX(Data!$N$2:$N$45,MATCH($A15,Data!$A$2:$A$45,0))),"")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IFERROR(IF(INDEX(Data!$O$2:$O$45,MATCH($A15,Data!$A$2:$A$45,0))="","",INDEX(Data!$O$2:$O$45,MATCH($A15,Data!$A$2:$A$45,0))),"")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IFERROR(IF(INDEX(Data!$P$2:$P$45,MATCH($A15,Data!$A$2:$A$45,0))="","",INDEX(Data!$P$2:$P$45,MATCH($A15,Data!$A$2:$A$45,0))),"")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IFERROR(IF(INDEX(Data!$Q$2:$Q$45,MATCH($A15,Data!$A$2:$A$45,0))="","",INDEX(Data!$Q$2:$Q$45,MATCH($A15,Data!$A$2:$A$45,0))),"")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IFERROR(IF(INDEX(Data!$R$2:$R$45,MATCH($A15,Data!$A$2:$A$45,0))="","",INDEX(Data!$R$2:$R$45,MATCH($A15,Data!$A$2:$A$45,0))),"")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IFERROR(IF(INDEX(Data!$S$2:$S$45,MATCH($A15,Data!$A$2:$A$45,0))="","",INDEX(Data!$S$2:$S$45,MATCH($A15,Data!$A$2:$A$45,0))),"")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IFERROR(IF(INDEX(Data!$T$2:$T$45,MATCH($A15,Data!$A$2:$A$45,0))="","",INDEX(Data!$T$2:$T$45,MATCH($A15,Data!$A$2:$A$45,0))),"")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IFERROR(IF(INDEX(Data!$U$2:$U$45,MATCH($A15,Data!$A$2:$A$45,0))="","",INDEX(Data!$U$2:$U$45,MATCH($A15,Data!$A$2:$A$45,0))),"")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IFERROR(IF(INDEX(Data!$V$2:$V$45,MATCH($A15,Data!$A$2:$A$45,0))="","",INDEX(Data!$V$2:$V$45,MATCH($A15,Data!$A$2:$A$45,0))),"")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IFERROR(IF(INDEX(Data!$W$2:$W$45,MATCH($A15,Data!$A$2:$A$45,0))="","",INDEX(Data!$W$2:$W$45,MATCH($A15,Data!$A$2:$A$45,0))),"")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IFERROR(IF(INDEX(Data!$X$2:$X$45,MATCH($A15,Data!$A$2:$A$45,0))="","",INDEX(Data!$X$2:$X$45,MATCH($A15,Data!$A$2:$A$45,0))),"")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IFERROR(IF(INDEX(Data!$Y$2:$Y$45,MATCH($A15,Data!$A$2:$A$45,0))="","",INDEX(Data!$Y$2:$Y$45,MATCH($A15,Data!$A$2:$A$45,0))),"")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IFERROR(IF(INDEX(Data!$Z$2:$Z$45,MATCH($A15,Data!$A$2:$A$45,0))="","",INDEX(Data!$Z$2:$Z$45,MATCH($A15,Data!$A$2:$A$45,0))),"")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IFERROR(IF(INDEX(Data!$AA$2:$AA$45,MATCH($A15,Data!$A$2:$A$45,0))="","",INDEX(Data!$AA$2:$AA$45,MATCH($A15,Data!$A$2:$A$45,0))),"")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IFERROR(IF(INDEX(Data!$AB$2:$AB$45,MATCH($A15,Data!$A$2:$A$45,0))="","",INDEX(Data!$AB$2:$AB$45,MATCH($A15,Data!$A$2:$A$45,0))),"")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IFERROR(IF(INDEX(Data!$AC$2:$AC$45,MATCH($A15,Data!$A$2:$A$45,0))="","",INDEX(Data!$AC$2:$AC$45,MATCH($A15,Data!$A$2:$A$45,0))),"")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IFERROR(IF(INDEX(Data!$AD$2:$AD$45,MATCH($A15,Data!$A$2:$A$45,0))="","",INDEX(Data!$AD$2:$AD$45,MATCH($A15,Data!$A$2:$A$45,0))),"")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IFERROR(IF(INDEX(Data!$AE$2:$AE$45,MATCH($A15,Data!$A$2:$A$45,0))="","",INDEX(Data!$AE$2:$AE$45,MATCH($A15,Data!$A$2:$A$45,0))),"")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IFERROR(IF(INDEX(Data!$AF$2:$AF$45,MATCH($A15,Data!$A$2:$A$45,0))="","",INDEX(Data!$AF$2:$AF$45,MATCH($A15,Data!$A$2:$A$45,0))),"")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IFERROR(IF(INDEX(Data!$AG$2:$AG$45,MATCH($A15,Data!$A$2:$A$45,0))="","",INDEX(Data!$AG$2:$AG$45,MATCH($A15,Data!$A$2:$A$45,0))),"")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IFERROR(IF(INDEX(Data!$AH$2:$AH$45,MATCH($A15,Data!$A$2:$A$45,0))="","",INDEX(Data!$AH$2:$AH$45,MATCH($A15,Data!$A$2:$A$45,0))),"")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IFERROR(IF(INDEX(Data!$AI$2:$AI$45,MATCH($A15,Data!$A$2:$A$45,0))="","",INDEX(Data!$AI$2:$AI$45,MATCH($A15,Data!$A$2:$A$45,0))),"")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7" t="n">
        <v>46306</v>
      </c>
      <c r="B16" s="7">
        <f>IFERROR(IF(INDEX(Data!$C$2:$C$45,MATCH($A16,Data!$A$2:$A$45,0))="","",INDEX(Data!$C$2:$C$45,MATCH($A16,Data!$A$2:$A$45,0))),"")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IFERROR(IF(INDEX(Data!$D$2:$D$45,MATCH($A16,Data!$A$2:$A$45,0))="","",INDEX(Data!$D$2:$D$45,MATCH($A16,Data!$A$2:$A$45,0))),"")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IFERROR(IF(INDEX(Data!$E$2:$E$45,MATCH($A16,Data!$A$2:$A$45,0))="","",INDEX(Data!$E$2:$E$45,MATCH($A16,Data!$A$2:$A$45,0))),"")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IFERROR(IF(INDEX(Data!$F$2:$F$45,MATCH($A16,Data!$A$2:$A$45,0))="","",INDEX(Data!$F$2:$F$45,MATCH($A16,Data!$A$2:$A$45,0))),"")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IFERROR(IF(INDEX(Data!$G$2:$G$45,MATCH($A16,Data!$A$2:$A$45,0))="","",INDEX(Data!$G$2:$G$45,MATCH($A16,Data!$A$2:$A$45,0))),"")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IFERROR(IF(INDEX(Data!$H$2:$H$45,MATCH($A16,Data!$A$2:$A$45,0))="","",INDEX(Data!$H$2:$H$45,MATCH($A16,Data!$A$2:$A$45,0))),"")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IFERROR(IF(INDEX(Data!$I$2:$I$45,MATCH($A16,Data!$A$2:$A$45,0))="","",INDEX(Data!$I$2:$I$45,MATCH($A16,Data!$A$2:$A$45,0))),"")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IFERROR(IF(INDEX(Data!$J$2:$J$45,MATCH($A16,Data!$A$2:$A$45,0))="","",INDEX(Data!$J$2:$J$45,MATCH($A16,Data!$A$2:$A$45,0))),"")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IFERROR(IF(INDEX(Data!$K$2:$K$45,MATCH($A16,Data!$A$2:$A$45,0))="","",INDEX(Data!$K$2:$K$45,MATCH($A16,Data!$A$2:$A$45,0))),"")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IFERROR(IF(INDEX(Data!$L$2:$L$45,MATCH($A16,Data!$A$2:$A$45,0))="","",INDEX(Data!$L$2:$L$45,MATCH($A16,Data!$A$2:$A$45,0))),"")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IFERROR(IF(INDEX(Data!$M$2:$M$45,MATCH($A16,Data!$A$2:$A$45,0))="","",INDEX(Data!$M$2:$M$45,MATCH($A16,Data!$A$2:$A$45,0))),"")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IFERROR(IF(INDEX(Data!$N$2:$N$45,MATCH($A16,Data!$A$2:$A$45,0))="","",INDEX(Data!$N$2:$N$45,MATCH($A16,Data!$A$2:$A$45,0))),"")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IFERROR(IF(INDEX(Data!$O$2:$O$45,MATCH($A16,Data!$A$2:$A$45,0))="","",INDEX(Data!$O$2:$O$45,MATCH($A16,Data!$A$2:$A$45,0))),"")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IFERROR(IF(INDEX(Data!$P$2:$P$45,MATCH($A16,Data!$A$2:$A$45,0))="","",INDEX(Data!$P$2:$P$45,MATCH($A16,Data!$A$2:$A$45,0))),"")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IFERROR(IF(INDEX(Data!$Q$2:$Q$45,MATCH($A16,Data!$A$2:$A$45,0))="","",INDEX(Data!$Q$2:$Q$45,MATCH($A16,Data!$A$2:$A$45,0))),"")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IFERROR(IF(INDEX(Data!$R$2:$R$45,MATCH($A16,Data!$A$2:$A$45,0))="","",INDEX(Data!$R$2:$R$45,MATCH($A16,Data!$A$2:$A$45,0))),"")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IFERROR(IF(INDEX(Data!$S$2:$S$45,MATCH($A16,Data!$A$2:$A$45,0))="","",INDEX(Data!$S$2:$S$45,MATCH($A16,Data!$A$2:$A$45,0))),"")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IFERROR(IF(INDEX(Data!$T$2:$T$45,MATCH($A16,Data!$A$2:$A$45,0))="","",INDEX(Data!$T$2:$T$45,MATCH($A16,Data!$A$2:$A$45,0))),"")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IFERROR(IF(INDEX(Data!$U$2:$U$45,MATCH($A16,Data!$A$2:$A$45,0))="","",INDEX(Data!$U$2:$U$45,MATCH($A16,Data!$A$2:$A$45,0))),"")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IFERROR(IF(INDEX(Data!$V$2:$V$45,MATCH($A16,Data!$A$2:$A$45,0))="","",INDEX(Data!$V$2:$V$45,MATCH($A16,Data!$A$2:$A$45,0))),"")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IFERROR(IF(INDEX(Data!$W$2:$W$45,MATCH($A16,Data!$A$2:$A$45,0))="","",INDEX(Data!$W$2:$W$45,MATCH($A16,Data!$A$2:$A$45,0))),"")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IFERROR(IF(INDEX(Data!$X$2:$X$45,MATCH($A16,Data!$A$2:$A$45,0))="","",INDEX(Data!$X$2:$X$45,MATCH($A16,Data!$A$2:$A$45,0))),"")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IFERROR(IF(INDEX(Data!$Y$2:$Y$45,MATCH($A16,Data!$A$2:$A$45,0))="","",INDEX(Data!$Y$2:$Y$45,MATCH($A16,Data!$A$2:$A$45,0))),"")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IFERROR(IF(INDEX(Data!$Z$2:$Z$45,MATCH($A16,Data!$A$2:$A$45,0))="","",INDEX(Data!$Z$2:$Z$45,MATCH($A16,Data!$A$2:$A$45,0))),"")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IFERROR(IF(INDEX(Data!$AA$2:$AA$45,MATCH($A16,Data!$A$2:$A$45,0))="","",INDEX(Data!$AA$2:$AA$45,MATCH($A16,Data!$A$2:$A$45,0))),"")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IFERROR(IF(INDEX(Data!$AB$2:$AB$45,MATCH($A16,Data!$A$2:$A$45,0))="","",INDEX(Data!$AB$2:$AB$45,MATCH($A16,Data!$A$2:$A$45,0))),"")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IFERROR(IF(INDEX(Data!$AC$2:$AC$45,MATCH($A16,Data!$A$2:$A$45,0))="","",INDEX(Data!$AC$2:$AC$45,MATCH($A16,Data!$A$2:$A$45,0))),"")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IFERROR(IF(INDEX(Data!$AD$2:$AD$45,MATCH($A16,Data!$A$2:$A$45,0))="","",INDEX(Data!$AD$2:$AD$45,MATCH($A16,Data!$A$2:$A$45,0))),"")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IFERROR(IF(INDEX(Data!$AE$2:$AE$45,MATCH($A16,Data!$A$2:$A$45,0))="","",INDEX(Data!$AE$2:$AE$45,MATCH($A16,Data!$A$2:$A$45,0))),"")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IFERROR(IF(INDEX(Data!$AF$2:$AF$45,MATCH($A16,Data!$A$2:$A$45,0))="","",INDEX(Data!$AF$2:$AF$45,MATCH($A16,Data!$A$2:$A$45,0))),"")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IFERROR(IF(INDEX(Data!$AG$2:$AG$45,MATCH($A16,Data!$A$2:$A$45,0))="","",INDEX(Data!$AG$2:$AG$45,MATCH($A16,Data!$A$2:$A$45,0))),"")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IFERROR(IF(INDEX(Data!$AH$2:$AH$45,MATCH($A16,Data!$A$2:$A$45,0))="","",INDEX(Data!$AH$2:$AH$45,MATCH($A16,Data!$A$2:$A$45,0))),"")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IFERROR(IF(INDEX(Data!$AI$2:$AI$45,MATCH($A16,Data!$A$2:$A$45,0))="","",INDEX(Data!$AI$2:$AI$45,MATCH($A16,Data!$A$2:$A$45,0))),"")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7" t="n">
        <v>46307</v>
      </c>
      <c r="B17" s="7">
        <f>IFERROR(IF(INDEX(Data!$C$2:$C$45,MATCH($A17,Data!$A$2:$A$45,0))="","",INDEX(Data!$C$2:$C$45,MATCH($A17,Data!$A$2:$A$45,0))),"")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IFERROR(IF(INDEX(Data!$D$2:$D$45,MATCH($A17,Data!$A$2:$A$45,0))="","",INDEX(Data!$D$2:$D$45,MATCH($A17,Data!$A$2:$A$45,0))),"")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IFERROR(IF(INDEX(Data!$E$2:$E$45,MATCH($A17,Data!$A$2:$A$45,0))="","",INDEX(Data!$E$2:$E$45,MATCH($A17,Data!$A$2:$A$45,0))),"")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IFERROR(IF(INDEX(Data!$F$2:$F$45,MATCH($A17,Data!$A$2:$A$45,0))="","",INDEX(Data!$F$2:$F$45,MATCH($A17,Data!$A$2:$A$45,0))),"")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IFERROR(IF(INDEX(Data!$G$2:$G$45,MATCH($A17,Data!$A$2:$A$45,0))="","",INDEX(Data!$G$2:$G$45,MATCH($A17,Data!$A$2:$A$45,0))),"")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IFERROR(IF(INDEX(Data!$H$2:$H$45,MATCH($A17,Data!$A$2:$A$45,0))="","",INDEX(Data!$H$2:$H$45,MATCH($A17,Data!$A$2:$A$45,0))),"")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IFERROR(IF(INDEX(Data!$I$2:$I$45,MATCH($A17,Data!$A$2:$A$45,0))="","",INDEX(Data!$I$2:$I$45,MATCH($A17,Data!$A$2:$A$45,0))),"")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IFERROR(IF(INDEX(Data!$J$2:$J$45,MATCH($A17,Data!$A$2:$A$45,0))="","",INDEX(Data!$J$2:$J$45,MATCH($A17,Data!$A$2:$A$45,0))),"")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IFERROR(IF(INDEX(Data!$K$2:$K$45,MATCH($A17,Data!$A$2:$A$45,0))="","",INDEX(Data!$K$2:$K$45,MATCH($A17,Data!$A$2:$A$45,0))),"")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IFERROR(IF(INDEX(Data!$L$2:$L$45,MATCH($A17,Data!$A$2:$A$45,0))="","",INDEX(Data!$L$2:$L$45,MATCH($A17,Data!$A$2:$A$45,0))),"")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IFERROR(IF(INDEX(Data!$M$2:$M$45,MATCH($A17,Data!$A$2:$A$45,0))="","",INDEX(Data!$M$2:$M$45,MATCH($A17,Data!$A$2:$A$45,0))),"")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IFERROR(IF(INDEX(Data!$N$2:$N$45,MATCH($A17,Data!$A$2:$A$45,0))="","",INDEX(Data!$N$2:$N$45,MATCH($A17,Data!$A$2:$A$45,0))),"")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IFERROR(IF(INDEX(Data!$O$2:$O$45,MATCH($A17,Data!$A$2:$A$45,0))="","",INDEX(Data!$O$2:$O$45,MATCH($A17,Data!$A$2:$A$45,0))),"")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IFERROR(IF(INDEX(Data!$P$2:$P$45,MATCH($A17,Data!$A$2:$A$45,0))="","",INDEX(Data!$P$2:$P$45,MATCH($A17,Data!$A$2:$A$45,0))),"")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IFERROR(IF(INDEX(Data!$Q$2:$Q$45,MATCH($A17,Data!$A$2:$A$45,0))="","",INDEX(Data!$Q$2:$Q$45,MATCH($A17,Data!$A$2:$A$45,0))),"")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IFERROR(IF(INDEX(Data!$R$2:$R$45,MATCH($A17,Data!$A$2:$A$45,0))="","",INDEX(Data!$R$2:$R$45,MATCH($A17,Data!$A$2:$A$45,0))),"")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IFERROR(IF(INDEX(Data!$S$2:$S$45,MATCH($A17,Data!$A$2:$A$45,0))="","",INDEX(Data!$S$2:$S$45,MATCH($A17,Data!$A$2:$A$45,0))),"")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IFERROR(IF(INDEX(Data!$T$2:$T$45,MATCH($A17,Data!$A$2:$A$45,0))="","",INDEX(Data!$T$2:$T$45,MATCH($A17,Data!$A$2:$A$45,0))),"")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IFERROR(IF(INDEX(Data!$U$2:$U$45,MATCH($A17,Data!$A$2:$A$45,0))="","",INDEX(Data!$U$2:$U$45,MATCH($A17,Data!$A$2:$A$45,0))),"")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IFERROR(IF(INDEX(Data!$V$2:$V$45,MATCH($A17,Data!$A$2:$A$45,0))="","",INDEX(Data!$V$2:$V$45,MATCH($A17,Data!$A$2:$A$45,0))),"")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IFERROR(IF(INDEX(Data!$W$2:$W$45,MATCH($A17,Data!$A$2:$A$45,0))="","",INDEX(Data!$W$2:$W$45,MATCH($A17,Data!$A$2:$A$45,0))),"")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IFERROR(IF(INDEX(Data!$X$2:$X$45,MATCH($A17,Data!$A$2:$A$45,0))="","",INDEX(Data!$X$2:$X$45,MATCH($A17,Data!$A$2:$A$45,0))),"")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IFERROR(IF(INDEX(Data!$Y$2:$Y$45,MATCH($A17,Data!$A$2:$A$45,0))="","",INDEX(Data!$Y$2:$Y$45,MATCH($A17,Data!$A$2:$A$45,0))),"")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IFERROR(IF(INDEX(Data!$Z$2:$Z$45,MATCH($A17,Data!$A$2:$A$45,0))="","",INDEX(Data!$Z$2:$Z$45,MATCH($A17,Data!$A$2:$A$45,0))),"")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IFERROR(IF(INDEX(Data!$AA$2:$AA$45,MATCH($A17,Data!$A$2:$A$45,0))="","",INDEX(Data!$AA$2:$AA$45,MATCH($A17,Data!$A$2:$A$45,0))),"")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IFERROR(IF(INDEX(Data!$AB$2:$AB$45,MATCH($A17,Data!$A$2:$A$45,0))="","",INDEX(Data!$AB$2:$AB$45,MATCH($A17,Data!$A$2:$A$45,0))),"")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IFERROR(IF(INDEX(Data!$AC$2:$AC$45,MATCH($A17,Data!$A$2:$A$45,0))="","",INDEX(Data!$AC$2:$AC$45,MATCH($A17,Data!$A$2:$A$45,0))),"")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IFERROR(IF(INDEX(Data!$AD$2:$AD$45,MATCH($A17,Data!$A$2:$A$45,0))="","",INDEX(Data!$AD$2:$AD$45,MATCH($A17,Data!$A$2:$A$45,0))),"")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IFERROR(IF(INDEX(Data!$AE$2:$AE$45,MATCH($A17,Data!$A$2:$A$45,0))="","",INDEX(Data!$AE$2:$AE$45,MATCH($A17,Data!$A$2:$A$45,0))),"")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IFERROR(IF(INDEX(Data!$AF$2:$AF$45,MATCH($A17,Data!$A$2:$A$45,0))="","",INDEX(Data!$AF$2:$AF$45,MATCH($A17,Data!$A$2:$A$45,0))),"")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IFERROR(IF(INDEX(Data!$AG$2:$AG$45,MATCH($A17,Data!$A$2:$A$45,0))="","",INDEX(Data!$AG$2:$AG$45,MATCH($A17,Data!$A$2:$A$45,0))),"")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IFERROR(IF(INDEX(Data!$AH$2:$AH$45,MATCH($A17,Data!$A$2:$A$45,0))="","",INDEX(Data!$AH$2:$AH$45,MATCH($A17,Data!$A$2:$A$45,0))),"")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IFERROR(IF(INDEX(Data!$AI$2:$AI$45,MATCH($A17,Data!$A$2:$A$45,0))="","",INDEX(Data!$AI$2:$AI$45,MATCH($A17,Data!$A$2:$A$45,0))),"")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7" t="n">
        <v>46308</v>
      </c>
      <c r="B18" s="7">
        <f>IFERROR(IF(INDEX(Data!$C$2:$C$45,MATCH($A18,Data!$A$2:$A$45,0))="","",INDEX(Data!$C$2:$C$45,MATCH($A18,Data!$A$2:$A$45,0))),"")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IFERROR(IF(INDEX(Data!$D$2:$D$45,MATCH($A18,Data!$A$2:$A$45,0))="","",INDEX(Data!$D$2:$D$45,MATCH($A18,Data!$A$2:$A$45,0))),"")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IFERROR(IF(INDEX(Data!$E$2:$E$45,MATCH($A18,Data!$A$2:$A$45,0))="","",INDEX(Data!$E$2:$E$45,MATCH($A18,Data!$A$2:$A$45,0))),"")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IFERROR(IF(INDEX(Data!$F$2:$F$45,MATCH($A18,Data!$A$2:$A$45,0))="","",INDEX(Data!$F$2:$F$45,MATCH($A18,Data!$A$2:$A$45,0))),"")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IFERROR(IF(INDEX(Data!$G$2:$G$45,MATCH($A18,Data!$A$2:$A$45,0))="","",INDEX(Data!$G$2:$G$45,MATCH($A18,Data!$A$2:$A$45,0))),"")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IFERROR(IF(INDEX(Data!$H$2:$H$45,MATCH($A18,Data!$A$2:$A$45,0))="","",INDEX(Data!$H$2:$H$45,MATCH($A18,Data!$A$2:$A$45,0))),"")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IFERROR(IF(INDEX(Data!$I$2:$I$45,MATCH($A18,Data!$A$2:$A$45,0))="","",INDEX(Data!$I$2:$I$45,MATCH($A18,Data!$A$2:$A$45,0))),"")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IFERROR(IF(INDEX(Data!$J$2:$J$45,MATCH($A18,Data!$A$2:$A$45,0))="","",INDEX(Data!$J$2:$J$45,MATCH($A18,Data!$A$2:$A$45,0))),"")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IFERROR(IF(INDEX(Data!$K$2:$K$45,MATCH($A18,Data!$A$2:$A$45,0))="","",INDEX(Data!$K$2:$K$45,MATCH($A18,Data!$A$2:$A$45,0))),"")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IFERROR(IF(INDEX(Data!$L$2:$L$45,MATCH($A18,Data!$A$2:$A$45,0))="","",INDEX(Data!$L$2:$L$45,MATCH($A18,Data!$A$2:$A$45,0))),"")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IFERROR(IF(INDEX(Data!$M$2:$M$45,MATCH($A18,Data!$A$2:$A$45,0))="","",INDEX(Data!$M$2:$M$45,MATCH($A18,Data!$A$2:$A$45,0))),"")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IFERROR(IF(INDEX(Data!$N$2:$N$45,MATCH($A18,Data!$A$2:$A$45,0))="","",INDEX(Data!$N$2:$N$45,MATCH($A18,Data!$A$2:$A$45,0))),"")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IFERROR(IF(INDEX(Data!$O$2:$O$45,MATCH($A18,Data!$A$2:$A$45,0))="","",INDEX(Data!$O$2:$O$45,MATCH($A18,Data!$A$2:$A$45,0))),"")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IFERROR(IF(INDEX(Data!$P$2:$P$45,MATCH($A18,Data!$A$2:$A$45,0))="","",INDEX(Data!$P$2:$P$45,MATCH($A18,Data!$A$2:$A$45,0))),"")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IFERROR(IF(INDEX(Data!$Q$2:$Q$45,MATCH($A18,Data!$A$2:$A$45,0))="","",INDEX(Data!$Q$2:$Q$45,MATCH($A18,Data!$A$2:$A$45,0))),"")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IFERROR(IF(INDEX(Data!$R$2:$R$45,MATCH($A18,Data!$A$2:$A$45,0))="","",INDEX(Data!$R$2:$R$45,MATCH($A18,Data!$A$2:$A$45,0))),"")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IFERROR(IF(INDEX(Data!$S$2:$S$45,MATCH($A18,Data!$A$2:$A$45,0))="","",INDEX(Data!$S$2:$S$45,MATCH($A18,Data!$A$2:$A$45,0))),"")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IFERROR(IF(INDEX(Data!$T$2:$T$45,MATCH($A18,Data!$A$2:$A$45,0))="","",INDEX(Data!$T$2:$T$45,MATCH($A18,Data!$A$2:$A$45,0))),"")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IFERROR(IF(INDEX(Data!$U$2:$U$45,MATCH($A18,Data!$A$2:$A$45,0))="","",INDEX(Data!$U$2:$U$45,MATCH($A18,Data!$A$2:$A$45,0))),"")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IFERROR(IF(INDEX(Data!$V$2:$V$45,MATCH($A18,Data!$A$2:$A$45,0))="","",INDEX(Data!$V$2:$V$45,MATCH($A18,Data!$A$2:$A$45,0))),"")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IFERROR(IF(INDEX(Data!$W$2:$W$45,MATCH($A18,Data!$A$2:$A$45,0))="","",INDEX(Data!$W$2:$W$45,MATCH($A18,Data!$A$2:$A$45,0))),"")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IFERROR(IF(INDEX(Data!$X$2:$X$45,MATCH($A18,Data!$A$2:$A$45,0))="","",INDEX(Data!$X$2:$X$45,MATCH($A18,Data!$A$2:$A$45,0))),"")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IFERROR(IF(INDEX(Data!$Y$2:$Y$45,MATCH($A18,Data!$A$2:$A$45,0))="","",INDEX(Data!$Y$2:$Y$45,MATCH($A18,Data!$A$2:$A$45,0))),"")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IFERROR(IF(INDEX(Data!$Z$2:$Z$45,MATCH($A18,Data!$A$2:$A$45,0))="","",INDEX(Data!$Z$2:$Z$45,MATCH($A18,Data!$A$2:$A$45,0))),"")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IFERROR(IF(INDEX(Data!$AA$2:$AA$45,MATCH($A18,Data!$A$2:$A$45,0))="","",INDEX(Data!$AA$2:$AA$45,MATCH($A18,Data!$A$2:$A$45,0))),"")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IFERROR(IF(INDEX(Data!$AB$2:$AB$45,MATCH($A18,Data!$A$2:$A$45,0))="","",INDEX(Data!$AB$2:$AB$45,MATCH($A18,Data!$A$2:$A$45,0))),"")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IFERROR(IF(INDEX(Data!$AC$2:$AC$45,MATCH($A18,Data!$A$2:$A$45,0))="","",INDEX(Data!$AC$2:$AC$45,MATCH($A18,Data!$A$2:$A$45,0))),"")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IFERROR(IF(INDEX(Data!$AD$2:$AD$45,MATCH($A18,Data!$A$2:$A$45,0))="","",INDEX(Data!$AD$2:$AD$45,MATCH($A18,Data!$A$2:$A$45,0))),"")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IFERROR(IF(INDEX(Data!$AE$2:$AE$45,MATCH($A18,Data!$A$2:$A$45,0))="","",INDEX(Data!$AE$2:$AE$45,MATCH($A18,Data!$A$2:$A$45,0))),"")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IFERROR(IF(INDEX(Data!$AF$2:$AF$45,MATCH($A18,Data!$A$2:$A$45,0))="","",INDEX(Data!$AF$2:$AF$45,MATCH($A18,Data!$A$2:$A$45,0))),"")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IFERROR(IF(INDEX(Data!$AG$2:$AG$45,MATCH($A18,Data!$A$2:$A$45,0))="","",INDEX(Data!$AG$2:$AG$45,MATCH($A18,Data!$A$2:$A$45,0))),"")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IFERROR(IF(INDEX(Data!$AH$2:$AH$45,MATCH($A18,Data!$A$2:$A$45,0))="","",INDEX(Data!$AH$2:$AH$45,MATCH($A18,Data!$A$2:$A$45,0))),"")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IFERROR(IF(INDEX(Data!$AI$2:$AI$45,MATCH($A18,Data!$A$2:$A$45,0))="","",INDEX(Data!$AI$2:$AI$45,MATCH($A18,Data!$A$2:$A$45,0))),"")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</sheetData>
  <conditionalFormatting sqref="D5:D18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18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18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18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18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18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18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18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18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18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18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18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18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18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18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18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18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18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18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18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18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18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18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18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18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18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18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18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18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18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18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18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18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V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Last 30 delivery days (newest first):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5" t="inlineStr">
        <is>
          <t>AESO load forecast, daily peak (MW)</t>
        </is>
      </c>
      <c r="E3" s="25" t="inlineStr">
        <is>
          <t>AESO load forecast, HE8-23 avg (MW)</t>
        </is>
      </c>
      <c r="H3" s="25" t="inlineStr">
        <is>
          <t>Load actual, daily peak (MW)</t>
        </is>
      </c>
      <c r="K3" s="25" t="inlineStr">
        <is>
          <t>Load miss: actual peak - day-ahead forecast peak (MW)</t>
        </is>
      </c>
      <c r="N3" s="25" t="inlineStr">
        <is>
          <t>Baseload gas available (cogen + CC + GFS), HE8-23 avg (MW)</t>
        </is>
      </c>
      <c r="Q3" s="25" t="inlineStr">
        <is>
          <t>Simple cycle available, HE8-23 avg (MW)</t>
        </is>
      </c>
      <c r="T3" s="25" t="inlineStr">
        <is>
          <t>Thermal MW unavailable in the 90-day outage report (SC+cogen+CC+GFS) (MW)</t>
        </is>
      </c>
      <c r="W3" s="25" t="inlineStr">
        <is>
          <t>Trips: largest hour-over-hour drop in baseload gas available (MW)</t>
        </is>
      </c>
      <c r="Z3" s="25" t="inlineStr">
        <is>
          <t>Wind forecast, HE8-23 avg (MW)</t>
        </is>
      </c>
      <c r="AC3" s="25" t="inlineStr">
        <is>
          <t>Wind actual, HE8-23 avg (MW)</t>
        </is>
      </c>
      <c r="AF3" s="25" t="inlineStr">
        <is>
          <t>Wind miss: actual - day-ahead forecast, HE8-23 avg (MW)</t>
        </is>
      </c>
      <c r="AI3" s="25" t="inlineStr">
        <is>
          <t>Wind capacity factor, daily mean (calm day = below 16) (%)</t>
        </is>
      </c>
      <c r="AL3" s="25" t="inlineStr">
        <is>
          <t>Solar, daily max (actual history / forecast forward) (MW)</t>
        </is>
      </c>
      <c r="AO3" s="25" t="inlineStr">
        <is>
          <t>Cushion (internal dispatchable supply - net demand), tightest HE8-23 (MW)</t>
        </is>
      </c>
      <c r="AR3" s="25" t="inlineStr">
        <is>
          <t>Cushion, HE8-23 avg (MW)</t>
        </is>
      </c>
      <c r="AU3" s="25" t="inlineStr">
        <is>
          <t>Thermal remaining (baseload gas spare before SC), tightest HE8-23 (MW)</t>
        </is>
      </c>
      <c r="AX3" s="25" t="inlineStr">
        <is>
          <t>Import ATC, all paths, daily avg (MW)</t>
        </is>
      </c>
      <c r="BA3" s="25" t="inlineStr">
        <is>
          <t>Net imports actual scheduled, daily avg (MW)</t>
        </is>
      </c>
      <c r="BD3" s="25" t="inlineStr">
        <is>
          <t>Mid-C daily price (USD/MWh)</t>
        </is>
      </c>
      <c r="BG3" s="25" t="inlineStr">
        <is>
          <t>AB-NIT gas, daily ($/GJ)</t>
        </is>
      </c>
      <c r="BJ3" s="25" t="inlineStr">
        <is>
          <t>Pool price, 7x24 avg ($/MWh)</t>
        </is>
      </c>
      <c r="BM3" s="25" t="inlineStr">
        <is>
          <t>Pool price, HE8-23 avg ($/MWh)</t>
        </is>
      </c>
      <c r="BP3" s="25" t="inlineStr">
        <is>
          <t>Pool price, worst hour ($/MWh)</t>
        </is>
      </c>
      <c r="BS3" s="25" t="inlineStr">
        <is>
          <t>Hours over $100 (hours)</t>
        </is>
      </c>
      <c r="BV3" s="25" t="inlineStr">
        <is>
          <t>Day-ahead forward, peak (XDQ), last settle before delivery ($/MWh)</t>
        </is>
      </c>
      <c r="BY3" s="25" t="inlineStr">
        <is>
          <t>Day-ahead forward, flat (XDT), last settle before delivery ($/MWh)</t>
        </is>
      </c>
      <c r="CB3" s="25" t="inlineStr">
        <is>
          <t>Peak settle - day-ahead forward (+ = buys won) ($/MWh)</t>
        </is>
      </c>
      <c r="CE3" s="25" t="inlineStr">
        <is>
          <t>Max temperature, province avg (Calgary / Edmonton / Pincher) (deg C)</t>
        </is>
      </c>
      <c r="CH3" s="25" t="inlineStr">
        <is>
          <t>Mean temperature, province avg (deg C)</t>
        </is>
      </c>
      <c r="CK3" s="25" t="inlineStr">
        <is>
          <t>Wind at 100 m, province avg, HE8-23 (km/h)</t>
        </is>
      </c>
      <c r="CN3" s="25" t="inlineStr">
        <is>
          <t>Solar radiation, 11:00-16:00 avg (W/m2)</t>
        </is>
      </c>
      <c r="CQ3" s="25" t="inlineStr">
        <is>
          <t>Cloud cover, 11:00-16:00 avg (%)</t>
        </is>
      </c>
      <c r="CT3" s="25" t="inlineStr">
        <is>
          <t>Tight line: cushion below this = spike zone (MW)</t>
        </is>
      </c>
    </row>
    <row r="4">
      <c r="A4" s="3" t="inlineStr">
        <is>
          <t>Date</t>
        </is>
      </c>
      <c r="B4" s="26" t="inlineStr">
        <is>
          <t>Value</t>
        </is>
      </c>
      <c r="C4" s="26" t="inlineStr">
        <is>
          <t>vs last-14</t>
        </is>
      </c>
      <c r="D4" s="26" t="inlineStr">
        <is>
          <t>vs last-30</t>
        </is>
      </c>
      <c r="E4" s="26" t="inlineStr">
        <is>
          <t>Value</t>
        </is>
      </c>
      <c r="F4" s="26" t="inlineStr">
        <is>
          <t>vs last-14</t>
        </is>
      </c>
      <c r="G4" s="26" t="inlineStr">
        <is>
          <t>vs last-30</t>
        </is>
      </c>
      <c r="H4" s="26" t="inlineStr">
        <is>
          <t>Value</t>
        </is>
      </c>
      <c r="I4" s="26" t="inlineStr">
        <is>
          <t>vs last-14</t>
        </is>
      </c>
      <c r="J4" s="26" t="inlineStr">
        <is>
          <t>vs last-30</t>
        </is>
      </c>
      <c r="K4" s="26" t="inlineStr">
        <is>
          <t>Value</t>
        </is>
      </c>
      <c r="L4" s="26" t="inlineStr">
        <is>
          <t>vs last-14</t>
        </is>
      </c>
      <c r="M4" s="26" t="inlineStr">
        <is>
          <t>vs last-30</t>
        </is>
      </c>
      <c r="N4" s="26" t="inlineStr">
        <is>
          <t>Value</t>
        </is>
      </c>
      <c r="O4" s="26" t="inlineStr">
        <is>
          <t>vs last-14</t>
        </is>
      </c>
      <c r="P4" s="26" t="inlineStr">
        <is>
          <t>vs last-30</t>
        </is>
      </c>
      <c r="Q4" s="26" t="inlineStr">
        <is>
          <t>Value</t>
        </is>
      </c>
      <c r="R4" s="26" t="inlineStr">
        <is>
          <t>vs last-14</t>
        </is>
      </c>
      <c r="S4" s="26" t="inlineStr">
        <is>
          <t>vs last-30</t>
        </is>
      </c>
      <c r="T4" s="26" t="inlineStr">
        <is>
          <t>Value</t>
        </is>
      </c>
      <c r="U4" s="26" t="inlineStr">
        <is>
          <t>vs last-14</t>
        </is>
      </c>
      <c r="V4" s="26" t="inlineStr">
        <is>
          <t>vs last-30</t>
        </is>
      </c>
      <c r="W4" s="26" t="inlineStr">
        <is>
          <t>Value</t>
        </is>
      </c>
      <c r="X4" s="26" t="inlineStr">
        <is>
          <t>vs last-14</t>
        </is>
      </c>
      <c r="Y4" s="26" t="inlineStr">
        <is>
          <t>vs last-30</t>
        </is>
      </c>
      <c r="Z4" s="26" t="inlineStr">
        <is>
          <t>Value</t>
        </is>
      </c>
      <c r="AA4" s="26" t="inlineStr">
        <is>
          <t>vs last-14</t>
        </is>
      </c>
      <c r="AB4" s="26" t="inlineStr">
        <is>
          <t>vs last-30</t>
        </is>
      </c>
      <c r="AC4" s="26" t="inlineStr">
        <is>
          <t>Value</t>
        </is>
      </c>
      <c r="AD4" s="26" t="inlineStr">
        <is>
          <t>vs last-14</t>
        </is>
      </c>
      <c r="AE4" s="26" t="inlineStr">
        <is>
          <t>vs last-30</t>
        </is>
      </c>
      <c r="AF4" s="26" t="inlineStr">
        <is>
          <t>Value</t>
        </is>
      </c>
      <c r="AG4" s="26" t="inlineStr">
        <is>
          <t>vs last-14</t>
        </is>
      </c>
      <c r="AH4" s="26" t="inlineStr">
        <is>
          <t>vs last-30</t>
        </is>
      </c>
      <c r="AI4" s="26" t="inlineStr">
        <is>
          <t>Value</t>
        </is>
      </c>
      <c r="AJ4" s="26" t="inlineStr">
        <is>
          <t>vs last-14</t>
        </is>
      </c>
      <c r="AK4" s="26" t="inlineStr">
        <is>
          <t>vs last-30</t>
        </is>
      </c>
      <c r="AL4" s="26" t="inlineStr">
        <is>
          <t>Value</t>
        </is>
      </c>
      <c r="AM4" s="26" t="inlineStr">
        <is>
          <t>vs last-14</t>
        </is>
      </c>
      <c r="AN4" s="26" t="inlineStr">
        <is>
          <t>vs last-30</t>
        </is>
      </c>
      <c r="AO4" s="26" t="inlineStr">
        <is>
          <t>Value</t>
        </is>
      </c>
      <c r="AP4" s="26" t="inlineStr">
        <is>
          <t>vs last-14</t>
        </is>
      </c>
      <c r="AQ4" s="26" t="inlineStr">
        <is>
          <t>vs last-30</t>
        </is>
      </c>
      <c r="AR4" s="26" t="inlineStr">
        <is>
          <t>Value</t>
        </is>
      </c>
      <c r="AS4" s="26" t="inlineStr">
        <is>
          <t>vs last-14</t>
        </is>
      </c>
      <c r="AT4" s="26" t="inlineStr">
        <is>
          <t>vs last-30</t>
        </is>
      </c>
      <c r="AU4" s="26" t="inlineStr">
        <is>
          <t>Value</t>
        </is>
      </c>
      <c r="AV4" s="26" t="inlineStr">
        <is>
          <t>vs last-14</t>
        </is>
      </c>
      <c r="AW4" s="26" t="inlineStr">
        <is>
          <t>vs last-30</t>
        </is>
      </c>
      <c r="AX4" s="26" t="inlineStr">
        <is>
          <t>Value</t>
        </is>
      </c>
      <c r="AY4" s="26" t="inlineStr">
        <is>
          <t>vs last-14</t>
        </is>
      </c>
      <c r="AZ4" s="26" t="inlineStr">
        <is>
          <t>vs last-30</t>
        </is>
      </c>
      <c r="BA4" s="26" t="inlineStr">
        <is>
          <t>Value</t>
        </is>
      </c>
      <c r="BB4" s="26" t="inlineStr">
        <is>
          <t>vs last-14</t>
        </is>
      </c>
      <c r="BC4" s="26" t="inlineStr">
        <is>
          <t>vs last-30</t>
        </is>
      </c>
      <c r="BD4" s="26" t="inlineStr">
        <is>
          <t>Value</t>
        </is>
      </c>
      <c r="BE4" s="26" t="inlineStr">
        <is>
          <t>vs last-14</t>
        </is>
      </c>
      <c r="BF4" s="26" t="inlineStr">
        <is>
          <t>vs last-30</t>
        </is>
      </c>
      <c r="BG4" s="26" t="inlineStr">
        <is>
          <t>Value</t>
        </is>
      </c>
      <c r="BH4" s="26" t="inlineStr">
        <is>
          <t>vs last-14</t>
        </is>
      </c>
      <c r="BI4" s="26" t="inlineStr">
        <is>
          <t>vs last-30</t>
        </is>
      </c>
      <c r="BJ4" s="26" t="inlineStr">
        <is>
          <t>Value</t>
        </is>
      </c>
      <c r="BK4" s="26" t="inlineStr">
        <is>
          <t>vs last-14</t>
        </is>
      </c>
      <c r="BL4" s="26" t="inlineStr">
        <is>
          <t>vs last-30</t>
        </is>
      </c>
      <c r="BM4" s="26" t="inlineStr">
        <is>
          <t>Value</t>
        </is>
      </c>
      <c r="BN4" s="26" t="inlineStr">
        <is>
          <t>vs last-14</t>
        </is>
      </c>
      <c r="BO4" s="26" t="inlineStr">
        <is>
          <t>vs last-30</t>
        </is>
      </c>
      <c r="BP4" s="26" t="inlineStr">
        <is>
          <t>Value</t>
        </is>
      </c>
      <c r="BQ4" s="26" t="inlineStr">
        <is>
          <t>vs last-14</t>
        </is>
      </c>
      <c r="BR4" s="26" t="inlineStr">
        <is>
          <t>vs last-30</t>
        </is>
      </c>
      <c r="BS4" s="26" t="inlineStr">
        <is>
          <t>Value</t>
        </is>
      </c>
      <c r="BT4" s="26" t="inlineStr">
        <is>
          <t>vs last-14</t>
        </is>
      </c>
      <c r="BU4" s="26" t="inlineStr">
        <is>
          <t>vs last-30</t>
        </is>
      </c>
      <c r="BV4" s="26" t="inlineStr">
        <is>
          <t>Value</t>
        </is>
      </c>
      <c r="BW4" s="26" t="inlineStr">
        <is>
          <t>vs last-14</t>
        </is>
      </c>
      <c r="BX4" s="26" t="inlineStr">
        <is>
          <t>vs last-30</t>
        </is>
      </c>
      <c r="BY4" s="26" t="inlineStr">
        <is>
          <t>Value</t>
        </is>
      </c>
      <c r="BZ4" s="26" t="inlineStr">
        <is>
          <t>vs last-14</t>
        </is>
      </c>
      <c r="CA4" s="26" t="inlineStr">
        <is>
          <t>vs last-30</t>
        </is>
      </c>
      <c r="CB4" s="26" t="inlineStr">
        <is>
          <t>Value</t>
        </is>
      </c>
      <c r="CC4" s="26" t="inlineStr">
        <is>
          <t>vs last-14</t>
        </is>
      </c>
      <c r="CD4" s="26" t="inlineStr">
        <is>
          <t>vs last-30</t>
        </is>
      </c>
      <c r="CE4" s="26" t="inlineStr">
        <is>
          <t>Value</t>
        </is>
      </c>
      <c r="CF4" s="26" t="inlineStr">
        <is>
          <t>vs last-14</t>
        </is>
      </c>
      <c r="CG4" s="26" t="inlineStr">
        <is>
          <t>vs last-30</t>
        </is>
      </c>
      <c r="CH4" s="26" t="inlineStr">
        <is>
          <t>Value</t>
        </is>
      </c>
      <c r="CI4" s="26" t="inlineStr">
        <is>
          <t>vs last-14</t>
        </is>
      </c>
      <c r="CJ4" s="26" t="inlineStr">
        <is>
          <t>vs last-30</t>
        </is>
      </c>
      <c r="CK4" s="26" t="inlineStr">
        <is>
          <t>Value</t>
        </is>
      </c>
      <c r="CL4" s="26" t="inlineStr">
        <is>
          <t>vs last-14</t>
        </is>
      </c>
      <c r="CM4" s="26" t="inlineStr">
        <is>
          <t>vs last-30</t>
        </is>
      </c>
      <c r="CN4" s="26" t="inlineStr">
        <is>
          <t>Value</t>
        </is>
      </c>
      <c r="CO4" s="26" t="inlineStr">
        <is>
          <t>vs last-14</t>
        </is>
      </c>
      <c r="CP4" s="26" t="inlineStr">
        <is>
          <t>vs last-30</t>
        </is>
      </c>
      <c r="CQ4" s="26" t="inlineStr">
        <is>
          <t>Value</t>
        </is>
      </c>
      <c r="CR4" s="26" t="inlineStr">
        <is>
          <t>vs last-14</t>
        </is>
      </c>
      <c r="CS4" s="26" t="inlineStr">
        <is>
          <t>vs last-30</t>
        </is>
      </c>
      <c r="CT4" s="26" t="inlineStr">
        <is>
          <t>Value</t>
        </is>
      </c>
      <c r="CU4" s="26" t="inlineStr">
        <is>
          <t>vs last-14</t>
        </is>
      </c>
      <c r="CV4" s="26" t="inlineStr">
        <is>
          <t>vs last-30</t>
        </is>
      </c>
    </row>
    <row r="5">
      <c r="A5" s="27" t="n">
        <v>46294</v>
      </c>
      <c r="B5" s="7">
        <f>IFERROR(IF(INDEX(Data!$C$2:$C$45,MATCH($A5,Data!$A$2:$A$45,0))="","",INDEX(Data!$C$2:$C$45,MATCH($A5,Data!$A$2:$A$45,0))),"")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IFERROR(IF(INDEX(Data!$D$2:$D$45,MATCH($A5,Data!$A$2:$A$45,0))="","",INDEX(Data!$D$2:$D$45,MATCH($A5,Data!$A$2:$A$45,0))),"")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IFERROR(IF(INDEX(Data!$E$2:$E$45,MATCH($A5,Data!$A$2:$A$45,0))="","",INDEX(Data!$E$2:$E$45,MATCH($A5,Data!$A$2:$A$45,0))),"")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IFERROR(IF(INDEX(Data!$F$2:$F$45,MATCH($A5,Data!$A$2:$A$45,0))="","",INDEX(Data!$F$2:$F$45,MATCH($A5,Data!$A$2:$A$45,0))),"")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IFERROR(IF(INDEX(Data!$G$2:$G$45,MATCH($A5,Data!$A$2:$A$45,0))="","",INDEX(Data!$G$2:$G$45,MATCH($A5,Data!$A$2:$A$45,0))),"")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IFERROR(IF(INDEX(Data!$H$2:$H$45,MATCH($A5,Data!$A$2:$A$45,0))="","",INDEX(Data!$H$2:$H$45,MATCH($A5,Data!$A$2:$A$45,0))),"")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IFERROR(IF(INDEX(Data!$I$2:$I$45,MATCH($A5,Data!$A$2:$A$45,0))="","",INDEX(Data!$I$2:$I$45,MATCH($A5,Data!$A$2:$A$45,0))),"")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IFERROR(IF(INDEX(Data!$J$2:$J$45,MATCH($A5,Data!$A$2:$A$45,0))="","",INDEX(Data!$J$2:$J$45,MATCH($A5,Data!$A$2:$A$45,0))),"")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IFERROR(IF(INDEX(Data!$K$2:$K$45,MATCH($A5,Data!$A$2:$A$45,0))="","",INDEX(Data!$K$2:$K$45,MATCH($A5,Data!$A$2:$A$45,0))),"")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IFERROR(IF(INDEX(Data!$L$2:$L$45,MATCH($A5,Data!$A$2:$A$45,0))="","",INDEX(Data!$L$2:$L$45,MATCH($A5,Data!$A$2:$A$45,0))),"")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IFERROR(IF(INDEX(Data!$M$2:$M$45,MATCH($A5,Data!$A$2:$A$45,0))="","",INDEX(Data!$M$2:$M$45,MATCH($A5,Data!$A$2:$A$45,0))),"")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IFERROR(IF(INDEX(Data!$N$2:$N$45,MATCH($A5,Data!$A$2:$A$45,0))="","",INDEX(Data!$N$2:$N$45,MATCH($A5,Data!$A$2:$A$45,0))),"")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IFERROR(IF(INDEX(Data!$O$2:$O$45,MATCH($A5,Data!$A$2:$A$45,0))="","",INDEX(Data!$O$2:$O$45,MATCH($A5,Data!$A$2:$A$45,0))),"")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IFERROR(IF(INDEX(Data!$P$2:$P$45,MATCH($A5,Data!$A$2:$A$45,0))="","",INDEX(Data!$P$2:$P$45,MATCH($A5,Data!$A$2:$A$45,0))),"")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IFERROR(IF(INDEX(Data!$Q$2:$Q$45,MATCH($A5,Data!$A$2:$A$45,0))="","",INDEX(Data!$Q$2:$Q$45,MATCH($A5,Data!$A$2:$A$45,0))),"")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IFERROR(IF(INDEX(Data!$R$2:$R$45,MATCH($A5,Data!$A$2:$A$45,0))="","",INDEX(Data!$R$2:$R$45,MATCH($A5,Data!$A$2:$A$45,0))),"")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IFERROR(IF(INDEX(Data!$S$2:$S$45,MATCH($A5,Data!$A$2:$A$45,0))="","",INDEX(Data!$S$2:$S$45,MATCH($A5,Data!$A$2:$A$45,0))),"")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IFERROR(IF(INDEX(Data!$T$2:$T$45,MATCH($A5,Data!$A$2:$A$45,0))="","",INDEX(Data!$T$2:$T$45,MATCH($A5,Data!$A$2:$A$45,0))),"")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IFERROR(IF(INDEX(Data!$U$2:$U$45,MATCH($A5,Data!$A$2:$A$45,0))="","",INDEX(Data!$U$2:$U$45,MATCH($A5,Data!$A$2:$A$45,0))),"")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IFERROR(IF(INDEX(Data!$V$2:$V$45,MATCH($A5,Data!$A$2:$A$45,0))="","",INDEX(Data!$V$2:$V$45,MATCH($A5,Data!$A$2:$A$45,0))),"")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IFERROR(IF(INDEX(Data!$W$2:$W$45,MATCH($A5,Data!$A$2:$A$45,0))="","",INDEX(Data!$W$2:$W$45,MATCH($A5,Data!$A$2:$A$45,0))),"")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IFERROR(IF(INDEX(Data!$X$2:$X$45,MATCH($A5,Data!$A$2:$A$45,0))="","",INDEX(Data!$X$2:$X$45,MATCH($A5,Data!$A$2:$A$45,0))),"")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IFERROR(IF(INDEX(Data!$Y$2:$Y$45,MATCH($A5,Data!$A$2:$A$45,0))="","",INDEX(Data!$Y$2:$Y$45,MATCH($A5,Data!$A$2:$A$45,0))),"")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IFERROR(IF(INDEX(Data!$Z$2:$Z$45,MATCH($A5,Data!$A$2:$A$45,0))="","",INDEX(Data!$Z$2:$Z$45,MATCH($A5,Data!$A$2:$A$45,0))),"")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IFERROR(IF(INDEX(Data!$AA$2:$AA$45,MATCH($A5,Data!$A$2:$A$45,0))="","",INDEX(Data!$AA$2:$AA$45,MATCH($A5,Data!$A$2:$A$45,0))),"")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IFERROR(IF(INDEX(Data!$AB$2:$AB$45,MATCH($A5,Data!$A$2:$A$45,0))="","",INDEX(Data!$AB$2:$AB$45,MATCH($A5,Data!$A$2:$A$45,0))),"")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IFERROR(IF(INDEX(Data!$AC$2:$AC$45,MATCH($A5,Data!$A$2:$A$45,0))="","",INDEX(Data!$AC$2:$AC$45,MATCH($A5,Data!$A$2:$A$45,0))),"")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IFERROR(IF(INDEX(Data!$AD$2:$AD$45,MATCH($A5,Data!$A$2:$A$45,0))="","",INDEX(Data!$AD$2:$AD$45,MATCH($A5,Data!$A$2:$A$45,0))),"")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IFERROR(IF(INDEX(Data!$AE$2:$AE$45,MATCH($A5,Data!$A$2:$A$45,0))="","",INDEX(Data!$AE$2:$AE$45,MATCH($A5,Data!$A$2:$A$45,0))),"")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IFERROR(IF(INDEX(Data!$AF$2:$AF$45,MATCH($A5,Data!$A$2:$A$45,0))="","",INDEX(Data!$AF$2:$AF$45,MATCH($A5,Data!$A$2:$A$45,0))),"")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IFERROR(IF(INDEX(Data!$AG$2:$AG$45,MATCH($A5,Data!$A$2:$A$45,0))="","",INDEX(Data!$AG$2:$AG$45,MATCH($A5,Data!$A$2:$A$45,0))),"")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IFERROR(IF(INDEX(Data!$AH$2:$AH$45,MATCH($A5,Data!$A$2:$A$45,0))="","",INDEX(Data!$AH$2:$AH$45,MATCH($A5,Data!$A$2:$A$45,0))),"")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IFERROR(IF(INDEX(Data!$AI$2:$AI$45,MATCH($A5,Data!$A$2:$A$45,0))="","",INDEX(Data!$AI$2:$AI$45,MATCH($A5,Data!$A$2:$A$45,0))),"")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7" t="n">
        <v>46293</v>
      </c>
      <c r="B6" s="7">
        <f>IFERROR(IF(INDEX(Data!$C$2:$C$45,MATCH($A6,Data!$A$2:$A$45,0))="","",INDEX(Data!$C$2:$C$45,MATCH($A6,Data!$A$2:$A$45,0))),"")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IFERROR(IF(INDEX(Data!$D$2:$D$45,MATCH($A6,Data!$A$2:$A$45,0))="","",INDEX(Data!$D$2:$D$45,MATCH($A6,Data!$A$2:$A$45,0))),"")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IFERROR(IF(INDEX(Data!$E$2:$E$45,MATCH($A6,Data!$A$2:$A$45,0))="","",INDEX(Data!$E$2:$E$45,MATCH($A6,Data!$A$2:$A$45,0))),"")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IFERROR(IF(INDEX(Data!$F$2:$F$45,MATCH($A6,Data!$A$2:$A$45,0))="","",INDEX(Data!$F$2:$F$45,MATCH($A6,Data!$A$2:$A$45,0))),"")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IFERROR(IF(INDEX(Data!$G$2:$G$45,MATCH($A6,Data!$A$2:$A$45,0))="","",INDEX(Data!$G$2:$G$45,MATCH($A6,Data!$A$2:$A$45,0))),"")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IFERROR(IF(INDEX(Data!$H$2:$H$45,MATCH($A6,Data!$A$2:$A$45,0))="","",INDEX(Data!$H$2:$H$45,MATCH($A6,Data!$A$2:$A$45,0))),"")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IFERROR(IF(INDEX(Data!$I$2:$I$45,MATCH($A6,Data!$A$2:$A$45,0))="","",INDEX(Data!$I$2:$I$45,MATCH($A6,Data!$A$2:$A$45,0))),"")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IFERROR(IF(INDEX(Data!$J$2:$J$45,MATCH($A6,Data!$A$2:$A$45,0))="","",INDEX(Data!$J$2:$J$45,MATCH($A6,Data!$A$2:$A$45,0))),"")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IFERROR(IF(INDEX(Data!$K$2:$K$45,MATCH($A6,Data!$A$2:$A$45,0))="","",INDEX(Data!$K$2:$K$45,MATCH($A6,Data!$A$2:$A$45,0))),"")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IFERROR(IF(INDEX(Data!$L$2:$L$45,MATCH($A6,Data!$A$2:$A$45,0))="","",INDEX(Data!$L$2:$L$45,MATCH($A6,Data!$A$2:$A$45,0))),"")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IFERROR(IF(INDEX(Data!$M$2:$M$45,MATCH($A6,Data!$A$2:$A$45,0))="","",INDEX(Data!$M$2:$M$45,MATCH($A6,Data!$A$2:$A$45,0))),"")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IFERROR(IF(INDEX(Data!$N$2:$N$45,MATCH($A6,Data!$A$2:$A$45,0))="","",INDEX(Data!$N$2:$N$45,MATCH($A6,Data!$A$2:$A$45,0))),"")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IFERROR(IF(INDEX(Data!$O$2:$O$45,MATCH($A6,Data!$A$2:$A$45,0))="","",INDEX(Data!$O$2:$O$45,MATCH($A6,Data!$A$2:$A$45,0))),"")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IFERROR(IF(INDEX(Data!$P$2:$P$45,MATCH($A6,Data!$A$2:$A$45,0))="","",INDEX(Data!$P$2:$P$45,MATCH($A6,Data!$A$2:$A$45,0))),"")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IFERROR(IF(INDEX(Data!$Q$2:$Q$45,MATCH($A6,Data!$A$2:$A$45,0))="","",INDEX(Data!$Q$2:$Q$45,MATCH($A6,Data!$A$2:$A$45,0))),"")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IFERROR(IF(INDEX(Data!$R$2:$R$45,MATCH($A6,Data!$A$2:$A$45,0))="","",INDEX(Data!$R$2:$R$45,MATCH($A6,Data!$A$2:$A$45,0))),"")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IFERROR(IF(INDEX(Data!$S$2:$S$45,MATCH($A6,Data!$A$2:$A$45,0))="","",INDEX(Data!$S$2:$S$45,MATCH($A6,Data!$A$2:$A$45,0))),"")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IFERROR(IF(INDEX(Data!$T$2:$T$45,MATCH($A6,Data!$A$2:$A$45,0))="","",INDEX(Data!$T$2:$T$45,MATCH($A6,Data!$A$2:$A$45,0))),"")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IFERROR(IF(INDEX(Data!$U$2:$U$45,MATCH($A6,Data!$A$2:$A$45,0))="","",INDEX(Data!$U$2:$U$45,MATCH($A6,Data!$A$2:$A$45,0))),"")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IFERROR(IF(INDEX(Data!$V$2:$V$45,MATCH($A6,Data!$A$2:$A$45,0))="","",INDEX(Data!$V$2:$V$45,MATCH($A6,Data!$A$2:$A$45,0))),"")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IFERROR(IF(INDEX(Data!$W$2:$W$45,MATCH($A6,Data!$A$2:$A$45,0))="","",INDEX(Data!$W$2:$W$45,MATCH($A6,Data!$A$2:$A$45,0))),"")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IFERROR(IF(INDEX(Data!$X$2:$X$45,MATCH($A6,Data!$A$2:$A$45,0))="","",INDEX(Data!$X$2:$X$45,MATCH($A6,Data!$A$2:$A$45,0))),"")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IFERROR(IF(INDEX(Data!$Y$2:$Y$45,MATCH($A6,Data!$A$2:$A$45,0))="","",INDEX(Data!$Y$2:$Y$45,MATCH($A6,Data!$A$2:$A$45,0))),"")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IFERROR(IF(INDEX(Data!$Z$2:$Z$45,MATCH($A6,Data!$A$2:$A$45,0))="","",INDEX(Data!$Z$2:$Z$45,MATCH($A6,Data!$A$2:$A$45,0))),"")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IFERROR(IF(INDEX(Data!$AA$2:$AA$45,MATCH($A6,Data!$A$2:$A$45,0))="","",INDEX(Data!$AA$2:$AA$45,MATCH($A6,Data!$A$2:$A$45,0))),"")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IFERROR(IF(INDEX(Data!$AB$2:$AB$45,MATCH($A6,Data!$A$2:$A$45,0))="","",INDEX(Data!$AB$2:$AB$45,MATCH($A6,Data!$A$2:$A$45,0))),"")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IFERROR(IF(INDEX(Data!$AC$2:$AC$45,MATCH($A6,Data!$A$2:$A$45,0))="","",INDEX(Data!$AC$2:$AC$45,MATCH($A6,Data!$A$2:$A$45,0))),"")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IFERROR(IF(INDEX(Data!$AD$2:$AD$45,MATCH($A6,Data!$A$2:$A$45,0))="","",INDEX(Data!$AD$2:$AD$45,MATCH($A6,Data!$A$2:$A$45,0))),"")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IFERROR(IF(INDEX(Data!$AE$2:$AE$45,MATCH($A6,Data!$A$2:$A$45,0))="","",INDEX(Data!$AE$2:$AE$45,MATCH($A6,Data!$A$2:$A$45,0))),"")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IFERROR(IF(INDEX(Data!$AF$2:$AF$45,MATCH($A6,Data!$A$2:$A$45,0))="","",INDEX(Data!$AF$2:$AF$45,MATCH($A6,Data!$A$2:$A$45,0))),"")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IFERROR(IF(INDEX(Data!$AG$2:$AG$45,MATCH($A6,Data!$A$2:$A$45,0))="","",INDEX(Data!$AG$2:$AG$45,MATCH($A6,Data!$A$2:$A$45,0))),"")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IFERROR(IF(INDEX(Data!$AH$2:$AH$45,MATCH($A6,Data!$A$2:$A$45,0))="","",INDEX(Data!$AH$2:$AH$45,MATCH($A6,Data!$A$2:$A$45,0))),"")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IFERROR(IF(INDEX(Data!$AI$2:$AI$45,MATCH($A6,Data!$A$2:$A$45,0))="","",INDEX(Data!$AI$2:$AI$45,MATCH($A6,Data!$A$2:$A$45,0))),"")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7" t="n">
        <v>46292</v>
      </c>
      <c r="B7" s="7">
        <f>IFERROR(IF(INDEX(Data!$C$2:$C$45,MATCH($A7,Data!$A$2:$A$45,0))="","",INDEX(Data!$C$2:$C$45,MATCH($A7,Data!$A$2:$A$45,0))),"")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IFERROR(IF(INDEX(Data!$D$2:$D$45,MATCH($A7,Data!$A$2:$A$45,0))="","",INDEX(Data!$D$2:$D$45,MATCH($A7,Data!$A$2:$A$45,0))),"")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IFERROR(IF(INDEX(Data!$E$2:$E$45,MATCH($A7,Data!$A$2:$A$45,0))="","",INDEX(Data!$E$2:$E$45,MATCH($A7,Data!$A$2:$A$45,0))),"")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IFERROR(IF(INDEX(Data!$F$2:$F$45,MATCH($A7,Data!$A$2:$A$45,0))="","",INDEX(Data!$F$2:$F$45,MATCH($A7,Data!$A$2:$A$45,0))),"")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IFERROR(IF(INDEX(Data!$G$2:$G$45,MATCH($A7,Data!$A$2:$A$45,0))="","",INDEX(Data!$G$2:$G$45,MATCH($A7,Data!$A$2:$A$45,0))),"")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IFERROR(IF(INDEX(Data!$H$2:$H$45,MATCH($A7,Data!$A$2:$A$45,0))="","",INDEX(Data!$H$2:$H$45,MATCH($A7,Data!$A$2:$A$45,0))),"")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IFERROR(IF(INDEX(Data!$I$2:$I$45,MATCH($A7,Data!$A$2:$A$45,0))="","",INDEX(Data!$I$2:$I$45,MATCH($A7,Data!$A$2:$A$45,0))),"")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IFERROR(IF(INDEX(Data!$J$2:$J$45,MATCH($A7,Data!$A$2:$A$45,0))="","",INDEX(Data!$J$2:$J$45,MATCH($A7,Data!$A$2:$A$45,0))),"")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IFERROR(IF(INDEX(Data!$K$2:$K$45,MATCH($A7,Data!$A$2:$A$45,0))="","",INDEX(Data!$K$2:$K$45,MATCH($A7,Data!$A$2:$A$45,0))),"")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IFERROR(IF(INDEX(Data!$L$2:$L$45,MATCH($A7,Data!$A$2:$A$45,0))="","",INDEX(Data!$L$2:$L$45,MATCH($A7,Data!$A$2:$A$45,0))),"")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IFERROR(IF(INDEX(Data!$M$2:$M$45,MATCH($A7,Data!$A$2:$A$45,0))="","",INDEX(Data!$M$2:$M$45,MATCH($A7,Data!$A$2:$A$45,0))),"")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IFERROR(IF(INDEX(Data!$N$2:$N$45,MATCH($A7,Data!$A$2:$A$45,0))="","",INDEX(Data!$N$2:$N$45,MATCH($A7,Data!$A$2:$A$45,0))),"")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IFERROR(IF(INDEX(Data!$O$2:$O$45,MATCH($A7,Data!$A$2:$A$45,0))="","",INDEX(Data!$O$2:$O$45,MATCH($A7,Data!$A$2:$A$45,0))),"")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IFERROR(IF(INDEX(Data!$P$2:$P$45,MATCH($A7,Data!$A$2:$A$45,0))="","",INDEX(Data!$P$2:$P$45,MATCH($A7,Data!$A$2:$A$45,0))),"")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IFERROR(IF(INDEX(Data!$Q$2:$Q$45,MATCH($A7,Data!$A$2:$A$45,0))="","",INDEX(Data!$Q$2:$Q$45,MATCH($A7,Data!$A$2:$A$45,0))),"")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IFERROR(IF(INDEX(Data!$R$2:$R$45,MATCH($A7,Data!$A$2:$A$45,0))="","",INDEX(Data!$R$2:$R$45,MATCH($A7,Data!$A$2:$A$45,0))),"")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IFERROR(IF(INDEX(Data!$S$2:$S$45,MATCH($A7,Data!$A$2:$A$45,0))="","",INDEX(Data!$S$2:$S$45,MATCH($A7,Data!$A$2:$A$45,0))),"")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IFERROR(IF(INDEX(Data!$T$2:$T$45,MATCH($A7,Data!$A$2:$A$45,0))="","",INDEX(Data!$T$2:$T$45,MATCH($A7,Data!$A$2:$A$45,0))),"")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IFERROR(IF(INDEX(Data!$U$2:$U$45,MATCH($A7,Data!$A$2:$A$45,0))="","",INDEX(Data!$U$2:$U$45,MATCH($A7,Data!$A$2:$A$45,0))),"")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IFERROR(IF(INDEX(Data!$V$2:$V$45,MATCH($A7,Data!$A$2:$A$45,0))="","",INDEX(Data!$V$2:$V$45,MATCH($A7,Data!$A$2:$A$45,0))),"")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IFERROR(IF(INDEX(Data!$W$2:$W$45,MATCH($A7,Data!$A$2:$A$45,0))="","",INDEX(Data!$W$2:$W$45,MATCH($A7,Data!$A$2:$A$45,0))),"")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IFERROR(IF(INDEX(Data!$X$2:$X$45,MATCH($A7,Data!$A$2:$A$45,0))="","",INDEX(Data!$X$2:$X$45,MATCH($A7,Data!$A$2:$A$45,0))),"")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IFERROR(IF(INDEX(Data!$Y$2:$Y$45,MATCH($A7,Data!$A$2:$A$45,0))="","",INDEX(Data!$Y$2:$Y$45,MATCH($A7,Data!$A$2:$A$45,0))),"")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IFERROR(IF(INDEX(Data!$Z$2:$Z$45,MATCH($A7,Data!$A$2:$A$45,0))="","",INDEX(Data!$Z$2:$Z$45,MATCH($A7,Data!$A$2:$A$45,0))),"")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IFERROR(IF(INDEX(Data!$AA$2:$AA$45,MATCH($A7,Data!$A$2:$A$45,0))="","",INDEX(Data!$AA$2:$AA$45,MATCH($A7,Data!$A$2:$A$45,0))),"")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IFERROR(IF(INDEX(Data!$AB$2:$AB$45,MATCH($A7,Data!$A$2:$A$45,0))="","",INDEX(Data!$AB$2:$AB$45,MATCH($A7,Data!$A$2:$A$45,0))),"")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IFERROR(IF(INDEX(Data!$AC$2:$AC$45,MATCH($A7,Data!$A$2:$A$45,0))="","",INDEX(Data!$AC$2:$AC$45,MATCH($A7,Data!$A$2:$A$45,0))),"")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IFERROR(IF(INDEX(Data!$AD$2:$AD$45,MATCH($A7,Data!$A$2:$A$45,0))="","",INDEX(Data!$AD$2:$AD$45,MATCH($A7,Data!$A$2:$A$45,0))),"")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IFERROR(IF(INDEX(Data!$AE$2:$AE$45,MATCH($A7,Data!$A$2:$A$45,0))="","",INDEX(Data!$AE$2:$AE$45,MATCH($A7,Data!$A$2:$A$45,0))),"")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IFERROR(IF(INDEX(Data!$AF$2:$AF$45,MATCH($A7,Data!$A$2:$A$45,0))="","",INDEX(Data!$AF$2:$AF$45,MATCH($A7,Data!$A$2:$A$45,0))),"")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IFERROR(IF(INDEX(Data!$AG$2:$AG$45,MATCH($A7,Data!$A$2:$A$45,0))="","",INDEX(Data!$AG$2:$AG$45,MATCH($A7,Data!$A$2:$A$45,0))),"")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IFERROR(IF(INDEX(Data!$AH$2:$AH$45,MATCH($A7,Data!$A$2:$A$45,0))="","",INDEX(Data!$AH$2:$AH$45,MATCH($A7,Data!$A$2:$A$45,0))),"")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IFERROR(IF(INDEX(Data!$AI$2:$AI$45,MATCH($A7,Data!$A$2:$A$45,0))="","",INDEX(Data!$AI$2:$AI$45,MATCH($A7,Data!$A$2:$A$45,0))),"")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7" t="n">
        <v>46291</v>
      </c>
      <c r="B8" s="7">
        <f>IFERROR(IF(INDEX(Data!$C$2:$C$45,MATCH($A8,Data!$A$2:$A$45,0))="","",INDEX(Data!$C$2:$C$45,MATCH($A8,Data!$A$2:$A$45,0))),"")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IFERROR(IF(INDEX(Data!$D$2:$D$45,MATCH($A8,Data!$A$2:$A$45,0))="","",INDEX(Data!$D$2:$D$45,MATCH($A8,Data!$A$2:$A$45,0))),"")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IFERROR(IF(INDEX(Data!$E$2:$E$45,MATCH($A8,Data!$A$2:$A$45,0))="","",INDEX(Data!$E$2:$E$45,MATCH($A8,Data!$A$2:$A$45,0))),"")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IFERROR(IF(INDEX(Data!$F$2:$F$45,MATCH($A8,Data!$A$2:$A$45,0))="","",INDEX(Data!$F$2:$F$45,MATCH($A8,Data!$A$2:$A$45,0))),"")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IFERROR(IF(INDEX(Data!$G$2:$G$45,MATCH($A8,Data!$A$2:$A$45,0))="","",INDEX(Data!$G$2:$G$45,MATCH($A8,Data!$A$2:$A$45,0))),"")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IFERROR(IF(INDEX(Data!$H$2:$H$45,MATCH($A8,Data!$A$2:$A$45,0))="","",INDEX(Data!$H$2:$H$45,MATCH($A8,Data!$A$2:$A$45,0))),"")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IFERROR(IF(INDEX(Data!$I$2:$I$45,MATCH($A8,Data!$A$2:$A$45,0))="","",INDEX(Data!$I$2:$I$45,MATCH($A8,Data!$A$2:$A$45,0))),"")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IFERROR(IF(INDEX(Data!$J$2:$J$45,MATCH($A8,Data!$A$2:$A$45,0))="","",INDEX(Data!$J$2:$J$45,MATCH($A8,Data!$A$2:$A$45,0))),"")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IFERROR(IF(INDEX(Data!$K$2:$K$45,MATCH($A8,Data!$A$2:$A$45,0))="","",INDEX(Data!$K$2:$K$45,MATCH($A8,Data!$A$2:$A$45,0))),"")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IFERROR(IF(INDEX(Data!$L$2:$L$45,MATCH($A8,Data!$A$2:$A$45,0))="","",INDEX(Data!$L$2:$L$45,MATCH($A8,Data!$A$2:$A$45,0))),"")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IFERROR(IF(INDEX(Data!$M$2:$M$45,MATCH($A8,Data!$A$2:$A$45,0))="","",INDEX(Data!$M$2:$M$45,MATCH($A8,Data!$A$2:$A$45,0))),"")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IFERROR(IF(INDEX(Data!$N$2:$N$45,MATCH($A8,Data!$A$2:$A$45,0))="","",INDEX(Data!$N$2:$N$45,MATCH($A8,Data!$A$2:$A$45,0))),"")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IFERROR(IF(INDEX(Data!$O$2:$O$45,MATCH($A8,Data!$A$2:$A$45,0))="","",INDEX(Data!$O$2:$O$45,MATCH($A8,Data!$A$2:$A$45,0))),"")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IFERROR(IF(INDEX(Data!$P$2:$P$45,MATCH($A8,Data!$A$2:$A$45,0))="","",INDEX(Data!$P$2:$P$45,MATCH($A8,Data!$A$2:$A$45,0))),"")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IFERROR(IF(INDEX(Data!$Q$2:$Q$45,MATCH($A8,Data!$A$2:$A$45,0))="","",INDEX(Data!$Q$2:$Q$45,MATCH($A8,Data!$A$2:$A$45,0))),"")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IFERROR(IF(INDEX(Data!$R$2:$R$45,MATCH($A8,Data!$A$2:$A$45,0))="","",INDEX(Data!$R$2:$R$45,MATCH($A8,Data!$A$2:$A$45,0))),"")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IFERROR(IF(INDEX(Data!$S$2:$S$45,MATCH($A8,Data!$A$2:$A$45,0))="","",INDEX(Data!$S$2:$S$45,MATCH($A8,Data!$A$2:$A$45,0))),"")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IFERROR(IF(INDEX(Data!$T$2:$T$45,MATCH($A8,Data!$A$2:$A$45,0))="","",INDEX(Data!$T$2:$T$45,MATCH($A8,Data!$A$2:$A$45,0))),"")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IFERROR(IF(INDEX(Data!$U$2:$U$45,MATCH($A8,Data!$A$2:$A$45,0))="","",INDEX(Data!$U$2:$U$45,MATCH($A8,Data!$A$2:$A$45,0))),"")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IFERROR(IF(INDEX(Data!$V$2:$V$45,MATCH($A8,Data!$A$2:$A$45,0))="","",INDEX(Data!$V$2:$V$45,MATCH($A8,Data!$A$2:$A$45,0))),"")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IFERROR(IF(INDEX(Data!$W$2:$W$45,MATCH($A8,Data!$A$2:$A$45,0))="","",INDEX(Data!$W$2:$W$45,MATCH($A8,Data!$A$2:$A$45,0))),"")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IFERROR(IF(INDEX(Data!$X$2:$X$45,MATCH($A8,Data!$A$2:$A$45,0))="","",INDEX(Data!$X$2:$X$45,MATCH($A8,Data!$A$2:$A$45,0))),"")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IFERROR(IF(INDEX(Data!$Y$2:$Y$45,MATCH($A8,Data!$A$2:$A$45,0))="","",INDEX(Data!$Y$2:$Y$45,MATCH($A8,Data!$A$2:$A$45,0))),"")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IFERROR(IF(INDEX(Data!$Z$2:$Z$45,MATCH($A8,Data!$A$2:$A$45,0))="","",INDEX(Data!$Z$2:$Z$45,MATCH($A8,Data!$A$2:$A$45,0))),"")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IFERROR(IF(INDEX(Data!$AA$2:$AA$45,MATCH($A8,Data!$A$2:$A$45,0))="","",INDEX(Data!$AA$2:$AA$45,MATCH($A8,Data!$A$2:$A$45,0))),"")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IFERROR(IF(INDEX(Data!$AB$2:$AB$45,MATCH($A8,Data!$A$2:$A$45,0))="","",INDEX(Data!$AB$2:$AB$45,MATCH($A8,Data!$A$2:$A$45,0))),"")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IFERROR(IF(INDEX(Data!$AC$2:$AC$45,MATCH($A8,Data!$A$2:$A$45,0))="","",INDEX(Data!$AC$2:$AC$45,MATCH($A8,Data!$A$2:$A$45,0))),"")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IFERROR(IF(INDEX(Data!$AD$2:$AD$45,MATCH($A8,Data!$A$2:$A$45,0))="","",INDEX(Data!$AD$2:$AD$45,MATCH($A8,Data!$A$2:$A$45,0))),"")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IFERROR(IF(INDEX(Data!$AE$2:$AE$45,MATCH($A8,Data!$A$2:$A$45,0))="","",INDEX(Data!$AE$2:$AE$45,MATCH($A8,Data!$A$2:$A$45,0))),"")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IFERROR(IF(INDEX(Data!$AF$2:$AF$45,MATCH($A8,Data!$A$2:$A$45,0))="","",INDEX(Data!$AF$2:$AF$45,MATCH($A8,Data!$A$2:$A$45,0))),"")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IFERROR(IF(INDEX(Data!$AG$2:$AG$45,MATCH($A8,Data!$A$2:$A$45,0))="","",INDEX(Data!$AG$2:$AG$45,MATCH($A8,Data!$A$2:$A$45,0))),"")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IFERROR(IF(INDEX(Data!$AH$2:$AH$45,MATCH($A8,Data!$A$2:$A$45,0))="","",INDEX(Data!$AH$2:$AH$45,MATCH($A8,Data!$A$2:$A$45,0))),"")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IFERROR(IF(INDEX(Data!$AI$2:$AI$45,MATCH($A8,Data!$A$2:$A$45,0))="","",INDEX(Data!$AI$2:$AI$45,MATCH($A8,Data!$A$2:$A$45,0))),"")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7" t="n">
        <v>46290</v>
      </c>
      <c r="B9" s="7">
        <f>IFERROR(IF(INDEX(Data!$C$2:$C$45,MATCH($A9,Data!$A$2:$A$45,0))="","",INDEX(Data!$C$2:$C$45,MATCH($A9,Data!$A$2:$A$45,0))),"")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IFERROR(IF(INDEX(Data!$D$2:$D$45,MATCH($A9,Data!$A$2:$A$45,0))="","",INDEX(Data!$D$2:$D$45,MATCH($A9,Data!$A$2:$A$45,0))),"")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IFERROR(IF(INDEX(Data!$E$2:$E$45,MATCH($A9,Data!$A$2:$A$45,0))="","",INDEX(Data!$E$2:$E$45,MATCH($A9,Data!$A$2:$A$45,0))),"")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IFERROR(IF(INDEX(Data!$F$2:$F$45,MATCH($A9,Data!$A$2:$A$45,0))="","",INDEX(Data!$F$2:$F$45,MATCH($A9,Data!$A$2:$A$45,0))),"")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IFERROR(IF(INDEX(Data!$G$2:$G$45,MATCH($A9,Data!$A$2:$A$45,0))="","",INDEX(Data!$G$2:$G$45,MATCH($A9,Data!$A$2:$A$45,0))),"")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IFERROR(IF(INDEX(Data!$H$2:$H$45,MATCH($A9,Data!$A$2:$A$45,0))="","",INDEX(Data!$H$2:$H$45,MATCH($A9,Data!$A$2:$A$45,0))),"")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IFERROR(IF(INDEX(Data!$I$2:$I$45,MATCH($A9,Data!$A$2:$A$45,0))="","",INDEX(Data!$I$2:$I$45,MATCH($A9,Data!$A$2:$A$45,0))),"")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IFERROR(IF(INDEX(Data!$J$2:$J$45,MATCH($A9,Data!$A$2:$A$45,0))="","",INDEX(Data!$J$2:$J$45,MATCH($A9,Data!$A$2:$A$45,0))),"")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IFERROR(IF(INDEX(Data!$K$2:$K$45,MATCH($A9,Data!$A$2:$A$45,0))="","",INDEX(Data!$K$2:$K$45,MATCH($A9,Data!$A$2:$A$45,0))),"")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IFERROR(IF(INDEX(Data!$L$2:$L$45,MATCH($A9,Data!$A$2:$A$45,0))="","",INDEX(Data!$L$2:$L$45,MATCH($A9,Data!$A$2:$A$45,0))),"")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IFERROR(IF(INDEX(Data!$M$2:$M$45,MATCH($A9,Data!$A$2:$A$45,0))="","",INDEX(Data!$M$2:$M$45,MATCH($A9,Data!$A$2:$A$45,0))),"")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IFERROR(IF(INDEX(Data!$N$2:$N$45,MATCH($A9,Data!$A$2:$A$45,0))="","",INDEX(Data!$N$2:$N$45,MATCH($A9,Data!$A$2:$A$45,0))),"")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IFERROR(IF(INDEX(Data!$O$2:$O$45,MATCH($A9,Data!$A$2:$A$45,0))="","",INDEX(Data!$O$2:$O$45,MATCH($A9,Data!$A$2:$A$45,0))),"")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IFERROR(IF(INDEX(Data!$P$2:$P$45,MATCH($A9,Data!$A$2:$A$45,0))="","",INDEX(Data!$P$2:$P$45,MATCH($A9,Data!$A$2:$A$45,0))),"")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IFERROR(IF(INDEX(Data!$Q$2:$Q$45,MATCH($A9,Data!$A$2:$A$45,0))="","",INDEX(Data!$Q$2:$Q$45,MATCH($A9,Data!$A$2:$A$45,0))),"")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IFERROR(IF(INDEX(Data!$R$2:$R$45,MATCH($A9,Data!$A$2:$A$45,0))="","",INDEX(Data!$R$2:$R$45,MATCH($A9,Data!$A$2:$A$45,0))),"")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IFERROR(IF(INDEX(Data!$S$2:$S$45,MATCH($A9,Data!$A$2:$A$45,0))="","",INDEX(Data!$S$2:$S$45,MATCH($A9,Data!$A$2:$A$45,0))),"")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IFERROR(IF(INDEX(Data!$T$2:$T$45,MATCH($A9,Data!$A$2:$A$45,0))="","",INDEX(Data!$T$2:$T$45,MATCH($A9,Data!$A$2:$A$45,0))),"")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IFERROR(IF(INDEX(Data!$U$2:$U$45,MATCH($A9,Data!$A$2:$A$45,0))="","",INDEX(Data!$U$2:$U$45,MATCH($A9,Data!$A$2:$A$45,0))),"")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IFERROR(IF(INDEX(Data!$V$2:$V$45,MATCH($A9,Data!$A$2:$A$45,0))="","",INDEX(Data!$V$2:$V$45,MATCH($A9,Data!$A$2:$A$45,0))),"")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IFERROR(IF(INDEX(Data!$W$2:$W$45,MATCH($A9,Data!$A$2:$A$45,0))="","",INDEX(Data!$W$2:$W$45,MATCH($A9,Data!$A$2:$A$45,0))),"")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IFERROR(IF(INDEX(Data!$X$2:$X$45,MATCH($A9,Data!$A$2:$A$45,0))="","",INDEX(Data!$X$2:$X$45,MATCH($A9,Data!$A$2:$A$45,0))),"")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IFERROR(IF(INDEX(Data!$Y$2:$Y$45,MATCH($A9,Data!$A$2:$A$45,0))="","",INDEX(Data!$Y$2:$Y$45,MATCH($A9,Data!$A$2:$A$45,0))),"")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IFERROR(IF(INDEX(Data!$Z$2:$Z$45,MATCH($A9,Data!$A$2:$A$45,0))="","",INDEX(Data!$Z$2:$Z$45,MATCH($A9,Data!$A$2:$A$45,0))),"")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IFERROR(IF(INDEX(Data!$AA$2:$AA$45,MATCH($A9,Data!$A$2:$A$45,0))="","",INDEX(Data!$AA$2:$AA$45,MATCH($A9,Data!$A$2:$A$45,0))),"")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IFERROR(IF(INDEX(Data!$AB$2:$AB$45,MATCH($A9,Data!$A$2:$A$45,0))="","",INDEX(Data!$AB$2:$AB$45,MATCH($A9,Data!$A$2:$A$45,0))),"")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IFERROR(IF(INDEX(Data!$AC$2:$AC$45,MATCH($A9,Data!$A$2:$A$45,0))="","",INDEX(Data!$AC$2:$AC$45,MATCH($A9,Data!$A$2:$A$45,0))),"")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IFERROR(IF(INDEX(Data!$AD$2:$AD$45,MATCH($A9,Data!$A$2:$A$45,0))="","",INDEX(Data!$AD$2:$AD$45,MATCH($A9,Data!$A$2:$A$45,0))),"")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IFERROR(IF(INDEX(Data!$AE$2:$AE$45,MATCH($A9,Data!$A$2:$A$45,0))="","",INDEX(Data!$AE$2:$AE$45,MATCH($A9,Data!$A$2:$A$45,0))),"")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IFERROR(IF(INDEX(Data!$AF$2:$AF$45,MATCH($A9,Data!$A$2:$A$45,0))="","",INDEX(Data!$AF$2:$AF$45,MATCH($A9,Data!$A$2:$A$45,0))),"")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IFERROR(IF(INDEX(Data!$AG$2:$AG$45,MATCH($A9,Data!$A$2:$A$45,0))="","",INDEX(Data!$AG$2:$AG$45,MATCH($A9,Data!$A$2:$A$45,0))),"")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IFERROR(IF(INDEX(Data!$AH$2:$AH$45,MATCH($A9,Data!$A$2:$A$45,0))="","",INDEX(Data!$AH$2:$AH$45,MATCH($A9,Data!$A$2:$A$45,0))),"")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IFERROR(IF(INDEX(Data!$AI$2:$AI$45,MATCH($A9,Data!$A$2:$A$45,0))="","",INDEX(Data!$AI$2:$AI$45,MATCH($A9,Data!$A$2:$A$45,0))),"")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7" t="n">
        <v>46289</v>
      </c>
      <c r="B10" s="7">
        <f>IFERROR(IF(INDEX(Data!$C$2:$C$45,MATCH($A10,Data!$A$2:$A$45,0))="","",INDEX(Data!$C$2:$C$45,MATCH($A10,Data!$A$2:$A$45,0))),"")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IFERROR(IF(INDEX(Data!$D$2:$D$45,MATCH($A10,Data!$A$2:$A$45,0))="","",INDEX(Data!$D$2:$D$45,MATCH($A10,Data!$A$2:$A$45,0))),"")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IFERROR(IF(INDEX(Data!$E$2:$E$45,MATCH($A10,Data!$A$2:$A$45,0))="","",INDEX(Data!$E$2:$E$45,MATCH($A10,Data!$A$2:$A$45,0))),"")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IFERROR(IF(INDEX(Data!$F$2:$F$45,MATCH($A10,Data!$A$2:$A$45,0))="","",INDEX(Data!$F$2:$F$45,MATCH($A10,Data!$A$2:$A$45,0))),"")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IFERROR(IF(INDEX(Data!$G$2:$G$45,MATCH($A10,Data!$A$2:$A$45,0))="","",INDEX(Data!$G$2:$G$45,MATCH($A10,Data!$A$2:$A$45,0))),"")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IFERROR(IF(INDEX(Data!$H$2:$H$45,MATCH($A10,Data!$A$2:$A$45,0))="","",INDEX(Data!$H$2:$H$45,MATCH($A10,Data!$A$2:$A$45,0))),"")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IFERROR(IF(INDEX(Data!$I$2:$I$45,MATCH($A10,Data!$A$2:$A$45,0))="","",INDEX(Data!$I$2:$I$45,MATCH($A10,Data!$A$2:$A$45,0))),"")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IFERROR(IF(INDEX(Data!$J$2:$J$45,MATCH($A10,Data!$A$2:$A$45,0))="","",INDEX(Data!$J$2:$J$45,MATCH($A10,Data!$A$2:$A$45,0))),"")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IFERROR(IF(INDEX(Data!$K$2:$K$45,MATCH($A10,Data!$A$2:$A$45,0))="","",INDEX(Data!$K$2:$K$45,MATCH($A10,Data!$A$2:$A$45,0))),"")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IFERROR(IF(INDEX(Data!$L$2:$L$45,MATCH($A10,Data!$A$2:$A$45,0))="","",INDEX(Data!$L$2:$L$45,MATCH($A10,Data!$A$2:$A$45,0))),"")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IFERROR(IF(INDEX(Data!$M$2:$M$45,MATCH($A10,Data!$A$2:$A$45,0))="","",INDEX(Data!$M$2:$M$45,MATCH($A10,Data!$A$2:$A$45,0))),"")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IFERROR(IF(INDEX(Data!$N$2:$N$45,MATCH($A10,Data!$A$2:$A$45,0))="","",INDEX(Data!$N$2:$N$45,MATCH($A10,Data!$A$2:$A$45,0))),"")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IFERROR(IF(INDEX(Data!$O$2:$O$45,MATCH($A10,Data!$A$2:$A$45,0))="","",INDEX(Data!$O$2:$O$45,MATCH($A10,Data!$A$2:$A$45,0))),"")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IFERROR(IF(INDEX(Data!$P$2:$P$45,MATCH($A10,Data!$A$2:$A$45,0))="","",INDEX(Data!$P$2:$P$45,MATCH($A10,Data!$A$2:$A$45,0))),"")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IFERROR(IF(INDEX(Data!$Q$2:$Q$45,MATCH($A10,Data!$A$2:$A$45,0))="","",INDEX(Data!$Q$2:$Q$45,MATCH($A10,Data!$A$2:$A$45,0))),"")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IFERROR(IF(INDEX(Data!$R$2:$R$45,MATCH($A10,Data!$A$2:$A$45,0))="","",INDEX(Data!$R$2:$R$45,MATCH($A10,Data!$A$2:$A$45,0))),"")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IFERROR(IF(INDEX(Data!$S$2:$S$45,MATCH($A10,Data!$A$2:$A$45,0))="","",INDEX(Data!$S$2:$S$45,MATCH($A10,Data!$A$2:$A$45,0))),"")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IFERROR(IF(INDEX(Data!$T$2:$T$45,MATCH($A10,Data!$A$2:$A$45,0))="","",INDEX(Data!$T$2:$T$45,MATCH($A10,Data!$A$2:$A$45,0))),"")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IFERROR(IF(INDEX(Data!$U$2:$U$45,MATCH($A10,Data!$A$2:$A$45,0))="","",INDEX(Data!$U$2:$U$45,MATCH($A10,Data!$A$2:$A$45,0))),"")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IFERROR(IF(INDEX(Data!$V$2:$V$45,MATCH($A10,Data!$A$2:$A$45,0))="","",INDEX(Data!$V$2:$V$45,MATCH($A10,Data!$A$2:$A$45,0))),"")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IFERROR(IF(INDEX(Data!$W$2:$W$45,MATCH($A10,Data!$A$2:$A$45,0))="","",INDEX(Data!$W$2:$W$45,MATCH($A10,Data!$A$2:$A$45,0))),"")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IFERROR(IF(INDEX(Data!$X$2:$X$45,MATCH($A10,Data!$A$2:$A$45,0))="","",INDEX(Data!$X$2:$X$45,MATCH($A10,Data!$A$2:$A$45,0))),"")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IFERROR(IF(INDEX(Data!$Y$2:$Y$45,MATCH($A10,Data!$A$2:$A$45,0))="","",INDEX(Data!$Y$2:$Y$45,MATCH($A10,Data!$A$2:$A$45,0))),"")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IFERROR(IF(INDEX(Data!$Z$2:$Z$45,MATCH($A10,Data!$A$2:$A$45,0))="","",INDEX(Data!$Z$2:$Z$45,MATCH($A10,Data!$A$2:$A$45,0))),"")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IFERROR(IF(INDEX(Data!$AA$2:$AA$45,MATCH($A10,Data!$A$2:$A$45,0))="","",INDEX(Data!$AA$2:$AA$45,MATCH($A10,Data!$A$2:$A$45,0))),"")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IFERROR(IF(INDEX(Data!$AB$2:$AB$45,MATCH($A10,Data!$A$2:$A$45,0))="","",INDEX(Data!$AB$2:$AB$45,MATCH($A10,Data!$A$2:$A$45,0))),"")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IFERROR(IF(INDEX(Data!$AC$2:$AC$45,MATCH($A10,Data!$A$2:$A$45,0))="","",INDEX(Data!$AC$2:$AC$45,MATCH($A10,Data!$A$2:$A$45,0))),"")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IFERROR(IF(INDEX(Data!$AD$2:$AD$45,MATCH($A10,Data!$A$2:$A$45,0))="","",INDEX(Data!$AD$2:$AD$45,MATCH($A10,Data!$A$2:$A$45,0))),"")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IFERROR(IF(INDEX(Data!$AE$2:$AE$45,MATCH($A10,Data!$A$2:$A$45,0))="","",INDEX(Data!$AE$2:$AE$45,MATCH($A10,Data!$A$2:$A$45,0))),"")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IFERROR(IF(INDEX(Data!$AF$2:$AF$45,MATCH($A10,Data!$A$2:$A$45,0))="","",INDEX(Data!$AF$2:$AF$45,MATCH($A10,Data!$A$2:$A$45,0))),"")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IFERROR(IF(INDEX(Data!$AG$2:$AG$45,MATCH($A10,Data!$A$2:$A$45,0))="","",INDEX(Data!$AG$2:$AG$45,MATCH($A10,Data!$A$2:$A$45,0))),"")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IFERROR(IF(INDEX(Data!$AH$2:$AH$45,MATCH($A10,Data!$A$2:$A$45,0))="","",INDEX(Data!$AH$2:$AH$45,MATCH($A10,Data!$A$2:$A$45,0))),"")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IFERROR(IF(INDEX(Data!$AI$2:$AI$45,MATCH($A10,Data!$A$2:$A$45,0))="","",INDEX(Data!$AI$2:$AI$45,MATCH($A10,Data!$A$2:$A$45,0))),"")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7" t="n">
        <v>46288</v>
      </c>
      <c r="B11" s="7">
        <f>IFERROR(IF(INDEX(Data!$C$2:$C$45,MATCH($A11,Data!$A$2:$A$45,0))="","",INDEX(Data!$C$2:$C$45,MATCH($A11,Data!$A$2:$A$45,0))),"")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IFERROR(IF(INDEX(Data!$D$2:$D$45,MATCH($A11,Data!$A$2:$A$45,0))="","",INDEX(Data!$D$2:$D$45,MATCH($A11,Data!$A$2:$A$45,0))),"")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IFERROR(IF(INDEX(Data!$E$2:$E$45,MATCH($A11,Data!$A$2:$A$45,0))="","",INDEX(Data!$E$2:$E$45,MATCH($A11,Data!$A$2:$A$45,0))),"")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IFERROR(IF(INDEX(Data!$F$2:$F$45,MATCH($A11,Data!$A$2:$A$45,0))="","",INDEX(Data!$F$2:$F$45,MATCH($A11,Data!$A$2:$A$45,0))),"")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IFERROR(IF(INDEX(Data!$G$2:$G$45,MATCH($A11,Data!$A$2:$A$45,0))="","",INDEX(Data!$G$2:$G$45,MATCH($A11,Data!$A$2:$A$45,0))),"")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IFERROR(IF(INDEX(Data!$H$2:$H$45,MATCH($A11,Data!$A$2:$A$45,0))="","",INDEX(Data!$H$2:$H$45,MATCH($A11,Data!$A$2:$A$45,0))),"")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IFERROR(IF(INDEX(Data!$I$2:$I$45,MATCH($A11,Data!$A$2:$A$45,0))="","",INDEX(Data!$I$2:$I$45,MATCH($A11,Data!$A$2:$A$45,0))),"")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IFERROR(IF(INDEX(Data!$J$2:$J$45,MATCH($A11,Data!$A$2:$A$45,0))="","",INDEX(Data!$J$2:$J$45,MATCH($A11,Data!$A$2:$A$45,0))),"")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IFERROR(IF(INDEX(Data!$K$2:$K$45,MATCH($A11,Data!$A$2:$A$45,0))="","",INDEX(Data!$K$2:$K$45,MATCH($A11,Data!$A$2:$A$45,0))),"")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IFERROR(IF(INDEX(Data!$L$2:$L$45,MATCH($A11,Data!$A$2:$A$45,0))="","",INDEX(Data!$L$2:$L$45,MATCH($A11,Data!$A$2:$A$45,0))),"")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IFERROR(IF(INDEX(Data!$M$2:$M$45,MATCH($A11,Data!$A$2:$A$45,0))="","",INDEX(Data!$M$2:$M$45,MATCH($A11,Data!$A$2:$A$45,0))),"")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IFERROR(IF(INDEX(Data!$N$2:$N$45,MATCH($A11,Data!$A$2:$A$45,0))="","",INDEX(Data!$N$2:$N$45,MATCH($A11,Data!$A$2:$A$45,0))),"")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IFERROR(IF(INDEX(Data!$O$2:$O$45,MATCH($A11,Data!$A$2:$A$45,0))="","",INDEX(Data!$O$2:$O$45,MATCH($A11,Data!$A$2:$A$45,0))),"")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IFERROR(IF(INDEX(Data!$P$2:$P$45,MATCH($A11,Data!$A$2:$A$45,0))="","",INDEX(Data!$P$2:$P$45,MATCH($A11,Data!$A$2:$A$45,0))),"")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IFERROR(IF(INDEX(Data!$Q$2:$Q$45,MATCH($A11,Data!$A$2:$A$45,0))="","",INDEX(Data!$Q$2:$Q$45,MATCH($A11,Data!$A$2:$A$45,0))),"")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IFERROR(IF(INDEX(Data!$R$2:$R$45,MATCH($A11,Data!$A$2:$A$45,0))="","",INDEX(Data!$R$2:$R$45,MATCH($A11,Data!$A$2:$A$45,0))),"")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IFERROR(IF(INDEX(Data!$S$2:$S$45,MATCH($A11,Data!$A$2:$A$45,0))="","",INDEX(Data!$S$2:$S$45,MATCH($A11,Data!$A$2:$A$45,0))),"")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IFERROR(IF(INDEX(Data!$T$2:$T$45,MATCH($A11,Data!$A$2:$A$45,0))="","",INDEX(Data!$T$2:$T$45,MATCH($A11,Data!$A$2:$A$45,0))),"")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IFERROR(IF(INDEX(Data!$U$2:$U$45,MATCH($A11,Data!$A$2:$A$45,0))="","",INDEX(Data!$U$2:$U$45,MATCH($A11,Data!$A$2:$A$45,0))),"")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IFERROR(IF(INDEX(Data!$V$2:$V$45,MATCH($A11,Data!$A$2:$A$45,0))="","",INDEX(Data!$V$2:$V$45,MATCH($A11,Data!$A$2:$A$45,0))),"")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IFERROR(IF(INDEX(Data!$W$2:$W$45,MATCH($A11,Data!$A$2:$A$45,0))="","",INDEX(Data!$W$2:$W$45,MATCH($A11,Data!$A$2:$A$45,0))),"")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IFERROR(IF(INDEX(Data!$X$2:$X$45,MATCH($A11,Data!$A$2:$A$45,0))="","",INDEX(Data!$X$2:$X$45,MATCH($A11,Data!$A$2:$A$45,0))),"")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IFERROR(IF(INDEX(Data!$Y$2:$Y$45,MATCH($A11,Data!$A$2:$A$45,0))="","",INDEX(Data!$Y$2:$Y$45,MATCH($A11,Data!$A$2:$A$45,0))),"")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IFERROR(IF(INDEX(Data!$Z$2:$Z$45,MATCH($A11,Data!$A$2:$A$45,0))="","",INDEX(Data!$Z$2:$Z$45,MATCH($A11,Data!$A$2:$A$45,0))),"")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IFERROR(IF(INDEX(Data!$AA$2:$AA$45,MATCH($A11,Data!$A$2:$A$45,0))="","",INDEX(Data!$AA$2:$AA$45,MATCH($A11,Data!$A$2:$A$45,0))),"")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IFERROR(IF(INDEX(Data!$AB$2:$AB$45,MATCH($A11,Data!$A$2:$A$45,0))="","",INDEX(Data!$AB$2:$AB$45,MATCH($A11,Data!$A$2:$A$45,0))),"")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IFERROR(IF(INDEX(Data!$AC$2:$AC$45,MATCH($A11,Data!$A$2:$A$45,0))="","",INDEX(Data!$AC$2:$AC$45,MATCH($A11,Data!$A$2:$A$45,0))),"")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IFERROR(IF(INDEX(Data!$AD$2:$AD$45,MATCH($A11,Data!$A$2:$A$45,0))="","",INDEX(Data!$AD$2:$AD$45,MATCH($A11,Data!$A$2:$A$45,0))),"")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IFERROR(IF(INDEX(Data!$AE$2:$AE$45,MATCH($A11,Data!$A$2:$A$45,0))="","",INDEX(Data!$AE$2:$AE$45,MATCH($A11,Data!$A$2:$A$45,0))),"")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IFERROR(IF(INDEX(Data!$AF$2:$AF$45,MATCH($A11,Data!$A$2:$A$45,0))="","",INDEX(Data!$AF$2:$AF$45,MATCH($A11,Data!$A$2:$A$45,0))),"")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IFERROR(IF(INDEX(Data!$AG$2:$AG$45,MATCH($A11,Data!$A$2:$A$45,0))="","",INDEX(Data!$AG$2:$AG$45,MATCH($A11,Data!$A$2:$A$45,0))),"")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IFERROR(IF(INDEX(Data!$AH$2:$AH$45,MATCH($A11,Data!$A$2:$A$45,0))="","",INDEX(Data!$AH$2:$AH$45,MATCH($A11,Data!$A$2:$A$45,0))),"")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IFERROR(IF(INDEX(Data!$AI$2:$AI$45,MATCH($A11,Data!$A$2:$A$45,0))="","",INDEX(Data!$AI$2:$AI$45,MATCH($A11,Data!$A$2:$A$45,0))),"")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7" t="n">
        <v>46287</v>
      </c>
      <c r="B12" s="7">
        <f>IFERROR(IF(INDEX(Data!$C$2:$C$45,MATCH($A12,Data!$A$2:$A$45,0))="","",INDEX(Data!$C$2:$C$45,MATCH($A12,Data!$A$2:$A$45,0))),"")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IFERROR(IF(INDEX(Data!$D$2:$D$45,MATCH($A12,Data!$A$2:$A$45,0))="","",INDEX(Data!$D$2:$D$45,MATCH($A12,Data!$A$2:$A$45,0))),"")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IFERROR(IF(INDEX(Data!$E$2:$E$45,MATCH($A12,Data!$A$2:$A$45,0))="","",INDEX(Data!$E$2:$E$45,MATCH($A12,Data!$A$2:$A$45,0))),"")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IFERROR(IF(INDEX(Data!$F$2:$F$45,MATCH($A12,Data!$A$2:$A$45,0))="","",INDEX(Data!$F$2:$F$45,MATCH($A12,Data!$A$2:$A$45,0))),"")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IFERROR(IF(INDEX(Data!$G$2:$G$45,MATCH($A12,Data!$A$2:$A$45,0))="","",INDEX(Data!$G$2:$G$45,MATCH($A12,Data!$A$2:$A$45,0))),"")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IFERROR(IF(INDEX(Data!$H$2:$H$45,MATCH($A12,Data!$A$2:$A$45,0))="","",INDEX(Data!$H$2:$H$45,MATCH($A12,Data!$A$2:$A$45,0))),"")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IFERROR(IF(INDEX(Data!$I$2:$I$45,MATCH($A12,Data!$A$2:$A$45,0))="","",INDEX(Data!$I$2:$I$45,MATCH($A12,Data!$A$2:$A$45,0))),"")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IFERROR(IF(INDEX(Data!$J$2:$J$45,MATCH($A12,Data!$A$2:$A$45,0))="","",INDEX(Data!$J$2:$J$45,MATCH($A12,Data!$A$2:$A$45,0))),"")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IFERROR(IF(INDEX(Data!$K$2:$K$45,MATCH($A12,Data!$A$2:$A$45,0))="","",INDEX(Data!$K$2:$K$45,MATCH($A12,Data!$A$2:$A$45,0))),"")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IFERROR(IF(INDEX(Data!$L$2:$L$45,MATCH($A12,Data!$A$2:$A$45,0))="","",INDEX(Data!$L$2:$L$45,MATCH($A12,Data!$A$2:$A$45,0))),"")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IFERROR(IF(INDEX(Data!$M$2:$M$45,MATCH($A12,Data!$A$2:$A$45,0))="","",INDEX(Data!$M$2:$M$45,MATCH($A12,Data!$A$2:$A$45,0))),"")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IFERROR(IF(INDEX(Data!$N$2:$N$45,MATCH($A12,Data!$A$2:$A$45,0))="","",INDEX(Data!$N$2:$N$45,MATCH($A12,Data!$A$2:$A$45,0))),"")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IFERROR(IF(INDEX(Data!$O$2:$O$45,MATCH($A12,Data!$A$2:$A$45,0))="","",INDEX(Data!$O$2:$O$45,MATCH($A12,Data!$A$2:$A$45,0))),"")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IFERROR(IF(INDEX(Data!$P$2:$P$45,MATCH($A12,Data!$A$2:$A$45,0))="","",INDEX(Data!$P$2:$P$45,MATCH($A12,Data!$A$2:$A$45,0))),"")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IFERROR(IF(INDEX(Data!$Q$2:$Q$45,MATCH($A12,Data!$A$2:$A$45,0))="","",INDEX(Data!$Q$2:$Q$45,MATCH($A12,Data!$A$2:$A$45,0))),"")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IFERROR(IF(INDEX(Data!$R$2:$R$45,MATCH($A12,Data!$A$2:$A$45,0))="","",INDEX(Data!$R$2:$R$45,MATCH($A12,Data!$A$2:$A$45,0))),"")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IFERROR(IF(INDEX(Data!$S$2:$S$45,MATCH($A12,Data!$A$2:$A$45,0))="","",INDEX(Data!$S$2:$S$45,MATCH($A12,Data!$A$2:$A$45,0))),"")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IFERROR(IF(INDEX(Data!$T$2:$T$45,MATCH($A12,Data!$A$2:$A$45,0))="","",INDEX(Data!$T$2:$T$45,MATCH($A12,Data!$A$2:$A$45,0))),"")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IFERROR(IF(INDEX(Data!$U$2:$U$45,MATCH($A12,Data!$A$2:$A$45,0))="","",INDEX(Data!$U$2:$U$45,MATCH($A12,Data!$A$2:$A$45,0))),"")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IFERROR(IF(INDEX(Data!$V$2:$V$45,MATCH($A12,Data!$A$2:$A$45,0))="","",INDEX(Data!$V$2:$V$45,MATCH($A12,Data!$A$2:$A$45,0))),"")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IFERROR(IF(INDEX(Data!$W$2:$W$45,MATCH($A12,Data!$A$2:$A$45,0))="","",INDEX(Data!$W$2:$W$45,MATCH($A12,Data!$A$2:$A$45,0))),"")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IFERROR(IF(INDEX(Data!$X$2:$X$45,MATCH($A12,Data!$A$2:$A$45,0))="","",INDEX(Data!$X$2:$X$45,MATCH($A12,Data!$A$2:$A$45,0))),"")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IFERROR(IF(INDEX(Data!$Y$2:$Y$45,MATCH($A12,Data!$A$2:$A$45,0))="","",INDEX(Data!$Y$2:$Y$45,MATCH($A12,Data!$A$2:$A$45,0))),"")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IFERROR(IF(INDEX(Data!$Z$2:$Z$45,MATCH($A12,Data!$A$2:$A$45,0))="","",INDEX(Data!$Z$2:$Z$45,MATCH($A12,Data!$A$2:$A$45,0))),"")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IFERROR(IF(INDEX(Data!$AA$2:$AA$45,MATCH($A12,Data!$A$2:$A$45,0))="","",INDEX(Data!$AA$2:$AA$45,MATCH($A12,Data!$A$2:$A$45,0))),"")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IFERROR(IF(INDEX(Data!$AB$2:$AB$45,MATCH($A12,Data!$A$2:$A$45,0))="","",INDEX(Data!$AB$2:$AB$45,MATCH($A12,Data!$A$2:$A$45,0))),"")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IFERROR(IF(INDEX(Data!$AC$2:$AC$45,MATCH($A12,Data!$A$2:$A$45,0))="","",INDEX(Data!$AC$2:$AC$45,MATCH($A12,Data!$A$2:$A$45,0))),"")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IFERROR(IF(INDEX(Data!$AD$2:$AD$45,MATCH($A12,Data!$A$2:$A$45,0))="","",INDEX(Data!$AD$2:$AD$45,MATCH($A12,Data!$A$2:$A$45,0))),"")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IFERROR(IF(INDEX(Data!$AE$2:$AE$45,MATCH($A12,Data!$A$2:$A$45,0))="","",INDEX(Data!$AE$2:$AE$45,MATCH($A12,Data!$A$2:$A$45,0))),"")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IFERROR(IF(INDEX(Data!$AF$2:$AF$45,MATCH($A12,Data!$A$2:$A$45,0))="","",INDEX(Data!$AF$2:$AF$45,MATCH($A12,Data!$A$2:$A$45,0))),"")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IFERROR(IF(INDEX(Data!$AG$2:$AG$45,MATCH($A12,Data!$A$2:$A$45,0))="","",INDEX(Data!$AG$2:$AG$45,MATCH($A12,Data!$A$2:$A$45,0))),"")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IFERROR(IF(INDEX(Data!$AH$2:$AH$45,MATCH($A12,Data!$A$2:$A$45,0))="","",INDEX(Data!$AH$2:$AH$45,MATCH($A12,Data!$A$2:$A$45,0))),"")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IFERROR(IF(INDEX(Data!$AI$2:$AI$45,MATCH($A12,Data!$A$2:$A$45,0))="","",INDEX(Data!$AI$2:$AI$45,MATCH($A12,Data!$A$2:$A$45,0))),"")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7" t="n">
        <v>46286</v>
      </c>
      <c r="B13" s="7">
        <f>IFERROR(IF(INDEX(Data!$C$2:$C$45,MATCH($A13,Data!$A$2:$A$45,0))="","",INDEX(Data!$C$2:$C$45,MATCH($A13,Data!$A$2:$A$45,0))),"")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IFERROR(IF(INDEX(Data!$D$2:$D$45,MATCH($A13,Data!$A$2:$A$45,0))="","",INDEX(Data!$D$2:$D$45,MATCH($A13,Data!$A$2:$A$45,0))),"")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IFERROR(IF(INDEX(Data!$E$2:$E$45,MATCH($A13,Data!$A$2:$A$45,0))="","",INDEX(Data!$E$2:$E$45,MATCH($A13,Data!$A$2:$A$45,0))),"")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IFERROR(IF(INDEX(Data!$F$2:$F$45,MATCH($A13,Data!$A$2:$A$45,0))="","",INDEX(Data!$F$2:$F$45,MATCH($A13,Data!$A$2:$A$45,0))),"")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IFERROR(IF(INDEX(Data!$G$2:$G$45,MATCH($A13,Data!$A$2:$A$45,0))="","",INDEX(Data!$G$2:$G$45,MATCH($A13,Data!$A$2:$A$45,0))),"")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IFERROR(IF(INDEX(Data!$H$2:$H$45,MATCH($A13,Data!$A$2:$A$45,0))="","",INDEX(Data!$H$2:$H$45,MATCH($A13,Data!$A$2:$A$45,0))),"")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IFERROR(IF(INDEX(Data!$I$2:$I$45,MATCH($A13,Data!$A$2:$A$45,0))="","",INDEX(Data!$I$2:$I$45,MATCH($A13,Data!$A$2:$A$45,0))),"")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IFERROR(IF(INDEX(Data!$J$2:$J$45,MATCH($A13,Data!$A$2:$A$45,0))="","",INDEX(Data!$J$2:$J$45,MATCH($A13,Data!$A$2:$A$45,0))),"")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IFERROR(IF(INDEX(Data!$K$2:$K$45,MATCH($A13,Data!$A$2:$A$45,0))="","",INDEX(Data!$K$2:$K$45,MATCH($A13,Data!$A$2:$A$45,0))),"")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IFERROR(IF(INDEX(Data!$L$2:$L$45,MATCH($A13,Data!$A$2:$A$45,0))="","",INDEX(Data!$L$2:$L$45,MATCH($A13,Data!$A$2:$A$45,0))),"")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IFERROR(IF(INDEX(Data!$M$2:$M$45,MATCH($A13,Data!$A$2:$A$45,0))="","",INDEX(Data!$M$2:$M$45,MATCH($A13,Data!$A$2:$A$45,0))),"")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IFERROR(IF(INDEX(Data!$N$2:$N$45,MATCH($A13,Data!$A$2:$A$45,0))="","",INDEX(Data!$N$2:$N$45,MATCH($A13,Data!$A$2:$A$45,0))),"")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IFERROR(IF(INDEX(Data!$O$2:$O$45,MATCH($A13,Data!$A$2:$A$45,0))="","",INDEX(Data!$O$2:$O$45,MATCH($A13,Data!$A$2:$A$45,0))),"")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IFERROR(IF(INDEX(Data!$P$2:$P$45,MATCH($A13,Data!$A$2:$A$45,0))="","",INDEX(Data!$P$2:$P$45,MATCH($A13,Data!$A$2:$A$45,0))),"")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IFERROR(IF(INDEX(Data!$Q$2:$Q$45,MATCH($A13,Data!$A$2:$A$45,0))="","",INDEX(Data!$Q$2:$Q$45,MATCH($A13,Data!$A$2:$A$45,0))),"")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IFERROR(IF(INDEX(Data!$R$2:$R$45,MATCH($A13,Data!$A$2:$A$45,0))="","",INDEX(Data!$R$2:$R$45,MATCH($A13,Data!$A$2:$A$45,0))),"")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IFERROR(IF(INDEX(Data!$S$2:$S$45,MATCH($A13,Data!$A$2:$A$45,0))="","",INDEX(Data!$S$2:$S$45,MATCH($A13,Data!$A$2:$A$45,0))),"")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IFERROR(IF(INDEX(Data!$T$2:$T$45,MATCH($A13,Data!$A$2:$A$45,0))="","",INDEX(Data!$T$2:$T$45,MATCH($A13,Data!$A$2:$A$45,0))),"")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IFERROR(IF(INDEX(Data!$U$2:$U$45,MATCH($A13,Data!$A$2:$A$45,0))="","",INDEX(Data!$U$2:$U$45,MATCH($A13,Data!$A$2:$A$45,0))),"")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IFERROR(IF(INDEX(Data!$V$2:$V$45,MATCH($A13,Data!$A$2:$A$45,0))="","",INDEX(Data!$V$2:$V$45,MATCH($A13,Data!$A$2:$A$45,0))),"")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IFERROR(IF(INDEX(Data!$W$2:$W$45,MATCH($A13,Data!$A$2:$A$45,0))="","",INDEX(Data!$W$2:$W$45,MATCH($A13,Data!$A$2:$A$45,0))),"")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IFERROR(IF(INDEX(Data!$X$2:$X$45,MATCH($A13,Data!$A$2:$A$45,0))="","",INDEX(Data!$X$2:$X$45,MATCH($A13,Data!$A$2:$A$45,0))),"")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IFERROR(IF(INDEX(Data!$Y$2:$Y$45,MATCH($A13,Data!$A$2:$A$45,0))="","",INDEX(Data!$Y$2:$Y$45,MATCH($A13,Data!$A$2:$A$45,0))),"")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IFERROR(IF(INDEX(Data!$Z$2:$Z$45,MATCH($A13,Data!$A$2:$A$45,0))="","",INDEX(Data!$Z$2:$Z$45,MATCH($A13,Data!$A$2:$A$45,0))),"")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IFERROR(IF(INDEX(Data!$AA$2:$AA$45,MATCH($A13,Data!$A$2:$A$45,0))="","",INDEX(Data!$AA$2:$AA$45,MATCH($A13,Data!$A$2:$A$45,0))),"")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IFERROR(IF(INDEX(Data!$AB$2:$AB$45,MATCH($A13,Data!$A$2:$A$45,0))="","",INDEX(Data!$AB$2:$AB$45,MATCH($A13,Data!$A$2:$A$45,0))),"")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IFERROR(IF(INDEX(Data!$AC$2:$AC$45,MATCH($A13,Data!$A$2:$A$45,0))="","",INDEX(Data!$AC$2:$AC$45,MATCH($A13,Data!$A$2:$A$45,0))),"")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IFERROR(IF(INDEX(Data!$AD$2:$AD$45,MATCH($A13,Data!$A$2:$A$45,0))="","",INDEX(Data!$AD$2:$AD$45,MATCH($A13,Data!$A$2:$A$45,0))),"")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IFERROR(IF(INDEX(Data!$AE$2:$AE$45,MATCH($A13,Data!$A$2:$A$45,0))="","",INDEX(Data!$AE$2:$AE$45,MATCH($A13,Data!$A$2:$A$45,0))),"")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IFERROR(IF(INDEX(Data!$AF$2:$AF$45,MATCH($A13,Data!$A$2:$A$45,0))="","",INDEX(Data!$AF$2:$AF$45,MATCH($A13,Data!$A$2:$A$45,0))),"")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IFERROR(IF(INDEX(Data!$AG$2:$AG$45,MATCH($A13,Data!$A$2:$A$45,0))="","",INDEX(Data!$AG$2:$AG$45,MATCH($A13,Data!$A$2:$A$45,0))),"")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IFERROR(IF(INDEX(Data!$AH$2:$AH$45,MATCH($A13,Data!$A$2:$A$45,0))="","",INDEX(Data!$AH$2:$AH$45,MATCH($A13,Data!$A$2:$A$45,0))),"")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IFERROR(IF(INDEX(Data!$AI$2:$AI$45,MATCH($A13,Data!$A$2:$A$45,0))="","",INDEX(Data!$AI$2:$AI$45,MATCH($A13,Data!$A$2:$A$45,0))),"")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7" t="n">
        <v>46285</v>
      </c>
      <c r="B14" s="7">
        <f>IFERROR(IF(INDEX(Data!$C$2:$C$45,MATCH($A14,Data!$A$2:$A$45,0))="","",INDEX(Data!$C$2:$C$45,MATCH($A14,Data!$A$2:$A$45,0))),"")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IFERROR(IF(INDEX(Data!$D$2:$D$45,MATCH($A14,Data!$A$2:$A$45,0))="","",INDEX(Data!$D$2:$D$45,MATCH($A14,Data!$A$2:$A$45,0))),"")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IFERROR(IF(INDEX(Data!$E$2:$E$45,MATCH($A14,Data!$A$2:$A$45,0))="","",INDEX(Data!$E$2:$E$45,MATCH($A14,Data!$A$2:$A$45,0))),"")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IFERROR(IF(INDEX(Data!$F$2:$F$45,MATCH($A14,Data!$A$2:$A$45,0))="","",INDEX(Data!$F$2:$F$45,MATCH($A14,Data!$A$2:$A$45,0))),"")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IFERROR(IF(INDEX(Data!$G$2:$G$45,MATCH($A14,Data!$A$2:$A$45,0))="","",INDEX(Data!$G$2:$G$45,MATCH($A14,Data!$A$2:$A$45,0))),"")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IFERROR(IF(INDEX(Data!$H$2:$H$45,MATCH($A14,Data!$A$2:$A$45,0))="","",INDEX(Data!$H$2:$H$45,MATCH($A14,Data!$A$2:$A$45,0))),"")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IFERROR(IF(INDEX(Data!$I$2:$I$45,MATCH($A14,Data!$A$2:$A$45,0))="","",INDEX(Data!$I$2:$I$45,MATCH($A14,Data!$A$2:$A$45,0))),"")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IFERROR(IF(INDEX(Data!$J$2:$J$45,MATCH($A14,Data!$A$2:$A$45,0))="","",INDEX(Data!$J$2:$J$45,MATCH($A14,Data!$A$2:$A$45,0))),"")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IFERROR(IF(INDEX(Data!$K$2:$K$45,MATCH($A14,Data!$A$2:$A$45,0))="","",INDEX(Data!$K$2:$K$45,MATCH($A14,Data!$A$2:$A$45,0))),"")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IFERROR(IF(INDEX(Data!$L$2:$L$45,MATCH($A14,Data!$A$2:$A$45,0))="","",INDEX(Data!$L$2:$L$45,MATCH($A14,Data!$A$2:$A$45,0))),"")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IFERROR(IF(INDEX(Data!$M$2:$M$45,MATCH($A14,Data!$A$2:$A$45,0))="","",INDEX(Data!$M$2:$M$45,MATCH($A14,Data!$A$2:$A$45,0))),"")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IFERROR(IF(INDEX(Data!$N$2:$N$45,MATCH($A14,Data!$A$2:$A$45,0))="","",INDEX(Data!$N$2:$N$45,MATCH($A14,Data!$A$2:$A$45,0))),"")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IFERROR(IF(INDEX(Data!$O$2:$O$45,MATCH($A14,Data!$A$2:$A$45,0))="","",INDEX(Data!$O$2:$O$45,MATCH($A14,Data!$A$2:$A$45,0))),"")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IFERROR(IF(INDEX(Data!$P$2:$P$45,MATCH($A14,Data!$A$2:$A$45,0))="","",INDEX(Data!$P$2:$P$45,MATCH($A14,Data!$A$2:$A$45,0))),"")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IFERROR(IF(INDEX(Data!$Q$2:$Q$45,MATCH($A14,Data!$A$2:$A$45,0))="","",INDEX(Data!$Q$2:$Q$45,MATCH($A14,Data!$A$2:$A$45,0))),"")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IFERROR(IF(INDEX(Data!$R$2:$R$45,MATCH($A14,Data!$A$2:$A$45,0))="","",INDEX(Data!$R$2:$R$45,MATCH($A14,Data!$A$2:$A$45,0))),"")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IFERROR(IF(INDEX(Data!$S$2:$S$45,MATCH($A14,Data!$A$2:$A$45,0))="","",INDEX(Data!$S$2:$S$45,MATCH($A14,Data!$A$2:$A$45,0))),"")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IFERROR(IF(INDEX(Data!$T$2:$T$45,MATCH($A14,Data!$A$2:$A$45,0))="","",INDEX(Data!$T$2:$T$45,MATCH($A14,Data!$A$2:$A$45,0))),"")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IFERROR(IF(INDEX(Data!$U$2:$U$45,MATCH($A14,Data!$A$2:$A$45,0))="","",INDEX(Data!$U$2:$U$45,MATCH($A14,Data!$A$2:$A$45,0))),"")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IFERROR(IF(INDEX(Data!$V$2:$V$45,MATCH($A14,Data!$A$2:$A$45,0))="","",INDEX(Data!$V$2:$V$45,MATCH($A14,Data!$A$2:$A$45,0))),"")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IFERROR(IF(INDEX(Data!$W$2:$W$45,MATCH($A14,Data!$A$2:$A$45,0))="","",INDEX(Data!$W$2:$W$45,MATCH($A14,Data!$A$2:$A$45,0))),"")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IFERROR(IF(INDEX(Data!$X$2:$X$45,MATCH($A14,Data!$A$2:$A$45,0))="","",INDEX(Data!$X$2:$X$45,MATCH($A14,Data!$A$2:$A$45,0))),"")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IFERROR(IF(INDEX(Data!$Y$2:$Y$45,MATCH($A14,Data!$A$2:$A$45,0))="","",INDEX(Data!$Y$2:$Y$45,MATCH($A14,Data!$A$2:$A$45,0))),"")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IFERROR(IF(INDEX(Data!$Z$2:$Z$45,MATCH($A14,Data!$A$2:$A$45,0))="","",INDEX(Data!$Z$2:$Z$45,MATCH($A14,Data!$A$2:$A$45,0))),"")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IFERROR(IF(INDEX(Data!$AA$2:$AA$45,MATCH($A14,Data!$A$2:$A$45,0))="","",INDEX(Data!$AA$2:$AA$45,MATCH($A14,Data!$A$2:$A$45,0))),"")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IFERROR(IF(INDEX(Data!$AB$2:$AB$45,MATCH($A14,Data!$A$2:$A$45,0))="","",INDEX(Data!$AB$2:$AB$45,MATCH($A14,Data!$A$2:$A$45,0))),"")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IFERROR(IF(INDEX(Data!$AC$2:$AC$45,MATCH($A14,Data!$A$2:$A$45,0))="","",INDEX(Data!$AC$2:$AC$45,MATCH($A14,Data!$A$2:$A$45,0))),"")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IFERROR(IF(INDEX(Data!$AD$2:$AD$45,MATCH($A14,Data!$A$2:$A$45,0))="","",INDEX(Data!$AD$2:$AD$45,MATCH($A14,Data!$A$2:$A$45,0))),"")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IFERROR(IF(INDEX(Data!$AE$2:$AE$45,MATCH($A14,Data!$A$2:$A$45,0))="","",INDEX(Data!$AE$2:$AE$45,MATCH($A14,Data!$A$2:$A$45,0))),"")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IFERROR(IF(INDEX(Data!$AF$2:$AF$45,MATCH($A14,Data!$A$2:$A$45,0))="","",INDEX(Data!$AF$2:$AF$45,MATCH($A14,Data!$A$2:$A$45,0))),"")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IFERROR(IF(INDEX(Data!$AG$2:$AG$45,MATCH($A14,Data!$A$2:$A$45,0))="","",INDEX(Data!$AG$2:$AG$45,MATCH($A14,Data!$A$2:$A$45,0))),"")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IFERROR(IF(INDEX(Data!$AH$2:$AH$45,MATCH($A14,Data!$A$2:$A$45,0))="","",INDEX(Data!$AH$2:$AH$45,MATCH($A14,Data!$A$2:$A$45,0))),"")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IFERROR(IF(INDEX(Data!$AI$2:$AI$45,MATCH($A14,Data!$A$2:$A$45,0))="","",INDEX(Data!$AI$2:$AI$45,MATCH($A14,Data!$A$2:$A$45,0))),"")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7" t="n">
        <v>46284</v>
      </c>
      <c r="B15" s="7">
        <f>IFERROR(IF(INDEX(Data!$C$2:$C$45,MATCH($A15,Data!$A$2:$A$45,0))="","",INDEX(Data!$C$2:$C$45,MATCH($A15,Data!$A$2:$A$45,0))),"")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IFERROR(IF(INDEX(Data!$D$2:$D$45,MATCH($A15,Data!$A$2:$A$45,0))="","",INDEX(Data!$D$2:$D$45,MATCH($A15,Data!$A$2:$A$45,0))),"")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IFERROR(IF(INDEX(Data!$E$2:$E$45,MATCH($A15,Data!$A$2:$A$45,0))="","",INDEX(Data!$E$2:$E$45,MATCH($A15,Data!$A$2:$A$45,0))),"")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IFERROR(IF(INDEX(Data!$F$2:$F$45,MATCH($A15,Data!$A$2:$A$45,0))="","",INDEX(Data!$F$2:$F$45,MATCH($A15,Data!$A$2:$A$45,0))),"")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IFERROR(IF(INDEX(Data!$G$2:$G$45,MATCH($A15,Data!$A$2:$A$45,0))="","",INDEX(Data!$G$2:$G$45,MATCH($A15,Data!$A$2:$A$45,0))),"")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IFERROR(IF(INDEX(Data!$H$2:$H$45,MATCH($A15,Data!$A$2:$A$45,0))="","",INDEX(Data!$H$2:$H$45,MATCH($A15,Data!$A$2:$A$45,0))),"")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IFERROR(IF(INDEX(Data!$I$2:$I$45,MATCH($A15,Data!$A$2:$A$45,0))="","",INDEX(Data!$I$2:$I$45,MATCH($A15,Data!$A$2:$A$45,0))),"")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IFERROR(IF(INDEX(Data!$J$2:$J$45,MATCH($A15,Data!$A$2:$A$45,0))="","",INDEX(Data!$J$2:$J$45,MATCH($A15,Data!$A$2:$A$45,0))),"")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IFERROR(IF(INDEX(Data!$K$2:$K$45,MATCH($A15,Data!$A$2:$A$45,0))="","",INDEX(Data!$K$2:$K$45,MATCH($A15,Data!$A$2:$A$45,0))),"")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IFERROR(IF(INDEX(Data!$L$2:$L$45,MATCH($A15,Data!$A$2:$A$45,0))="","",INDEX(Data!$L$2:$L$45,MATCH($A15,Data!$A$2:$A$45,0))),"")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IFERROR(IF(INDEX(Data!$M$2:$M$45,MATCH($A15,Data!$A$2:$A$45,0))="","",INDEX(Data!$M$2:$M$45,MATCH($A15,Data!$A$2:$A$45,0))),"")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IFERROR(IF(INDEX(Data!$N$2:$N$45,MATCH($A15,Data!$A$2:$A$45,0))="","",INDEX(Data!$N$2:$N$45,MATCH($A15,Data!$A$2:$A$45,0))),"")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IFERROR(IF(INDEX(Data!$O$2:$O$45,MATCH($A15,Data!$A$2:$A$45,0))="","",INDEX(Data!$O$2:$O$45,MATCH($A15,Data!$A$2:$A$45,0))),"")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IFERROR(IF(INDEX(Data!$P$2:$P$45,MATCH($A15,Data!$A$2:$A$45,0))="","",INDEX(Data!$P$2:$P$45,MATCH($A15,Data!$A$2:$A$45,0))),"")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IFERROR(IF(INDEX(Data!$Q$2:$Q$45,MATCH($A15,Data!$A$2:$A$45,0))="","",INDEX(Data!$Q$2:$Q$45,MATCH($A15,Data!$A$2:$A$45,0))),"")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IFERROR(IF(INDEX(Data!$R$2:$R$45,MATCH($A15,Data!$A$2:$A$45,0))="","",INDEX(Data!$R$2:$R$45,MATCH($A15,Data!$A$2:$A$45,0))),"")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IFERROR(IF(INDEX(Data!$S$2:$S$45,MATCH($A15,Data!$A$2:$A$45,0))="","",INDEX(Data!$S$2:$S$45,MATCH($A15,Data!$A$2:$A$45,0))),"")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IFERROR(IF(INDEX(Data!$T$2:$T$45,MATCH($A15,Data!$A$2:$A$45,0))="","",INDEX(Data!$T$2:$T$45,MATCH($A15,Data!$A$2:$A$45,0))),"")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IFERROR(IF(INDEX(Data!$U$2:$U$45,MATCH($A15,Data!$A$2:$A$45,0))="","",INDEX(Data!$U$2:$U$45,MATCH($A15,Data!$A$2:$A$45,0))),"")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IFERROR(IF(INDEX(Data!$V$2:$V$45,MATCH($A15,Data!$A$2:$A$45,0))="","",INDEX(Data!$V$2:$V$45,MATCH($A15,Data!$A$2:$A$45,0))),"")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IFERROR(IF(INDEX(Data!$W$2:$W$45,MATCH($A15,Data!$A$2:$A$45,0))="","",INDEX(Data!$W$2:$W$45,MATCH($A15,Data!$A$2:$A$45,0))),"")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IFERROR(IF(INDEX(Data!$X$2:$X$45,MATCH($A15,Data!$A$2:$A$45,0))="","",INDEX(Data!$X$2:$X$45,MATCH($A15,Data!$A$2:$A$45,0))),"")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IFERROR(IF(INDEX(Data!$Y$2:$Y$45,MATCH($A15,Data!$A$2:$A$45,0))="","",INDEX(Data!$Y$2:$Y$45,MATCH($A15,Data!$A$2:$A$45,0))),"")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IFERROR(IF(INDEX(Data!$Z$2:$Z$45,MATCH($A15,Data!$A$2:$A$45,0))="","",INDEX(Data!$Z$2:$Z$45,MATCH($A15,Data!$A$2:$A$45,0))),"")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IFERROR(IF(INDEX(Data!$AA$2:$AA$45,MATCH($A15,Data!$A$2:$A$45,0))="","",INDEX(Data!$AA$2:$AA$45,MATCH($A15,Data!$A$2:$A$45,0))),"")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IFERROR(IF(INDEX(Data!$AB$2:$AB$45,MATCH($A15,Data!$A$2:$A$45,0))="","",INDEX(Data!$AB$2:$AB$45,MATCH($A15,Data!$A$2:$A$45,0))),"")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IFERROR(IF(INDEX(Data!$AC$2:$AC$45,MATCH($A15,Data!$A$2:$A$45,0))="","",INDEX(Data!$AC$2:$AC$45,MATCH($A15,Data!$A$2:$A$45,0))),"")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IFERROR(IF(INDEX(Data!$AD$2:$AD$45,MATCH($A15,Data!$A$2:$A$45,0))="","",INDEX(Data!$AD$2:$AD$45,MATCH($A15,Data!$A$2:$A$45,0))),"")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IFERROR(IF(INDEX(Data!$AE$2:$AE$45,MATCH($A15,Data!$A$2:$A$45,0))="","",INDEX(Data!$AE$2:$AE$45,MATCH($A15,Data!$A$2:$A$45,0))),"")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IFERROR(IF(INDEX(Data!$AF$2:$AF$45,MATCH($A15,Data!$A$2:$A$45,0))="","",INDEX(Data!$AF$2:$AF$45,MATCH($A15,Data!$A$2:$A$45,0))),"")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IFERROR(IF(INDEX(Data!$AG$2:$AG$45,MATCH($A15,Data!$A$2:$A$45,0))="","",INDEX(Data!$AG$2:$AG$45,MATCH($A15,Data!$A$2:$A$45,0))),"")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IFERROR(IF(INDEX(Data!$AH$2:$AH$45,MATCH($A15,Data!$A$2:$A$45,0))="","",INDEX(Data!$AH$2:$AH$45,MATCH($A15,Data!$A$2:$A$45,0))),"")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IFERROR(IF(INDEX(Data!$AI$2:$AI$45,MATCH($A15,Data!$A$2:$A$45,0))="","",INDEX(Data!$AI$2:$AI$45,MATCH($A15,Data!$A$2:$A$45,0))),"")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7" t="n">
        <v>46283</v>
      </c>
      <c r="B16" s="7">
        <f>IFERROR(IF(INDEX(Data!$C$2:$C$45,MATCH($A16,Data!$A$2:$A$45,0))="","",INDEX(Data!$C$2:$C$45,MATCH($A16,Data!$A$2:$A$45,0))),"")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IFERROR(IF(INDEX(Data!$D$2:$D$45,MATCH($A16,Data!$A$2:$A$45,0))="","",INDEX(Data!$D$2:$D$45,MATCH($A16,Data!$A$2:$A$45,0))),"")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IFERROR(IF(INDEX(Data!$E$2:$E$45,MATCH($A16,Data!$A$2:$A$45,0))="","",INDEX(Data!$E$2:$E$45,MATCH($A16,Data!$A$2:$A$45,0))),"")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IFERROR(IF(INDEX(Data!$F$2:$F$45,MATCH($A16,Data!$A$2:$A$45,0))="","",INDEX(Data!$F$2:$F$45,MATCH($A16,Data!$A$2:$A$45,0))),"")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IFERROR(IF(INDEX(Data!$G$2:$G$45,MATCH($A16,Data!$A$2:$A$45,0))="","",INDEX(Data!$G$2:$G$45,MATCH($A16,Data!$A$2:$A$45,0))),"")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IFERROR(IF(INDEX(Data!$H$2:$H$45,MATCH($A16,Data!$A$2:$A$45,0))="","",INDEX(Data!$H$2:$H$45,MATCH($A16,Data!$A$2:$A$45,0))),"")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IFERROR(IF(INDEX(Data!$I$2:$I$45,MATCH($A16,Data!$A$2:$A$45,0))="","",INDEX(Data!$I$2:$I$45,MATCH($A16,Data!$A$2:$A$45,0))),"")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IFERROR(IF(INDEX(Data!$J$2:$J$45,MATCH($A16,Data!$A$2:$A$45,0))="","",INDEX(Data!$J$2:$J$45,MATCH($A16,Data!$A$2:$A$45,0))),"")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IFERROR(IF(INDEX(Data!$K$2:$K$45,MATCH($A16,Data!$A$2:$A$45,0))="","",INDEX(Data!$K$2:$K$45,MATCH($A16,Data!$A$2:$A$45,0))),"")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IFERROR(IF(INDEX(Data!$L$2:$L$45,MATCH($A16,Data!$A$2:$A$45,0))="","",INDEX(Data!$L$2:$L$45,MATCH($A16,Data!$A$2:$A$45,0))),"")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IFERROR(IF(INDEX(Data!$M$2:$M$45,MATCH($A16,Data!$A$2:$A$45,0))="","",INDEX(Data!$M$2:$M$45,MATCH($A16,Data!$A$2:$A$45,0))),"")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IFERROR(IF(INDEX(Data!$N$2:$N$45,MATCH($A16,Data!$A$2:$A$45,0))="","",INDEX(Data!$N$2:$N$45,MATCH($A16,Data!$A$2:$A$45,0))),"")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IFERROR(IF(INDEX(Data!$O$2:$O$45,MATCH($A16,Data!$A$2:$A$45,0))="","",INDEX(Data!$O$2:$O$45,MATCH($A16,Data!$A$2:$A$45,0))),"")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IFERROR(IF(INDEX(Data!$P$2:$P$45,MATCH($A16,Data!$A$2:$A$45,0))="","",INDEX(Data!$P$2:$P$45,MATCH($A16,Data!$A$2:$A$45,0))),"")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IFERROR(IF(INDEX(Data!$Q$2:$Q$45,MATCH($A16,Data!$A$2:$A$45,0))="","",INDEX(Data!$Q$2:$Q$45,MATCH($A16,Data!$A$2:$A$45,0))),"")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IFERROR(IF(INDEX(Data!$R$2:$R$45,MATCH($A16,Data!$A$2:$A$45,0))="","",INDEX(Data!$R$2:$R$45,MATCH($A16,Data!$A$2:$A$45,0))),"")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IFERROR(IF(INDEX(Data!$S$2:$S$45,MATCH($A16,Data!$A$2:$A$45,0))="","",INDEX(Data!$S$2:$S$45,MATCH($A16,Data!$A$2:$A$45,0))),"")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IFERROR(IF(INDEX(Data!$T$2:$T$45,MATCH($A16,Data!$A$2:$A$45,0))="","",INDEX(Data!$T$2:$T$45,MATCH($A16,Data!$A$2:$A$45,0))),"")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IFERROR(IF(INDEX(Data!$U$2:$U$45,MATCH($A16,Data!$A$2:$A$45,0))="","",INDEX(Data!$U$2:$U$45,MATCH($A16,Data!$A$2:$A$45,0))),"")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IFERROR(IF(INDEX(Data!$V$2:$V$45,MATCH($A16,Data!$A$2:$A$45,0))="","",INDEX(Data!$V$2:$V$45,MATCH($A16,Data!$A$2:$A$45,0))),"")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IFERROR(IF(INDEX(Data!$W$2:$W$45,MATCH($A16,Data!$A$2:$A$45,0))="","",INDEX(Data!$W$2:$W$45,MATCH($A16,Data!$A$2:$A$45,0))),"")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IFERROR(IF(INDEX(Data!$X$2:$X$45,MATCH($A16,Data!$A$2:$A$45,0))="","",INDEX(Data!$X$2:$X$45,MATCH($A16,Data!$A$2:$A$45,0))),"")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IFERROR(IF(INDEX(Data!$Y$2:$Y$45,MATCH($A16,Data!$A$2:$A$45,0))="","",INDEX(Data!$Y$2:$Y$45,MATCH($A16,Data!$A$2:$A$45,0))),"")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IFERROR(IF(INDEX(Data!$Z$2:$Z$45,MATCH($A16,Data!$A$2:$A$45,0))="","",INDEX(Data!$Z$2:$Z$45,MATCH($A16,Data!$A$2:$A$45,0))),"")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IFERROR(IF(INDEX(Data!$AA$2:$AA$45,MATCH($A16,Data!$A$2:$A$45,0))="","",INDEX(Data!$AA$2:$AA$45,MATCH($A16,Data!$A$2:$A$45,0))),"")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IFERROR(IF(INDEX(Data!$AB$2:$AB$45,MATCH($A16,Data!$A$2:$A$45,0))="","",INDEX(Data!$AB$2:$AB$45,MATCH($A16,Data!$A$2:$A$45,0))),"")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IFERROR(IF(INDEX(Data!$AC$2:$AC$45,MATCH($A16,Data!$A$2:$A$45,0))="","",INDEX(Data!$AC$2:$AC$45,MATCH($A16,Data!$A$2:$A$45,0))),"")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IFERROR(IF(INDEX(Data!$AD$2:$AD$45,MATCH($A16,Data!$A$2:$A$45,0))="","",INDEX(Data!$AD$2:$AD$45,MATCH($A16,Data!$A$2:$A$45,0))),"")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IFERROR(IF(INDEX(Data!$AE$2:$AE$45,MATCH($A16,Data!$A$2:$A$45,0))="","",INDEX(Data!$AE$2:$AE$45,MATCH($A16,Data!$A$2:$A$45,0))),"")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IFERROR(IF(INDEX(Data!$AF$2:$AF$45,MATCH($A16,Data!$A$2:$A$45,0))="","",INDEX(Data!$AF$2:$AF$45,MATCH($A16,Data!$A$2:$A$45,0))),"")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IFERROR(IF(INDEX(Data!$AG$2:$AG$45,MATCH($A16,Data!$A$2:$A$45,0))="","",INDEX(Data!$AG$2:$AG$45,MATCH($A16,Data!$A$2:$A$45,0))),"")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IFERROR(IF(INDEX(Data!$AH$2:$AH$45,MATCH($A16,Data!$A$2:$A$45,0))="","",INDEX(Data!$AH$2:$AH$45,MATCH($A16,Data!$A$2:$A$45,0))),"")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IFERROR(IF(INDEX(Data!$AI$2:$AI$45,MATCH($A16,Data!$A$2:$A$45,0))="","",INDEX(Data!$AI$2:$AI$45,MATCH($A16,Data!$A$2:$A$45,0))),"")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7" t="n">
        <v>46282</v>
      </c>
      <c r="B17" s="7">
        <f>IFERROR(IF(INDEX(Data!$C$2:$C$45,MATCH($A17,Data!$A$2:$A$45,0))="","",INDEX(Data!$C$2:$C$45,MATCH($A17,Data!$A$2:$A$45,0))),"")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IFERROR(IF(INDEX(Data!$D$2:$D$45,MATCH($A17,Data!$A$2:$A$45,0))="","",INDEX(Data!$D$2:$D$45,MATCH($A17,Data!$A$2:$A$45,0))),"")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IFERROR(IF(INDEX(Data!$E$2:$E$45,MATCH($A17,Data!$A$2:$A$45,0))="","",INDEX(Data!$E$2:$E$45,MATCH($A17,Data!$A$2:$A$45,0))),"")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IFERROR(IF(INDEX(Data!$F$2:$F$45,MATCH($A17,Data!$A$2:$A$45,0))="","",INDEX(Data!$F$2:$F$45,MATCH($A17,Data!$A$2:$A$45,0))),"")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IFERROR(IF(INDEX(Data!$G$2:$G$45,MATCH($A17,Data!$A$2:$A$45,0))="","",INDEX(Data!$G$2:$G$45,MATCH($A17,Data!$A$2:$A$45,0))),"")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IFERROR(IF(INDEX(Data!$H$2:$H$45,MATCH($A17,Data!$A$2:$A$45,0))="","",INDEX(Data!$H$2:$H$45,MATCH($A17,Data!$A$2:$A$45,0))),"")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IFERROR(IF(INDEX(Data!$I$2:$I$45,MATCH($A17,Data!$A$2:$A$45,0))="","",INDEX(Data!$I$2:$I$45,MATCH($A17,Data!$A$2:$A$45,0))),"")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IFERROR(IF(INDEX(Data!$J$2:$J$45,MATCH($A17,Data!$A$2:$A$45,0))="","",INDEX(Data!$J$2:$J$45,MATCH($A17,Data!$A$2:$A$45,0))),"")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IFERROR(IF(INDEX(Data!$K$2:$K$45,MATCH($A17,Data!$A$2:$A$45,0))="","",INDEX(Data!$K$2:$K$45,MATCH($A17,Data!$A$2:$A$45,0))),"")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IFERROR(IF(INDEX(Data!$L$2:$L$45,MATCH($A17,Data!$A$2:$A$45,0))="","",INDEX(Data!$L$2:$L$45,MATCH($A17,Data!$A$2:$A$45,0))),"")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IFERROR(IF(INDEX(Data!$M$2:$M$45,MATCH($A17,Data!$A$2:$A$45,0))="","",INDEX(Data!$M$2:$M$45,MATCH($A17,Data!$A$2:$A$45,0))),"")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IFERROR(IF(INDEX(Data!$N$2:$N$45,MATCH($A17,Data!$A$2:$A$45,0))="","",INDEX(Data!$N$2:$N$45,MATCH($A17,Data!$A$2:$A$45,0))),"")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IFERROR(IF(INDEX(Data!$O$2:$O$45,MATCH($A17,Data!$A$2:$A$45,0))="","",INDEX(Data!$O$2:$O$45,MATCH($A17,Data!$A$2:$A$45,0))),"")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IFERROR(IF(INDEX(Data!$P$2:$P$45,MATCH($A17,Data!$A$2:$A$45,0))="","",INDEX(Data!$P$2:$P$45,MATCH($A17,Data!$A$2:$A$45,0))),"")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IFERROR(IF(INDEX(Data!$Q$2:$Q$45,MATCH($A17,Data!$A$2:$A$45,0))="","",INDEX(Data!$Q$2:$Q$45,MATCH($A17,Data!$A$2:$A$45,0))),"")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IFERROR(IF(INDEX(Data!$R$2:$R$45,MATCH($A17,Data!$A$2:$A$45,0))="","",INDEX(Data!$R$2:$R$45,MATCH($A17,Data!$A$2:$A$45,0))),"")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IFERROR(IF(INDEX(Data!$S$2:$S$45,MATCH($A17,Data!$A$2:$A$45,0))="","",INDEX(Data!$S$2:$S$45,MATCH($A17,Data!$A$2:$A$45,0))),"")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IFERROR(IF(INDEX(Data!$T$2:$T$45,MATCH($A17,Data!$A$2:$A$45,0))="","",INDEX(Data!$T$2:$T$45,MATCH($A17,Data!$A$2:$A$45,0))),"")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IFERROR(IF(INDEX(Data!$U$2:$U$45,MATCH($A17,Data!$A$2:$A$45,0))="","",INDEX(Data!$U$2:$U$45,MATCH($A17,Data!$A$2:$A$45,0))),"")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IFERROR(IF(INDEX(Data!$V$2:$V$45,MATCH($A17,Data!$A$2:$A$45,0))="","",INDEX(Data!$V$2:$V$45,MATCH($A17,Data!$A$2:$A$45,0))),"")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IFERROR(IF(INDEX(Data!$W$2:$W$45,MATCH($A17,Data!$A$2:$A$45,0))="","",INDEX(Data!$W$2:$W$45,MATCH($A17,Data!$A$2:$A$45,0))),"")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IFERROR(IF(INDEX(Data!$X$2:$X$45,MATCH($A17,Data!$A$2:$A$45,0))="","",INDEX(Data!$X$2:$X$45,MATCH($A17,Data!$A$2:$A$45,0))),"")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IFERROR(IF(INDEX(Data!$Y$2:$Y$45,MATCH($A17,Data!$A$2:$A$45,0))="","",INDEX(Data!$Y$2:$Y$45,MATCH($A17,Data!$A$2:$A$45,0))),"")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IFERROR(IF(INDEX(Data!$Z$2:$Z$45,MATCH($A17,Data!$A$2:$A$45,0))="","",INDEX(Data!$Z$2:$Z$45,MATCH($A17,Data!$A$2:$A$45,0))),"")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IFERROR(IF(INDEX(Data!$AA$2:$AA$45,MATCH($A17,Data!$A$2:$A$45,0))="","",INDEX(Data!$AA$2:$AA$45,MATCH($A17,Data!$A$2:$A$45,0))),"")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IFERROR(IF(INDEX(Data!$AB$2:$AB$45,MATCH($A17,Data!$A$2:$A$45,0))="","",INDEX(Data!$AB$2:$AB$45,MATCH($A17,Data!$A$2:$A$45,0))),"")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IFERROR(IF(INDEX(Data!$AC$2:$AC$45,MATCH($A17,Data!$A$2:$A$45,0))="","",INDEX(Data!$AC$2:$AC$45,MATCH($A17,Data!$A$2:$A$45,0))),"")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IFERROR(IF(INDEX(Data!$AD$2:$AD$45,MATCH($A17,Data!$A$2:$A$45,0))="","",INDEX(Data!$AD$2:$AD$45,MATCH($A17,Data!$A$2:$A$45,0))),"")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IFERROR(IF(INDEX(Data!$AE$2:$AE$45,MATCH($A17,Data!$A$2:$A$45,0))="","",INDEX(Data!$AE$2:$AE$45,MATCH($A17,Data!$A$2:$A$45,0))),"")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IFERROR(IF(INDEX(Data!$AF$2:$AF$45,MATCH($A17,Data!$A$2:$A$45,0))="","",INDEX(Data!$AF$2:$AF$45,MATCH($A17,Data!$A$2:$A$45,0))),"")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IFERROR(IF(INDEX(Data!$AG$2:$AG$45,MATCH($A17,Data!$A$2:$A$45,0))="","",INDEX(Data!$AG$2:$AG$45,MATCH($A17,Data!$A$2:$A$45,0))),"")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IFERROR(IF(INDEX(Data!$AH$2:$AH$45,MATCH($A17,Data!$A$2:$A$45,0))="","",INDEX(Data!$AH$2:$AH$45,MATCH($A17,Data!$A$2:$A$45,0))),"")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IFERROR(IF(INDEX(Data!$AI$2:$AI$45,MATCH($A17,Data!$A$2:$A$45,0))="","",INDEX(Data!$AI$2:$AI$45,MATCH($A17,Data!$A$2:$A$45,0))),"")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7" t="n">
        <v>46281</v>
      </c>
      <c r="B18" s="7">
        <f>IFERROR(IF(INDEX(Data!$C$2:$C$45,MATCH($A18,Data!$A$2:$A$45,0))="","",INDEX(Data!$C$2:$C$45,MATCH($A18,Data!$A$2:$A$45,0))),"")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IFERROR(IF(INDEX(Data!$D$2:$D$45,MATCH($A18,Data!$A$2:$A$45,0))="","",INDEX(Data!$D$2:$D$45,MATCH($A18,Data!$A$2:$A$45,0))),"")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IFERROR(IF(INDEX(Data!$E$2:$E$45,MATCH($A18,Data!$A$2:$A$45,0))="","",INDEX(Data!$E$2:$E$45,MATCH($A18,Data!$A$2:$A$45,0))),"")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IFERROR(IF(INDEX(Data!$F$2:$F$45,MATCH($A18,Data!$A$2:$A$45,0))="","",INDEX(Data!$F$2:$F$45,MATCH($A18,Data!$A$2:$A$45,0))),"")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IFERROR(IF(INDEX(Data!$G$2:$G$45,MATCH($A18,Data!$A$2:$A$45,0))="","",INDEX(Data!$G$2:$G$45,MATCH($A18,Data!$A$2:$A$45,0))),"")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IFERROR(IF(INDEX(Data!$H$2:$H$45,MATCH($A18,Data!$A$2:$A$45,0))="","",INDEX(Data!$H$2:$H$45,MATCH($A18,Data!$A$2:$A$45,0))),"")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IFERROR(IF(INDEX(Data!$I$2:$I$45,MATCH($A18,Data!$A$2:$A$45,0))="","",INDEX(Data!$I$2:$I$45,MATCH($A18,Data!$A$2:$A$45,0))),"")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IFERROR(IF(INDEX(Data!$J$2:$J$45,MATCH($A18,Data!$A$2:$A$45,0))="","",INDEX(Data!$J$2:$J$45,MATCH($A18,Data!$A$2:$A$45,0))),"")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IFERROR(IF(INDEX(Data!$K$2:$K$45,MATCH($A18,Data!$A$2:$A$45,0))="","",INDEX(Data!$K$2:$K$45,MATCH($A18,Data!$A$2:$A$45,0))),"")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IFERROR(IF(INDEX(Data!$L$2:$L$45,MATCH($A18,Data!$A$2:$A$45,0))="","",INDEX(Data!$L$2:$L$45,MATCH($A18,Data!$A$2:$A$45,0))),"")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IFERROR(IF(INDEX(Data!$M$2:$M$45,MATCH($A18,Data!$A$2:$A$45,0))="","",INDEX(Data!$M$2:$M$45,MATCH($A18,Data!$A$2:$A$45,0))),"")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IFERROR(IF(INDEX(Data!$N$2:$N$45,MATCH($A18,Data!$A$2:$A$45,0))="","",INDEX(Data!$N$2:$N$45,MATCH($A18,Data!$A$2:$A$45,0))),"")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IFERROR(IF(INDEX(Data!$O$2:$O$45,MATCH($A18,Data!$A$2:$A$45,0))="","",INDEX(Data!$O$2:$O$45,MATCH($A18,Data!$A$2:$A$45,0))),"")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IFERROR(IF(INDEX(Data!$P$2:$P$45,MATCH($A18,Data!$A$2:$A$45,0))="","",INDEX(Data!$P$2:$P$45,MATCH($A18,Data!$A$2:$A$45,0))),"")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IFERROR(IF(INDEX(Data!$Q$2:$Q$45,MATCH($A18,Data!$A$2:$A$45,0))="","",INDEX(Data!$Q$2:$Q$45,MATCH($A18,Data!$A$2:$A$45,0))),"")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IFERROR(IF(INDEX(Data!$R$2:$R$45,MATCH($A18,Data!$A$2:$A$45,0))="","",INDEX(Data!$R$2:$R$45,MATCH($A18,Data!$A$2:$A$45,0))),"")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IFERROR(IF(INDEX(Data!$S$2:$S$45,MATCH($A18,Data!$A$2:$A$45,0))="","",INDEX(Data!$S$2:$S$45,MATCH($A18,Data!$A$2:$A$45,0))),"")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IFERROR(IF(INDEX(Data!$T$2:$T$45,MATCH($A18,Data!$A$2:$A$45,0))="","",INDEX(Data!$T$2:$T$45,MATCH($A18,Data!$A$2:$A$45,0))),"")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IFERROR(IF(INDEX(Data!$U$2:$U$45,MATCH($A18,Data!$A$2:$A$45,0))="","",INDEX(Data!$U$2:$U$45,MATCH($A18,Data!$A$2:$A$45,0))),"")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IFERROR(IF(INDEX(Data!$V$2:$V$45,MATCH($A18,Data!$A$2:$A$45,0))="","",INDEX(Data!$V$2:$V$45,MATCH($A18,Data!$A$2:$A$45,0))),"")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IFERROR(IF(INDEX(Data!$W$2:$W$45,MATCH($A18,Data!$A$2:$A$45,0))="","",INDEX(Data!$W$2:$W$45,MATCH($A18,Data!$A$2:$A$45,0))),"")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IFERROR(IF(INDEX(Data!$X$2:$X$45,MATCH($A18,Data!$A$2:$A$45,0))="","",INDEX(Data!$X$2:$X$45,MATCH($A18,Data!$A$2:$A$45,0))),"")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IFERROR(IF(INDEX(Data!$Y$2:$Y$45,MATCH($A18,Data!$A$2:$A$45,0))="","",INDEX(Data!$Y$2:$Y$45,MATCH($A18,Data!$A$2:$A$45,0))),"")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IFERROR(IF(INDEX(Data!$Z$2:$Z$45,MATCH($A18,Data!$A$2:$A$45,0))="","",INDEX(Data!$Z$2:$Z$45,MATCH($A18,Data!$A$2:$A$45,0))),"")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IFERROR(IF(INDEX(Data!$AA$2:$AA$45,MATCH($A18,Data!$A$2:$A$45,0))="","",INDEX(Data!$AA$2:$AA$45,MATCH($A18,Data!$A$2:$A$45,0))),"")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IFERROR(IF(INDEX(Data!$AB$2:$AB$45,MATCH($A18,Data!$A$2:$A$45,0))="","",INDEX(Data!$AB$2:$AB$45,MATCH($A18,Data!$A$2:$A$45,0))),"")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IFERROR(IF(INDEX(Data!$AC$2:$AC$45,MATCH($A18,Data!$A$2:$A$45,0))="","",INDEX(Data!$AC$2:$AC$45,MATCH($A18,Data!$A$2:$A$45,0))),"")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IFERROR(IF(INDEX(Data!$AD$2:$AD$45,MATCH($A18,Data!$A$2:$A$45,0))="","",INDEX(Data!$AD$2:$AD$45,MATCH($A18,Data!$A$2:$A$45,0))),"")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IFERROR(IF(INDEX(Data!$AE$2:$AE$45,MATCH($A18,Data!$A$2:$A$45,0))="","",INDEX(Data!$AE$2:$AE$45,MATCH($A18,Data!$A$2:$A$45,0))),"")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IFERROR(IF(INDEX(Data!$AF$2:$AF$45,MATCH($A18,Data!$A$2:$A$45,0))="","",INDEX(Data!$AF$2:$AF$45,MATCH($A18,Data!$A$2:$A$45,0))),"")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IFERROR(IF(INDEX(Data!$AG$2:$AG$45,MATCH($A18,Data!$A$2:$A$45,0))="","",INDEX(Data!$AG$2:$AG$45,MATCH($A18,Data!$A$2:$A$45,0))),"")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IFERROR(IF(INDEX(Data!$AH$2:$AH$45,MATCH($A18,Data!$A$2:$A$45,0))="","",INDEX(Data!$AH$2:$AH$45,MATCH($A18,Data!$A$2:$A$45,0))),"")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IFERROR(IF(INDEX(Data!$AI$2:$AI$45,MATCH($A18,Data!$A$2:$A$45,0))="","",INDEX(Data!$AI$2:$AI$45,MATCH($A18,Data!$A$2:$A$45,0))),"")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  <row r="19">
      <c r="A19" s="27" t="n">
        <v>46280</v>
      </c>
      <c r="B19" s="7">
        <f>IFERROR(IF(INDEX(Data!$C$2:$C$45,MATCH($A19,Data!$A$2:$A$45,0))="","",INDEX(Data!$C$2:$C$45,MATCH($A19,Data!$A$2:$A$45,0))),"")</f>
        <v/>
      </c>
      <c r="C19" s="14">
        <f>IF(AND(ISNUMBER(B19),ISNUMBER(Summary!$E$6)),B19-Summary!$E$6,"")</f>
        <v/>
      </c>
      <c r="D19" s="14">
        <f>IF(AND(ISNUMBER(B19),ISNUMBER(Summary!$G$6)),B19-Summary!$G$6,"")</f>
        <v/>
      </c>
      <c r="E19" s="7">
        <f>IFERROR(IF(INDEX(Data!$D$2:$D$45,MATCH($A19,Data!$A$2:$A$45,0))="","",INDEX(Data!$D$2:$D$45,MATCH($A19,Data!$A$2:$A$45,0))),"")</f>
        <v/>
      </c>
      <c r="F19" s="14">
        <f>IF(AND(ISNUMBER(E19),ISNUMBER(Summary!$E$7)),E19-Summary!$E$7,"")</f>
        <v/>
      </c>
      <c r="G19" s="14">
        <f>IF(AND(ISNUMBER(E19),ISNUMBER(Summary!$G$7)),E19-Summary!$G$7,"")</f>
        <v/>
      </c>
      <c r="H19" s="7">
        <f>IFERROR(IF(INDEX(Data!$E$2:$E$45,MATCH($A19,Data!$A$2:$A$45,0))="","",INDEX(Data!$E$2:$E$45,MATCH($A19,Data!$A$2:$A$45,0))),"")</f>
        <v/>
      </c>
      <c r="I19" s="14">
        <f>IF(AND(ISNUMBER(H19),ISNUMBER(Summary!$E$8)),H19-Summary!$E$8,"")</f>
        <v/>
      </c>
      <c r="J19" s="14">
        <f>IF(AND(ISNUMBER(H19),ISNUMBER(Summary!$G$8)),H19-Summary!$G$8,"")</f>
        <v/>
      </c>
      <c r="K19" s="7">
        <f>IFERROR(IF(INDEX(Data!$F$2:$F$45,MATCH($A19,Data!$A$2:$A$45,0))="","",INDEX(Data!$F$2:$F$45,MATCH($A19,Data!$A$2:$A$45,0))),"")</f>
        <v/>
      </c>
      <c r="L19" s="14">
        <f>IF(AND(ISNUMBER(K19),ISNUMBER(Summary!$E$9)),K19-Summary!$E$9,"")</f>
        <v/>
      </c>
      <c r="M19" s="14">
        <f>IF(AND(ISNUMBER(K19),ISNUMBER(Summary!$G$9)),K19-Summary!$G$9,"")</f>
        <v/>
      </c>
      <c r="N19" s="7">
        <f>IFERROR(IF(INDEX(Data!$G$2:$G$45,MATCH($A19,Data!$A$2:$A$45,0))="","",INDEX(Data!$G$2:$G$45,MATCH($A19,Data!$A$2:$A$45,0))),"")</f>
        <v/>
      </c>
      <c r="O19" s="14">
        <f>IF(AND(ISNUMBER(N19),ISNUMBER(Summary!$E$10)),N19-Summary!$E$10,"")</f>
        <v/>
      </c>
      <c r="P19" s="14">
        <f>IF(AND(ISNUMBER(N19),ISNUMBER(Summary!$G$10)),N19-Summary!$G$10,"")</f>
        <v/>
      </c>
      <c r="Q19" s="7">
        <f>IFERROR(IF(INDEX(Data!$H$2:$H$45,MATCH($A19,Data!$A$2:$A$45,0))="","",INDEX(Data!$H$2:$H$45,MATCH($A19,Data!$A$2:$A$45,0))),"")</f>
        <v/>
      </c>
      <c r="R19" s="14">
        <f>IF(AND(ISNUMBER(Q19),ISNUMBER(Summary!$E$11)),Q19-Summary!$E$11,"")</f>
        <v/>
      </c>
      <c r="S19" s="14">
        <f>IF(AND(ISNUMBER(Q19),ISNUMBER(Summary!$G$11)),Q19-Summary!$G$11,"")</f>
        <v/>
      </c>
      <c r="T19" s="7">
        <f>IFERROR(IF(INDEX(Data!$I$2:$I$45,MATCH($A19,Data!$A$2:$A$45,0))="","",INDEX(Data!$I$2:$I$45,MATCH($A19,Data!$A$2:$A$45,0))),"")</f>
        <v/>
      </c>
      <c r="U19" s="14">
        <f>IF(AND(ISNUMBER(T19),ISNUMBER(Summary!$E$12)),T19-Summary!$E$12,"")</f>
        <v/>
      </c>
      <c r="V19" s="14">
        <f>IF(AND(ISNUMBER(T19),ISNUMBER(Summary!$G$12)),T19-Summary!$G$12,"")</f>
        <v/>
      </c>
      <c r="W19" s="7">
        <f>IFERROR(IF(INDEX(Data!$J$2:$J$45,MATCH($A19,Data!$A$2:$A$45,0))="","",INDEX(Data!$J$2:$J$45,MATCH($A19,Data!$A$2:$A$45,0))),"")</f>
        <v/>
      </c>
      <c r="X19" s="14">
        <f>IF(AND(ISNUMBER(W19),ISNUMBER(Summary!$E$13)),W19-Summary!$E$13,"")</f>
        <v/>
      </c>
      <c r="Y19" s="14">
        <f>IF(AND(ISNUMBER(W19),ISNUMBER(Summary!$G$13)),W19-Summary!$G$13,"")</f>
        <v/>
      </c>
      <c r="Z19" s="7">
        <f>IFERROR(IF(INDEX(Data!$K$2:$K$45,MATCH($A19,Data!$A$2:$A$45,0))="","",INDEX(Data!$K$2:$K$45,MATCH($A19,Data!$A$2:$A$45,0))),"")</f>
        <v/>
      </c>
      <c r="AA19" s="14">
        <f>IF(AND(ISNUMBER(Z19),ISNUMBER(Summary!$E$14)),Z19-Summary!$E$14,"")</f>
        <v/>
      </c>
      <c r="AB19" s="14">
        <f>IF(AND(ISNUMBER(Z19),ISNUMBER(Summary!$G$14)),Z19-Summary!$G$14,"")</f>
        <v/>
      </c>
      <c r="AC19" s="7">
        <f>IFERROR(IF(INDEX(Data!$L$2:$L$45,MATCH($A19,Data!$A$2:$A$45,0))="","",INDEX(Data!$L$2:$L$45,MATCH($A19,Data!$A$2:$A$45,0))),"")</f>
        <v/>
      </c>
      <c r="AD19" s="14">
        <f>IF(AND(ISNUMBER(AC19),ISNUMBER(Summary!$E$15)),AC19-Summary!$E$15,"")</f>
        <v/>
      </c>
      <c r="AE19" s="14">
        <f>IF(AND(ISNUMBER(AC19),ISNUMBER(Summary!$G$15)),AC19-Summary!$G$15,"")</f>
        <v/>
      </c>
      <c r="AF19" s="7">
        <f>IFERROR(IF(INDEX(Data!$M$2:$M$45,MATCH($A19,Data!$A$2:$A$45,0))="","",INDEX(Data!$M$2:$M$45,MATCH($A19,Data!$A$2:$A$45,0))),"")</f>
        <v/>
      </c>
      <c r="AG19" s="14">
        <f>IF(AND(ISNUMBER(AF19),ISNUMBER(Summary!$E$16)),AF19-Summary!$E$16,"")</f>
        <v/>
      </c>
      <c r="AH19" s="14">
        <f>IF(AND(ISNUMBER(AF19),ISNUMBER(Summary!$G$16)),AF19-Summary!$G$16,"")</f>
        <v/>
      </c>
      <c r="AI19" s="7">
        <f>IFERROR(IF(INDEX(Data!$N$2:$N$45,MATCH($A19,Data!$A$2:$A$45,0))="","",INDEX(Data!$N$2:$N$45,MATCH($A19,Data!$A$2:$A$45,0))),"")</f>
        <v/>
      </c>
      <c r="AJ19" s="14">
        <f>IF(AND(ISNUMBER(AI19),ISNUMBER(Summary!$E$17)),AI19-Summary!$E$17,"")</f>
        <v/>
      </c>
      <c r="AK19" s="14">
        <f>IF(AND(ISNUMBER(AI19),ISNUMBER(Summary!$G$17)),AI19-Summary!$G$17,"")</f>
        <v/>
      </c>
      <c r="AL19" s="7">
        <f>IFERROR(IF(INDEX(Data!$O$2:$O$45,MATCH($A19,Data!$A$2:$A$45,0))="","",INDEX(Data!$O$2:$O$45,MATCH($A19,Data!$A$2:$A$45,0))),"")</f>
        <v/>
      </c>
      <c r="AM19" s="14">
        <f>IF(AND(ISNUMBER(AL19),ISNUMBER(Summary!$E$18)),AL19-Summary!$E$18,"")</f>
        <v/>
      </c>
      <c r="AN19" s="14">
        <f>IF(AND(ISNUMBER(AL19),ISNUMBER(Summary!$G$18)),AL19-Summary!$G$18,"")</f>
        <v/>
      </c>
      <c r="AO19" s="7">
        <f>IFERROR(IF(INDEX(Data!$P$2:$P$45,MATCH($A19,Data!$A$2:$A$45,0))="","",INDEX(Data!$P$2:$P$45,MATCH($A19,Data!$A$2:$A$45,0))),"")</f>
        <v/>
      </c>
      <c r="AP19" s="14">
        <f>IF(AND(ISNUMBER(AO19),ISNUMBER(Summary!$E$19)),AO19-Summary!$E$19,"")</f>
        <v/>
      </c>
      <c r="AQ19" s="14">
        <f>IF(AND(ISNUMBER(AO19),ISNUMBER(Summary!$G$19)),AO19-Summary!$G$19,"")</f>
        <v/>
      </c>
      <c r="AR19" s="7">
        <f>IFERROR(IF(INDEX(Data!$Q$2:$Q$45,MATCH($A19,Data!$A$2:$A$45,0))="","",INDEX(Data!$Q$2:$Q$45,MATCH($A19,Data!$A$2:$A$45,0))),"")</f>
        <v/>
      </c>
      <c r="AS19" s="14">
        <f>IF(AND(ISNUMBER(AR19),ISNUMBER(Summary!$E$20)),AR19-Summary!$E$20,"")</f>
        <v/>
      </c>
      <c r="AT19" s="14">
        <f>IF(AND(ISNUMBER(AR19),ISNUMBER(Summary!$G$20)),AR19-Summary!$G$20,"")</f>
        <v/>
      </c>
      <c r="AU19" s="7">
        <f>IFERROR(IF(INDEX(Data!$R$2:$R$45,MATCH($A19,Data!$A$2:$A$45,0))="","",INDEX(Data!$R$2:$R$45,MATCH($A19,Data!$A$2:$A$45,0))),"")</f>
        <v/>
      </c>
      <c r="AV19" s="14">
        <f>IF(AND(ISNUMBER(AU19),ISNUMBER(Summary!$E$21)),AU19-Summary!$E$21,"")</f>
        <v/>
      </c>
      <c r="AW19" s="14">
        <f>IF(AND(ISNUMBER(AU19),ISNUMBER(Summary!$G$21)),AU19-Summary!$G$21,"")</f>
        <v/>
      </c>
      <c r="AX19" s="7">
        <f>IFERROR(IF(INDEX(Data!$S$2:$S$45,MATCH($A19,Data!$A$2:$A$45,0))="","",INDEX(Data!$S$2:$S$45,MATCH($A19,Data!$A$2:$A$45,0))),"")</f>
        <v/>
      </c>
      <c r="AY19" s="14">
        <f>IF(AND(ISNUMBER(AX19),ISNUMBER(Summary!$E$22)),AX19-Summary!$E$22,"")</f>
        <v/>
      </c>
      <c r="AZ19" s="14">
        <f>IF(AND(ISNUMBER(AX19),ISNUMBER(Summary!$G$22)),AX19-Summary!$G$22,"")</f>
        <v/>
      </c>
      <c r="BA19" s="7">
        <f>IFERROR(IF(INDEX(Data!$T$2:$T$45,MATCH($A19,Data!$A$2:$A$45,0))="","",INDEX(Data!$T$2:$T$45,MATCH($A19,Data!$A$2:$A$45,0))),"")</f>
        <v/>
      </c>
      <c r="BB19" s="14">
        <f>IF(AND(ISNUMBER(BA19),ISNUMBER(Summary!$E$23)),BA19-Summary!$E$23,"")</f>
        <v/>
      </c>
      <c r="BC19" s="14">
        <f>IF(AND(ISNUMBER(BA19),ISNUMBER(Summary!$G$23)),BA19-Summary!$G$23,"")</f>
        <v/>
      </c>
      <c r="BD19" s="7">
        <f>IFERROR(IF(INDEX(Data!$U$2:$U$45,MATCH($A19,Data!$A$2:$A$45,0))="","",INDEX(Data!$U$2:$U$45,MATCH($A19,Data!$A$2:$A$45,0))),"")</f>
        <v/>
      </c>
      <c r="BE19" s="14">
        <f>IF(AND(ISNUMBER(BD19),ISNUMBER(Summary!$E$24)),BD19-Summary!$E$24,"")</f>
        <v/>
      </c>
      <c r="BF19" s="14">
        <f>IF(AND(ISNUMBER(BD19),ISNUMBER(Summary!$G$24)),BD19-Summary!$G$24,"")</f>
        <v/>
      </c>
      <c r="BG19" s="7">
        <f>IFERROR(IF(INDEX(Data!$V$2:$V$45,MATCH($A19,Data!$A$2:$A$45,0))="","",INDEX(Data!$V$2:$V$45,MATCH($A19,Data!$A$2:$A$45,0))),"")</f>
        <v/>
      </c>
      <c r="BH19" s="14">
        <f>IF(AND(ISNUMBER(BG19),ISNUMBER(Summary!$E$25)),BG19-Summary!$E$25,"")</f>
        <v/>
      </c>
      <c r="BI19" s="14">
        <f>IF(AND(ISNUMBER(BG19),ISNUMBER(Summary!$G$25)),BG19-Summary!$G$25,"")</f>
        <v/>
      </c>
      <c r="BJ19" s="7">
        <f>IFERROR(IF(INDEX(Data!$W$2:$W$45,MATCH($A19,Data!$A$2:$A$45,0))="","",INDEX(Data!$W$2:$W$45,MATCH($A19,Data!$A$2:$A$45,0))),"")</f>
        <v/>
      </c>
      <c r="BK19" s="14">
        <f>IF(AND(ISNUMBER(BJ19),ISNUMBER(Summary!$E$26)),BJ19-Summary!$E$26,"")</f>
        <v/>
      </c>
      <c r="BL19" s="14">
        <f>IF(AND(ISNUMBER(BJ19),ISNUMBER(Summary!$G$26)),BJ19-Summary!$G$26,"")</f>
        <v/>
      </c>
      <c r="BM19" s="7">
        <f>IFERROR(IF(INDEX(Data!$X$2:$X$45,MATCH($A19,Data!$A$2:$A$45,0))="","",INDEX(Data!$X$2:$X$45,MATCH($A19,Data!$A$2:$A$45,0))),"")</f>
        <v/>
      </c>
      <c r="BN19" s="14">
        <f>IF(AND(ISNUMBER(BM19),ISNUMBER(Summary!$E$27)),BM19-Summary!$E$27,"")</f>
        <v/>
      </c>
      <c r="BO19" s="14">
        <f>IF(AND(ISNUMBER(BM19),ISNUMBER(Summary!$G$27)),BM19-Summary!$G$27,"")</f>
        <v/>
      </c>
      <c r="BP19" s="7">
        <f>IFERROR(IF(INDEX(Data!$Y$2:$Y$45,MATCH($A19,Data!$A$2:$A$45,0))="","",INDEX(Data!$Y$2:$Y$45,MATCH($A19,Data!$A$2:$A$45,0))),"")</f>
        <v/>
      </c>
      <c r="BQ19" s="14">
        <f>IF(AND(ISNUMBER(BP19),ISNUMBER(Summary!$E$28)),BP19-Summary!$E$28,"")</f>
        <v/>
      </c>
      <c r="BR19" s="14">
        <f>IF(AND(ISNUMBER(BP19),ISNUMBER(Summary!$G$28)),BP19-Summary!$G$28,"")</f>
        <v/>
      </c>
      <c r="BS19" s="7">
        <f>IFERROR(IF(INDEX(Data!$Z$2:$Z$45,MATCH($A19,Data!$A$2:$A$45,0))="","",INDEX(Data!$Z$2:$Z$45,MATCH($A19,Data!$A$2:$A$45,0))),"")</f>
        <v/>
      </c>
      <c r="BT19" s="14">
        <f>IF(AND(ISNUMBER(BS19),ISNUMBER(Summary!$E$29)),BS19-Summary!$E$29,"")</f>
        <v/>
      </c>
      <c r="BU19" s="14">
        <f>IF(AND(ISNUMBER(BS19),ISNUMBER(Summary!$G$29)),BS19-Summary!$G$29,"")</f>
        <v/>
      </c>
      <c r="BV19" s="7">
        <f>IFERROR(IF(INDEX(Data!$AA$2:$AA$45,MATCH($A19,Data!$A$2:$A$45,0))="","",INDEX(Data!$AA$2:$AA$45,MATCH($A19,Data!$A$2:$A$45,0))),"")</f>
        <v/>
      </c>
      <c r="BW19" s="14">
        <f>IF(AND(ISNUMBER(BV19),ISNUMBER(Summary!$E$30)),BV19-Summary!$E$30,"")</f>
        <v/>
      </c>
      <c r="BX19" s="14">
        <f>IF(AND(ISNUMBER(BV19),ISNUMBER(Summary!$G$30)),BV19-Summary!$G$30,"")</f>
        <v/>
      </c>
      <c r="BY19" s="7">
        <f>IFERROR(IF(INDEX(Data!$AB$2:$AB$45,MATCH($A19,Data!$A$2:$A$45,0))="","",INDEX(Data!$AB$2:$AB$45,MATCH($A19,Data!$A$2:$A$45,0))),"")</f>
        <v/>
      </c>
      <c r="BZ19" s="14">
        <f>IF(AND(ISNUMBER(BY19),ISNUMBER(Summary!$E$31)),BY19-Summary!$E$31,"")</f>
        <v/>
      </c>
      <c r="CA19" s="14">
        <f>IF(AND(ISNUMBER(BY19),ISNUMBER(Summary!$G$31)),BY19-Summary!$G$31,"")</f>
        <v/>
      </c>
      <c r="CB19" s="7">
        <f>IFERROR(IF(INDEX(Data!$AC$2:$AC$45,MATCH($A19,Data!$A$2:$A$45,0))="","",INDEX(Data!$AC$2:$AC$45,MATCH($A19,Data!$A$2:$A$45,0))),"")</f>
        <v/>
      </c>
      <c r="CC19" s="14">
        <f>IF(AND(ISNUMBER(CB19),ISNUMBER(Summary!$E$32)),CB19-Summary!$E$32,"")</f>
        <v/>
      </c>
      <c r="CD19" s="14">
        <f>IF(AND(ISNUMBER(CB19),ISNUMBER(Summary!$G$32)),CB19-Summary!$G$32,"")</f>
        <v/>
      </c>
      <c r="CE19" s="7">
        <f>IFERROR(IF(INDEX(Data!$AD$2:$AD$45,MATCH($A19,Data!$A$2:$A$45,0))="","",INDEX(Data!$AD$2:$AD$45,MATCH($A19,Data!$A$2:$A$45,0))),"")</f>
        <v/>
      </c>
      <c r="CF19" s="14">
        <f>IF(AND(ISNUMBER(CE19),ISNUMBER(Summary!$E$33)),CE19-Summary!$E$33,"")</f>
        <v/>
      </c>
      <c r="CG19" s="14">
        <f>IF(AND(ISNUMBER(CE19),ISNUMBER(Summary!$G$33)),CE19-Summary!$G$33,"")</f>
        <v/>
      </c>
      <c r="CH19" s="7">
        <f>IFERROR(IF(INDEX(Data!$AE$2:$AE$45,MATCH($A19,Data!$A$2:$A$45,0))="","",INDEX(Data!$AE$2:$AE$45,MATCH($A19,Data!$A$2:$A$45,0))),"")</f>
        <v/>
      </c>
      <c r="CI19" s="14">
        <f>IF(AND(ISNUMBER(CH19),ISNUMBER(Summary!$E$34)),CH19-Summary!$E$34,"")</f>
        <v/>
      </c>
      <c r="CJ19" s="14">
        <f>IF(AND(ISNUMBER(CH19),ISNUMBER(Summary!$G$34)),CH19-Summary!$G$34,"")</f>
        <v/>
      </c>
      <c r="CK19" s="7">
        <f>IFERROR(IF(INDEX(Data!$AF$2:$AF$45,MATCH($A19,Data!$A$2:$A$45,0))="","",INDEX(Data!$AF$2:$AF$45,MATCH($A19,Data!$A$2:$A$45,0))),"")</f>
        <v/>
      </c>
      <c r="CL19" s="14">
        <f>IF(AND(ISNUMBER(CK19),ISNUMBER(Summary!$E$35)),CK19-Summary!$E$35,"")</f>
        <v/>
      </c>
      <c r="CM19" s="14">
        <f>IF(AND(ISNUMBER(CK19),ISNUMBER(Summary!$G$35)),CK19-Summary!$G$35,"")</f>
        <v/>
      </c>
      <c r="CN19" s="7">
        <f>IFERROR(IF(INDEX(Data!$AG$2:$AG$45,MATCH($A19,Data!$A$2:$A$45,0))="","",INDEX(Data!$AG$2:$AG$45,MATCH($A19,Data!$A$2:$A$45,0))),"")</f>
        <v/>
      </c>
      <c r="CO19" s="14">
        <f>IF(AND(ISNUMBER(CN19),ISNUMBER(Summary!$E$36)),CN19-Summary!$E$36,"")</f>
        <v/>
      </c>
      <c r="CP19" s="14">
        <f>IF(AND(ISNUMBER(CN19),ISNUMBER(Summary!$G$36)),CN19-Summary!$G$36,"")</f>
        <v/>
      </c>
      <c r="CQ19" s="7">
        <f>IFERROR(IF(INDEX(Data!$AH$2:$AH$45,MATCH($A19,Data!$A$2:$A$45,0))="","",INDEX(Data!$AH$2:$AH$45,MATCH($A19,Data!$A$2:$A$45,0))),"")</f>
        <v/>
      </c>
      <c r="CR19" s="14">
        <f>IF(AND(ISNUMBER(CQ19),ISNUMBER(Summary!$E$37)),CQ19-Summary!$E$37,"")</f>
        <v/>
      </c>
      <c r="CS19" s="14">
        <f>IF(AND(ISNUMBER(CQ19),ISNUMBER(Summary!$G$37)),CQ19-Summary!$G$37,"")</f>
        <v/>
      </c>
      <c r="CT19" s="7">
        <f>IFERROR(IF(INDEX(Data!$AI$2:$AI$45,MATCH($A19,Data!$A$2:$A$45,0))="","",INDEX(Data!$AI$2:$AI$45,MATCH($A19,Data!$A$2:$A$45,0))),"")</f>
        <v/>
      </c>
      <c r="CU19" s="14">
        <f>IF(AND(ISNUMBER(CT19),ISNUMBER(Summary!$E$38)),CT19-Summary!$E$38,"")</f>
        <v/>
      </c>
      <c r="CV19" s="14">
        <f>IF(AND(ISNUMBER(CT19),ISNUMBER(Summary!$G$38)),CT19-Summary!$G$38,"")</f>
        <v/>
      </c>
    </row>
    <row r="20">
      <c r="A20" s="27" t="n">
        <v>46279</v>
      </c>
      <c r="B20" s="7">
        <f>IFERROR(IF(INDEX(Data!$C$2:$C$45,MATCH($A20,Data!$A$2:$A$45,0))="","",INDEX(Data!$C$2:$C$45,MATCH($A20,Data!$A$2:$A$45,0))),"")</f>
        <v/>
      </c>
      <c r="C20" s="14">
        <f>IF(AND(ISNUMBER(B20),ISNUMBER(Summary!$E$6)),B20-Summary!$E$6,"")</f>
        <v/>
      </c>
      <c r="D20" s="14">
        <f>IF(AND(ISNUMBER(B20),ISNUMBER(Summary!$G$6)),B20-Summary!$G$6,"")</f>
        <v/>
      </c>
      <c r="E20" s="7">
        <f>IFERROR(IF(INDEX(Data!$D$2:$D$45,MATCH($A20,Data!$A$2:$A$45,0))="","",INDEX(Data!$D$2:$D$45,MATCH($A20,Data!$A$2:$A$45,0))),"")</f>
        <v/>
      </c>
      <c r="F20" s="14">
        <f>IF(AND(ISNUMBER(E20),ISNUMBER(Summary!$E$7)),E20-Summary!$E$7,"")</f>
        <v/>
      </c>
      <c r="G20" s="14">
        <f>IF(AND(ISNUMBER(E20),ISNUMBER(Summary!$G$7)),E20-Summary!$G$7,"")</f>
        <v/>
      </c>
      <c r="H20" s="7">
        <f>IFERROR(IF(INDEX(Data!$E$2:$E$45,MATCH($A20,Data!$A$2:$A$45,0))="","",INDEX(Data!$E$2:$E$45,MATCH($A20,Data!$A$2:$A$45,0))),"")</f>
        <v/>
      </c>
      <c r="I20" s="14">
        <f>IF(AND(ISNUMBER(H20),ISNUMBER(Summary!$E$8)),H20-Summary!$E$8,"")</f>
        <v/>
      </c>
      <c r="J20" s="14">
        <f>IF(AND(ISNUMBER(H20),ISNUMBER(Summary!$G$8)),H20-Summary!$G$8,"")</f>
        <v/>
      </c>
      <c r="K20" s="7">
        <f>IFERROR(IF(INDEX(Data!$F$2:$F$45,MATCH($A20,Data!$A$2:$A$45,0))="","",INDEX(Data!$F$2:$F$45,MATCH($A20,Data!$A$2:$A$45,0))),"")</f>
        <v/>
      </c>
      <c r="L20" s="14">
        <f>IF(AND(ISNUMBER(K20),ISNUMBER(Summary!$E$9)),K20-Summary!$E$9,"")</f>
        <v/>
      </c>
      <c r="M20" s="14">
        <f>IF(AND(ISNUMBER(K20),ISNUMBER(Summary!$G$9)),K20-Summary!$G$9,"")</f>
        <v/>
      </c>
      <c r="N20" s="7">
        <f>IFERROR(IF(INDEX(Data!$G$2:$G$45,MATCH($A20,Data!$A$2:$A$45,0))="","",INDEX(Data!$G$2:$G$45,MATCH($A20,Data!$A$2:$A$45,0))),"")</f>
        <v/>
      </c>
      <c r="O20" s="14">
        <f>IF(AND(ISNUMBER(N20),ISNUMBER(Summary!$E$10)),N20-Summary!$E$10,"")</f>
        <v/>
      </c>
      <c r="P20" s="14">
        <f>IF(AND(ISNUMBER(N20),ISNUMBER(Summary!$G$10)),N20-Summary!$G$10,"")</f>
        <v/>
      </c>
      <c r="Q20" s="7">
        <f>IFERROR(IF(INDEX(Data!$H$2:$H$45,MATCH($A20,Data!$A$2:$A$45,0))="","",INDEX(Data!$H$2:$H$45,MATCH($A20,Data!$A$2:$A$45,0))),"")</f>
        <v/>
      </c>
      <c r="R20" s="14">
        <f>IF(AND(ISNUMBER(Q20),ISNUMBER(Summary!$E$11)),Q20-Summary!$E$11,"")</f>
        <v/>
      </c>
      <c r="S20" s="14">
        <f>IF(AND(ISNUMBER(Q20),ISNUMBER(Summary!$G$11)),Q20-Summary!$G$11,"")</f>
        <v/>
      </c>
      <c r="T20" s="7">
        <f>IFERROR(IF(INDEX(Data!$I$2:$I$45,MATCH($A20,Data!$A$2:$A$45,0))="","",INDEX(Data!$I$2:$I$45,MATCH($A20,Data!$A$2:$A$45,0))),"")</f>
        <v/>
      </c>
      <c r="U20" s="14">
        <f>IF(AND(ISNUMBER(T20),ISNUMBER(Summary!$E$12)),T20-Summary!$E$12,"")</f>
        <v/>
      </c>
      <c r="V20" s="14">
        <f>IF(AND(ISNUMBER(T20),ISNUMBER(Summary!$G$12)),T20-Summary!$G$12,"")</f>
        <v/>
      </c>
      <c r="W20" s="7">
        <f>IFERROR(IF(INDEX(Data!$J$2:$J$45,MATCH($A20,Data!$A$2:$A$45,0))="","",INDEX(Data!$J$2:$J$45,MATCH($A20,Data!$A$2:$A$45,0))),"")</f>
        <v/>
      </c>
      <c r="X20" s="14">
        <f>IF(AND(ISNUMBER(W20),ISNUMBER(Summary!$E$13)),W20-Summary!$E$13,"")</f>
        <v/>
      </c>
      <c r="Y20" s="14">
        <f>IF(AND(ISNUMBER(W20),ISNUMBER(Summary!$G$13)),W20-Summary!$G$13,"")</f>
        <v/>
      </c>
      <c r="Z20" s="7">
        <f>IFERROR(IF(INDEX(Data!$K$2:$K$45,MATCH($A20,Data!$A$2:$A$45,0))="","",INDEX(Data!$K$2:$K$45,MATCH($A20,Data!$A$2:$A$45,0))),"")</f>
        <v/>
      </c>
      <c r="AA20" s="14">
        <f>IF(AND(ISNUMBER(Z20),ISNUMBER(Summary!$E$14)),Z20-Summary!$E$14,"")</f>
        <v/>
      </c>
      <c r="AB20" s="14">
        <f>IF(AND(ISNUMBER(Z20),ISNUMBER(Summary!$G$14)),Z20-Summary!$G$14,"")</f>
        <v/>
      </c>
      <c r="AC20" s="7">
        <f>IFERROR(IF(INDEX(Data!$L$2:$L$45,MATCH($A20,Data!$A$2:$A$45,0))="","",INDEX(Data!$L$2:$L$45,MATCH($A20,Data!$A$2:$A$45,0))),"")</f>
        <v/>
      </c>
      <c r="AD20" s="14">
        <f>IF(AND(ISNUMBER(AC20),ISNUMBER(Summary!$E$15)),AC20-Summary!$E$15,"")</f>
        <v/>
      </c>
      <c r="AE20" s="14">
        <f>IF(AND(ISNUMBER(AC20),ISNUMBER(Summary!$G$15)),AC20-Summary!$G$15,"")</f>
        <v/>
      </c>
      <c r="AF20" s="7">
        <f>IFERROR(IF(INDEX(Data!$M$2:$M$45,MATCH($A20,Data!$A$2:$A$45,0))="","",INDEX(Data!$M$2:$M$45,MATCH($A20,Data!$A$2:$A$45,0))),"")</f>
        <v/>
      </c>
      <c r="AG20" s="14">
        <f>IF(AND(ISNUMBER(AF20),ISNUMBER(Summary!$E$16)),AF20-Summary!$E$16,"")</f>
        <v/>
      </c>
      <c r="AH20" s="14">
        <f>IF(AND(ISNUMBER(AF20),ISNUMBER(Summary!$G$16)),AF20-Summary!$G$16,"")</f>
        <v/>
      </c>
      <c r="AI20" s="7">
        <f>IFERROR(IF(INDEX(Data!$N$2:$N$45,MATCH($A20,Data!$A$2:$A$45,0))="","",INDEX(Data!$N$2:$N$45,MATCH($A20,Data!$A$2:$A$45,0))),"")</f>
        <v/>
      </c>
      <c r="AJ20" s="14">
        <f>IF(AND(ISNUMBER(AI20),ISNUMBER(Summary!$E$17)),AI20-Summary!$E$17,"")</f>
        <v/>
      </c>
      <c r="AK20" s="14">
        <f>IF(AND(ISNUMBER(AI20),ISNUMBER(Summary!$G$17)),AI20-Summary!$G$17,"")</f>
        <v/>
      </c>
      <c r="AL20" s="7">
        <f>IFERROR(IF(INDEX(Data!$O$2:$O$45,MATCH($A20,Data!$A$2:$A$45,0))="","",INDEX(Data!$O$2:$O$45,MATCH($A20,Data!$A$2:$A$45,0))),"")</f>
        <v/>
      </c>
      <c r="AM20" s="14">
        <f>IF(AND(ISNUMBER(AL20),ISNUMBER(Summary!$E$18)),AL20-Summary!$E$18,"")</f>
        <v/>
      </c>
      <c r="AN20" s="14">
        <f>IF(AND(ISNUMBER(AL20),ISNUMBER(Summary!$G$18)),AL20-Summary!$G$18,"")</f>
        <v/>
      </c>
      <c r="AO20" s="7">
        <f>IFERROR(IF(INDEX(Data!$P$2:$P$45,MATCH($A20,Data!$A$2:$A$45,0))="","",INDEX(Data!$P$2:$P$45,MATCH($A20,Data!$A$2:$A$45,0))),"")</f>
        <v/>
      </c>
      <c r="AP20" s="14">
        <f>IF(AND(ISNUMBER(AO20),ISNUMBER(Summary!$E$19)),AO20-Summary!$E$19,"")</f>
        <v/>
      </c>
      <c r="AQ20" s="14">
        <f>IF(AND(ISNUMBER(AO20),ISNUMBER(Summary!$G$19)),AO20-Summary!$G$19,"")</f>
        <v/>
      </c>
      <c r="AR20" s="7">
        <f>IFERROR(IF(INDEX(Data!$Q$2:$Q$45,MATCH($A20,Data!$A$2:$A$45,0))="","",INDEX(Data!$Q$2:$Q$45,MATCH($A20,Data!$A$2:$A$45,0))),"")</f>
        <v/>
      </c>
      <c r="AS20" s="14">
        <f>IF(AND(ISNUMBER(AR20),ISNUMBER(Summary!$E$20)),AR20-Summary!$E$20,"")</f>
        <v/>
      </c>
      <c r="AT20" s="14">
        <f>IF(AND(ISNUMBER(AR20),ISNUMBER(Summary!$G$20)),AR20-Summary!$G$20,"")</f>
        <v/>
      </c>
      <c r="AU20" s="7">
        <f>IFERROR(IF(INDEX(Data!$R$2:$R$45,MATCH($A20,Data!$A$2:$A$45,0))="","",INDEX(Data!$R$2:$R$45,MATCH($A20,Data!$A$2:$A$45,0))),"")</f>
        <v/>
      </c>
      <c r="AV20" s="14">
        <f>IF(AND(ISNUMBER(AU20),ISNUMBER(Summary!$E$21)),AU20-Summary!$E$21,"")</f>
        <v/>
      </c>
      <c r="AW20" s="14">
        <f>IF(AND(ISNUMBER(AU20),ISNUMBER(Summary!$G$21)),AU20-Summary!$G$21,"")</f>
        <v/>
      </c>
      <c r="AX20" s="7">
        <f>IFERROR(IF(INDEX(Data!$S$2:$S$45,MATCH($A20,Data!$A$2:$A$45,0))="","",INDEX(Data!$S$2:$S$45,MATCH($A20,Data!$A$2:$A$45,0))),"")</f>
        <v/>
      </c>
      <c r="AY20" s="14">
        <f>IF(AND(ISNUMBER(AX20),ISNUMBER(Summary!$E$22)),AX20-Summary!$E$22,"")</f>
        <v/>
      </c>
      <c r="AZ20" s="14">
        <f>IF(AND(ISNUMBER(AX20),ISNUMBER(Summary!$G$22)),AX20-Summary!$G$22,"")</f>
        <v/>
      </c>
      <c r="BA20" s="7">
        <f>IFERROR(IF(INDEX(Data!$T$2:$T$45,MATCH($A20,Data!$A$2:$A$45,0))="","",INDEX(Data!$T$2:$T$45,MATCH($A20,Data!$A$2:$A$45,0))),"")</f>
        <v/>
      </c>
      <c r="BB20" s="14">
        <f>IF(AND(ISNUMBER(BA20),ISNUMBER(Summary!$E$23)),BA20-Summary!$E$23,"")</f>
        <v/>
      </c>
      <c r="BC20" s="14">
        <f>IF(AND(ISNUMBER(BA20),ISNUMBER(Summary!$G$23)),BA20-Summary!$G$23,"")</f>
        <v/>
      </c>
      <c r="BD20" s="7">
        <f>IFERROR(IF(INDEX(Data!$U$2:$U$45,MATCH($A20,Data!$A$2:$A$45,0))="","",INDEX(Data!$U$2:$U$45,MATCH($A20,Data!$A$2:$A$45,0))),"")</f>
        <v/>
      </c>
      <c r="BE20" s="14">
        <f>IF(AND(ISNUMBER(BD20),ISNUMBER(Summary!$E$24)),BD20-Summary!$E$24,"")</f>
        <v/>
      </c>
      <c r="BF20" s="14">
        <f>IF(AND(ISNUMBER(BD20),ISNUMBER(Summary!$G$24)),BD20-Summary!$G$24,"")</f>
        <v/>
      </c>
      <c r="BG20" s="7">
        <f>IFERROR(IF(INDEX(Data!$V$2:$V$45,MATCH($A20,Data!$A$2:$A$45,0))="","",INDEX(Data!$V$2:$V$45,MATCH($A20,Data!$A$2:$A$45,0))),"")</f>
        <v/>
      </c>
      <c r="BH20" s="14">
        <f>IF(AND(ISNUMBER(BG20),ISNUMBER(Summary!$E$25)),BG20-Summary!$E$25,"")</f>
        <v/>
      </c>
      <c r="BI20" s="14">
        <f>IF(AND(ISNUMBER(BG20),ISNUMBER(Summary!$G$25)),BG20-Summary!$G$25,"")</f>
        <v/>
      </c>
      <c r="BJ20" s="7">
        <f>IFERROR(IF(INDEX(Data!$W$2:$W$45,MATCH($A20,Data!$A$2:$A$45,0))="","",INDEX(Data!$W$2:$W$45,MATCH($A20,Data!$A$2:$A$45,0))),"")</f>
        <v/>
      </c>
      <c r="BK20" s="14">
        <f>IF(AND(ISNUMBER(BJ20),ISNUMBER(Summary!$E$26)),BJ20-Summary!$E$26,"")</f>
        <v/>
      </c>
      <c r="BL20" s="14">
        <f>IF(AND(ISNUMBER(BJ20),ISNUMBER(Summary!$G$26)),BJ20-Summary!$G$26,"")</f>
        <v/>
      </c>
      <c r="BM20" s="7">
        <f>IFERROR(IF(INDEX(Data!$X$2:$X$45,MATCH($A20,Data!$A$2:$A$45,0))="","",INDEX(Data!$X$2:$X$45,MATCH($A20,Data!$A$2:$A$45,0))),"")</f>
        <v/>
      </c>
      <c r="BN20" s="14">
        <f>IF(AND(ISNUMBER(BM20),ISNUMBER(Summary!$E$27)),BM20-Summary!$E$27,"")</f>
        <v/>
      </c>
      <c r="BO20" s="14">
        <f>IF(AND(ISNUMBER(BM20),ISNUMBER(Summary!$G$27)),BM20-Summary!$G$27,"")</f>
        <v/>
      </c>
      <c r="BP20" s="7">
        <f>IFERROR(IF(INDEX(Data!$Y$2:$Y$45,MATCH($A20,Data!$A$2:$A$45,0))="","",INDEX(Data!$Y$2:$Y$45,MATCH($A20,Data!$A$2:$A$45,0))),"")</f>
        <v/>
      </c>
      <c r="BQ20" s="14">
        <f>IF(AND(ISNUMBER(BP20),ISNUMBER(Summary!$E$28)),BP20-Summary!$E$28,"")</f>
        <v/>
      </c>
      <c r="BR20" s="14">
        <f>IF(AND(ISNUMBER(BP20),ISNUMBER(Summary!$G$28)),BP20-Summary!$G$28,"")</f>
        <v/>
      </c>
      <c r="BS20" s="7">
        <f>IFERROR(IF(INDEX(Data!$Z$2:$Z$45,MATCH($A20,Data!$A$2:$A$45,0))="","",INDEX(Data!$Z$2:$Z$45,MATCH($A20,Data!$A$2:$A$45,0))),"")</f>
        <v/>
      </c>
      <c r="BT20" s="14">
        <f>IF(AND(ISNUMBER(BS20),ISNUMBER(Summary!$E$29)),BS20-Summary!$E$29,"")</f>
        <v/>
      </c>
      <c r="BU20" s="14">
        <f>IF(AND(ISNUMBER(BS20),ISNUMBER(Summary!$G$29)),BS20-Summary!$G$29,"")</f>
        <v/>
      </c>
      <c r="BV20" s="7">
        <f>IFERROR(IF(INDEX(Data!$AA$2:$AA$45,MATCH($A20,Data!$A$2:$A$45,0))="","",INDEX(Data!$AA$2:$AA$45,MATCH($A20,Data!$A$2:$A$45,0))),"")</f>
        <v/>
      </c>
      <c r="BW20" s="14">
        <f>IF(AND(ISNUMBER(BV20),ISNUMBER(Summary!$E$30)),BV20-Summary!$E$30,"")</f>
        <v/>
      </c>
      <c r="BX20" s="14">
        <f>IF(AND(ISNUMBER(BV20),ISNUMBER(Summary!$G$30)),BV20-Summary!$G$30,"")</f>
        <v/>
      </c>
      <c r="BY20" s="7">
        <f>IFERROR(IF(INDEX(Data!$AB$2:$AB$45,MATCH($A20,Data!$A$2:$A$45,0))="","",INDEX(Data!$AB$2:$AB$45,MATCH($A20,Data!$A$2:$A$45,0))),"")</f>
        <v/>
      </c>
      <c r="BZ20" s="14">
        <f>IF(AND(ISNUMBER(BY20),ISNUMBER(Summary!$E$31)),BY20-Summary!$E$31,"")</f>
        <v/>
      </c>
      <c r="CA20" s="14">
        <f>IF(AND(ISNUMBER(BY20),ISNUMBER(Summary!$G$31)),BY20-Summary!$G$31,"")</f>
        <v/>
      </c>
      <c r="CB20" s="7">
        <f>IFERROR(IF(INDEX(Data!$AC$2:$AC$45,MATCH($A20,Data!$A$2:$A$45,0))="","",INDEX(Data!$AC$2:$AC$45,MATCH($A20,Data!$A$2:$A$45,0))),"")</f>
        <v/>
      </c>
      <c r="CC20" s="14">
        <f>IF(AND(ISNUMBER(CB20),ISNUMBER(Summary!$E$32)),CB20-Summary!$E$32,"")</f>
        <v/>
      </c>
      <c r="CD20" s="14">
        <f>IF(AND(ISNUMBER(CB20),ISNUMBER(Summary!$G$32)),CB20-Summary!$G$32,"")</f>
        <v/>
      </c>
      <c r="CE20" s="7">
        <f>IFERROR(IF(INDEX(Data!$AD$2:$AD$45,MATCH($A20,Data!$A$2:$A$45,0))="","",INDEX(Data!$AD$2:$AD$45,MATCH($A20,Data!$A$2:$A$45,0))),"")</f>
        <v/>
      </c>
      <c r="CF20" s="14">
        <f>IF(AND(ISNUMBER(CE20),ISNUMBER(Summary!$E$33)),CE20-Summary!$E$33,"")</f>
        <v/>
      </c>
      <c r="CG20" s="14">
        <f>IF(AND(ISNUMBER(CE20),ISNUMBER(Summary!$G$33)),CE20-Summary!$G$33,"")</f>
        <v/>
      </c>
      <c r="CH20" s="7">
        <f>IFERROR(IF(INDEX(Data!$AE$2:$AE$45,MATCH($A20,Data!$A$2:$A$45,0))="","",INDEX(Data!$AE$2:$AE$45,MATCH($A20,Data!$A$2:$A$45,0))),"")</f>
        <v/>
      </c>
      <c r="CI20" s="14">
        <f>IF(AND(ISNUMBER(CH20),ISNUMBER(Summary!$E$34)),CH20-Summary!$E$34,"")</f>
        <v/>
      </c>
      <c r="CJ20" s="14">
        <f>IF(AND(ISNUMBER(CH20),ISNUMBER(Summary!$G$34)),CH20-Summary!$G$34,"")</f>
        <v/>
      </c>
      <c r="CK20" s="7">
        <f>IFERROR(IF(INDEX(Data!$AF$2:$AF$45,MATCH($A20,Data!$A$2:$A$45,0))="","",INDEX(Data!$AF$2:$AF$45,MATCH($A20,Data!$A$2:$A$45,0))),"")</f>
        <v/>
      </c>
      <c r="CL20" s="14">
        <f>IF(AND(ISNUMBER(CK20),ISNUMBER(Summary!$E$35)),CK20-Summary!$E$35,"")</f>
        <v/>
      </c>
      <c r="CM20" s="14">
        <f>IF(AND(ISNUMBER(CK20),ISNUMBER(Summary!$G$35)),CK20-Summary!$G$35,"")</f>
        <v/>
      </c>
      <c r="CN20" s="7">
        <f>IFERROR(IF(INDEX(Data!$AG$2:$AG$45,MATCH($A20,Data!$A$2:$A$45,0))="","",INDEX(Data!$AG$2:$AG$45,MATCH($A20,Data!$A$2:$A$45,0))),"")</f>
        <v/>
      </c>
      <c r="CO20" s="14">
        <f>IF(AND(ISNUMBER(CN20),ISNUMBER(Summary!$E$36)),CN20-Summary!$E$36,"")</f>
        <v/>
      </c>
      <c r="CP20" s="14">
        <f>IF(AND(ISNUMBER(CN20),ISNUMBER(Summary!$G$36)),CN20-Summary!$G$36,"")</f>
        <v/>
      </c>
      <c r="CQ20" s="7">
        <f>IFERROR(IF(INDEX(Data!$AH$2:$AH$45,MATCH($A20,Data!$A$2:$A$45,0))="","",INDEX(Data!$AH$2:$AH$45,MATCH($A20,Data!$A$2:$A$45,0))),"")</f>
        <v/>
      </c>
      <c r="CR20" s="14">
        <f>IF(AND(ISNUMBER(CQ20),ISNUMBER(Summary!$E$37)),CQ20-Summary!$E$37,"")</f>
        <v/>
      </c>
      <c r="CS20" s="14">
        <f>IF(AND(ISNUMBER(CQ20),ISNUMBER(Summary!$G$37)),CQ20-Summary!$G$37,"")</f>
        <v/>
      </c>
      <c r="CT20" s="7">
        <f>IFERROR(IF(INDEX(Data!$AI$2:$AI$45,MATCH($A20,Data!$A$2:$A$45,0))="","",INDEX(Data!$AI$2:$AI$45,MATCH($A20,Data!$A$2:$A$45,0))),"")</f>
        <v/>
      </c>
      <c r="CU20" s="14">
        <f>IF(AND(ISNUMBER(CT20),ISNUMBER(Summary!$E$38)),CT20-Summary!$E$38,"")</f>
        <v/>
      </c>
      <c r="CV20" s="14">
        <f>IF(AND(ISNUMBER(CT20),ISNUMBER(Summary!$G$38)),CT20-Summary!$G$38,"")</f>
        <v/>
      </c>
    </row>
    <row r="21">
      <c r="A21" s="27" t="n">
        <v>46278</v>
      </c>
      <c r="B21" s="7">
        <f>IFERROR(IF(INDEX(Data!$C$2:$C$45,MATCH($A21,Data!$A$2:$A$45,0))="","",INDEX(Data!$C$2:$C$45,MATCH($A21,Data!$A$2:$A$45,0))),"")</f>
        <v/>
      </c>
      <c r="C21" s="14">
        <f>IF(AND(ISNUMBER(B21),ISNUMBER(Summary!$E$6)),B21-Summary!$E$6,"")</f>
        <v/>
      </c>
      <c r="D21" s="14">
        <f>IF(AND(ISNUMBER(B21),ISNUMBER(Summary!$G$6)),B21-Summary!$G$6,"")</f>
        <v/>
      </c>
      <c r="E21" s="7">
        <f>IFERROR(IF(INDEX(Data!$D$2:$D$45,MATCH($A21,Data!$A$2:$A$45,0))="","",INDEX(Data!$D$2:$D$45,MATCH($A21,Data!$A$2:$A$45,0))),"")</f>
        <v/>
      </c>
      <c r="F21" s="14">
        <f>IF(AND(ISNUMBER(E21),ISNUMBER(Summary!$E$7)),E21-Summary!$E$7,"")</f>
        <v/>
      </c>
      <c r="G21" s="14">
        <f>IF(AND(ISNUMBER(E21),ISNUMBER(Summary!$G$7)),E21-Summary!$G$7,"")</f>
        <v/>
      </c>
      <c r="H21" s="7">
        <f>IFERROR(IF(INDEX(Data!$E$2:$E$45,MATCH($A21,Data!$A$2:$A$45,0))="","",INDEX(Data!$E$2:$E$45,MATCH($A21,Data!$A$2:$A$45,0))),"")</f>
        <v/>
      </c>
      <c r="I21" s="14">
        <f>IF(AND(ISNUMBER(H21),ISNUMBER(Summary!$E$8)),H21-Summary!$E$8,"")</f>
        <v/>
      </c>
      <c r="J21" s="14">
        <f>IF(AND(ISNUMBER(H21),ISNUMBER(Summary!$G$8)),H21-Summary!$G$8,"")</f>
        <v/>
      </c>
      <c r="K21" s="7">
        <f>IFERROR(IF(INDEX(Data!$F$2:$F$45,MATCH($A21,Data!$A$2:$A$45,0))="","",INDEX(Data!$F$2:$F$45,MATCH($A21,Data!$A$2:$A$45,0))),"")</f>
        <v/>
      </c>
      <c r="L21" s="14">
        <f>IF(AND(ISNUMBER(K21),ISNUMBER(Summary!$E$9)),K21-Summary!$E$9,"")</f>
        <v/>
      </c>
      <c r="M21" s="14">
        <f>IF(AND(ISNUMBER(K21),ISNUMBER(Summary!$G$9)),K21-Summary!$G$9,"")</f>
        <v/>
      </c>
      <c r="N21" s="7">
        <f>IFERROR(IF(INDEX(Data!$G$2:$G$45,MATCH($A21,Data!$A$2:$A$45,0))="","",INDEX(Data!$G$2:$G$45,MATCH($A21,Data!$A$2:$A$45,0))),"")</f>
        <v/>
      </c>
      <c r="O21" s="14">
        <f>IF(AND(ISNUMBER(N21),ISNUMBER(Summary!$E$10)),N21-Summary!$E$10,"")</f>
        <v/>
      </c>
      <c r="P21" s="14">
        <f>IF(AND(ISNUMBER(N21),ISNUMBER(Summary!$G$10)),N21-Summary!$G$10,"")</f>
        <v/>
      </c>
      <c r="Q21" s="7">
        <f>IFERROR(IF(INDEX(Data!$H$2:$H$45,MATCH($A21,Data!$A$2:$A$45,0))="","",INDEX(Data!$H$2:$H$45,MATCH($A21,Data!$A$2:$A$45,0))),"")</f>
        <v/>
      </c>
      <c r="R21" s="14">
        <f>IF(AND(ISNUMBER(Q21),ISNUMBER(Summary!$E$11)),Q21-Summary!$E$11,"")</f>
        <v/>
      </c>
      <c r="S21" s="14">
        <f>IF(AND(ISNUMBER(Q21),ISNUMBER(Summary!$G$11)),Q21-Summary!$G$11,"")</f>
        <v/>
      </c>
      <c r="T21" s="7">
        <f>IFERROR(IF(INDEX(Data!$I$2:$I$45,MATCH($A21,Data!$A$2:$A$45,0))="","",INDEX(Data!$I$2:$I$45,MATCH($A21,Data!$A$2:$A$45,0))),"")</f>
        <v/>
      </c>
      <c r="U21" s="14">
        <f>IF(AND(ISNUMBER(T21),ISNUMBER(Summary!$E$12)),T21-Summary!$E$12,"")</f>
        <v/>
      </c>
      <c r="V21" s="14">
        <f>IF(AND(ISNUMBER(T21),ISNUMBER(Summary!$G$12)),T21-Summary!$G$12,"")</f>
        <v/>
      </c>
      <c r="W21" s="7">
        <f>IFERROR(IF(INDEX(Data!$J$2:$J$45,MATCH($A21,Data!$A$2:$A$45,0))="","",INDEX(Data!$J$2:$J$45,MATCH($A21,Data!$A$2:$A$45,0))),"")</f>
        <v/>
      </c>
      <c r="X21" s="14">
        <f>IF(AND(ISNUMBER(W21),ISNUMBER(Summary!$E$13)),W21-Summary!$E$13,"")</f>
        <v/>
      </c>
      <c r="Y21" s="14">
        <f>IF(AND(ISNUMBER(W21),ISNUMBER(Summary!$G$13)),W21-Summary!$G$13,"")</f>
        <v/>
      </c>
      <c r="Z21" s="7">
        <f>IFERROR(IF(INDEX(Data!$K$2:$K$45,MATCH($A21,Data!$A$2:$A$45,0))="","",INDEX(Data!$K$2:$K$45,MATCH($A21,Data!$A$2:$A$45,0))),"")</f>
        <v/>
      </c>
      <c r="AA21" s="14">
        <f>IF(AND(ISNUMBER(Z21),ISNUMBER(Summary!$E$14)),Z21-Summary!$E$14,"")</f>
        <v/>
      </c>
      <c r="AB21" s="14">
        <f>IF(AND(ISNUMBER(Z21),ISNUMBER(Summary!$G$14)),Z21-Summary!$G$14,"")</f>
        <v/>
      </c>
      <c r="AC21" s="7">
        <f>IFERROR(IF(INDEX(Data!$L$2:$L$45,MATCH($A21,Data!$A$2:$A$45,0))="","",INDEX(Data!$L$2:$L$45,MATCH($A21,Data!$A$2:$A$45,0))),"")</f>
        <v/>
      </c>
      <c r="AD21" s="14">
        <f>IF(AND(ISNUMBER(AC21),ISNUMBER(Summary!$E$15)),AC21-Summary!$E$15,"")</f>
        <v/>
      </c>
      <c r="AE21" s="14">
        <f>IF(AND(ISNUMBER(AC21),ISNUMBER(Summary!$G$15)),AC21-Summary!$G$15,"")</f>
        <v/>
      </c>
      <c r="AF21" s="7">
        <f>IFERROR(IF(INDEX(Data!$M$2:$M$45,MATCH($A21,Data!$A$2:$A$45,0))="","",INDEX(Data!$M$2:$M$45,MATCH($A21,Data!$A$2:$A$45,0))),"")</f>
        <v/>
      </c>
      <c r="AG21" s="14">
        <f>IF(AND(ISNUMBER(AF21),ISNUMBER(Summary!$E$16)),AF21-Summary!$E$16,"")</f>
        <v/>
      </c>
      <c r="AH21" s="14">
        <f>IF(AND(ISNUMBER(AF21),ISNUMBER(Summary!$G$16)),AF21-Summary!$G$16,"")</f>
        <v/>
      </c>
      <c r="AI21" s="7">
        <f>IFERROR(IF(INDEX(Data!$N$2:$N$45,MATCH($A21,Data!$A$2:$A$45,0))="","",INDEX(Data!$N$2:$N$45,MATCH($A21,Data!$A$2:$A$45,0))),"")</f>
        <v/>
      </c>
      <c r="AJ21" s="14">
        <f>IF(AND(ISNUMBER(AI21),ISNUMBER(Summary!$E$17)),AI21-Summary!$E$17,"")</f>
        <v/>
      </c>
      <c r="AK21" s="14">
        <f>IF(AND(ISNUMBER(AI21),ISNUMBER(Summary!$G$17)),AI21-Summary!$G$17,"")</f>
        <v/>
      </c>
      <c r="AL21" s="7">
        <f>IFERROR(IF(INDEX(Data!$O$2:$O$45,MATCH($A21,Data!$A$2:$A$45,0))="","",INDEX(Data!$O$2:$O$45,MATCH($A21,Data!$A$2:$A$45,0))),"")</f>
        <v/>
      </c>
      <c r="AM21" s="14">
        <f>IF(AND(ISNUMBER(AL21),ISNUMBER(Summary!$E$18)),AL21-Summary!$E$18,"")</f>
        <v/>
      </c>
      <c r="AN21" s="14">
        <f>IF(AND(ISNUMBER(AL21),ISNUMBER(Summary!$G$18)),AL21-Summary!$G$18,"")</f>
        <v/>
      </c>
      <c r="AO21" s="7">
        <f>IFERROR(IF(INDEX(Data!$P$2:$P$45,MATCH($A21,Data!$A$2:$A$45,0))="","",INDEX(Data!$P$2:$P$45,MATCH($A21,Data!$A$2:$A$45,0))),"")</f>
        <v/>
      </c>
      <c r="AP21" s="14">
        <f>IF(AND(ISNUMBER(AO21),ISNUMBER(Summary!$E$19)),AO21-Summary!$E$19,"")</f>
        <v/>
      </c>
      <c r="AQ21" s="14">
        <f>IF(AND(ISNUMBER(AO21),ISNUMBER(Summary!$G$19)),AO21-Summary!$G$19,"")</f>
        <v/>
      </c>
      <c r="AR21" s="7">
        <f>IFERROR(IF(INDEX(Data!$Q$2:$Q$45,MATCH($A21,Data!$A$2:$A$45,0))="","",INDEX(Data!$Q$2:$Q$45,MATCH($A21,Data!$A$2:$A$45,0))),"")</f>
        <v/>
      </c>
      <c r="AS21" s="14">
        <f>IF(AND(ISNUMBER(AR21),ISNUMBER(Summary!$E$20)),AR21-Summary!$E$20,"")</f>
        <v/>
      </c>
      <c r="AT21" s="14">
        <f>IF(AND(ISNUMBER(AR21),ISNUMBER(Summary!$G$20)),AR21-Summary!$G$20,"")</f>
        <v/>
      </c>
      <c r="AU21" s="7">
        <f>IFERROR(IF(INDEX(Data!$R$2:$R$45,MATCH($A21,Data!$A$2:$A$45,0))="","",INDEX(Data!$R$2:$R$45,MATCH($A21,Data!$A$2:$A$45,0))),"")</f>
        <v/>
      </c>
      <c r="AV21" s="14">
        <f>IF(AND(ISNUMBER(AU21),ISNUMBER(Summary!$E$21)),AU21-Summary!$E$21,"")</f>
        <v/>
      </c>
      <c r="AW21" s="14">
        <f>IF(AND(ISNUMBER(AU21),ISNUMBER(Summary!$G$21)),AU21-Summary!$G$21,"")</f>
        <v/>
      </c>
      <c r="AX21" s="7">
        <f>IFERROR(IF(INDEX(Data!$S$2:$S$45,MATCH($A21,Data!$A$2:$A$45,0))="","",INDEX(Data!$S$2:$S$45,MATCH($A21,Data!$A$2:$A$45,0))),"")</f>
        <v/>
      </c>
      <c r="AY21" s="14">
        <f>IF(AND(ISNUMBER(AX21),ISNUMBER(Summary!$E$22)),AX21-Summary!$E$22,"")</f>
        <v/>
      </c>
      <c r="AZ21" s="14">
        <f>IF(AND(ISNUMBER(AX21),ISNUMBER(Summary!$G$22)),AX21-Summary!$G$22,"")</f>
        <v/>
      </c>
      <c r="BA21" s="7">
        <f>IFERROR(IF(INDEX(Data!$T$2:$T$45,MATCH($A21,Data!$A$2:$A$45,0))="","",INDEX(Data!$T$2:$T$45,MATCH($A21,Data!$A$2:$A$45,0))),"")</f>
        <v/>
      </c>
      <c r="BB21" s="14">
        <f>IF(AND(ISNUMBER(BA21),ISNUMBER(Summary!$E$23)),BA21-Summary!$E$23,"")</f>
        <v/>
      </c>
      <c r="BC21" s="14">
        <f>IF(AND(ISNUMBER(BA21),ISNUMBER(Summary!$G$23)),BA21-Summary!$G$23,"")</f>
        <v/>
      </c>
      <c r="BD21" s="7">
        <f>IFERROR(IF(INDEX(Data!$U$2:$U$45,MATCH($A21,Data!$A$2:$A$45,0))="","",INDEX(Data!$U$2:$U$45,MATCH($A21,Data!$A$2:$A$45,0))),"")</f>
        <v/>
      </c>
      <c r="BE21" s="14">
        <f>IF(AND(ISNUMBER(BD21),ISNUMBER(Summary!$E$24)),BD21-Summary!$E$24,"")</f>
        <v/>
      </c>
      <c r="BF21" s="14">
        <f>IF(AND(ISNUMBER(BD21),ISNUMBER(Summary!$G$24)),BD21-Summary!$G$24,"")</f>
        <v/>
      </c>
      <c r="BG21" s="7">
        <f>IFERROR(IF(INDEX(Data!$V$2:$V$45,MATCH($A21,Data!$A$2:$A$45,0))="","",INDEX(Data!$V$2:$V$45,MATCH($A21,Data!$A$2:$A$45,0))),"")</f>
        <v/>
      </c>
      <c r="BH21" s="14">
        <f>IF(AND(ISNUMBER(BG21),ISNUMBER(Summary!$E$25)),BG21-Summary!$E$25,"")</f>
        <v/>
      </c>
      <c r="BI21" s="14">
        <f>IF(AND(ISNUMBER(BG21),ISNUMBER(Summary!$G$25)),BG21-Summary!$G$25,"")</f>
        <v/>
      </c>
      <c r="BJ21" s="7">
        <f>IFERROR(IF(INDEX(Data!$W$2:$W$45,MATCH($A21,Data!$A$2:$A$45,0))="","",INDEX(Data!$W$2:$W$45,MATCH($A21,Data!$A$2:$A$45,0))),"")</f>
        <v/>
      </c>
      <c r="BK21" s="14">
        <f>IF(AND(ISNUMBER(BJ21),ISNUMBER(Summary!$E$26)),BJ21-Summary!$E$26,"")</f>
        <v/>
      </c>
      <c r="BL21" s="14">
        <f>IF(AND(ISNUMBER(BJ21),ISNUMBER(Summary!$G$26)),BJ21-Summary!$G$26,"")</f>
        <v/>
      </c>
      <c r="BM21" s="7">
        <f>IFERROR(IF(INDEX(Data!$X$2:$X$45,MATCH($A21,Data!$A$2:$A$45,0))="","",INDEX(Data!$X$2:$X$45,MATCH($A21,Data!$A$2:$A$45,0))),"")</f>
        <v/>
      </c>
      <c r="BN21" s="14">
        <f>IF(AND(ISNUMBER(BM21),ISNUMBER(Summary!$E$27)),BM21-Summary!$E$27,"")</f>
        <v/>
      </c>
      <c r="BO21" s="14">
        <f>IF(AND(ISNUMBER(BM21),ISNUMBER(Summary!$G$27)),BM21-Summary!$G$27,"")</f>
        <v/>
      </c>
      <c r="BP21" s="7">
        <f>IFERROR(IF(INDEX(Data!$Y$2:$Y$45,MATCH($A21,Data!$A$2:$A$45,0))="","",INDEX(Data!$Y$2:$Y$45,MATCH($A21,Data!$A$2:$A$45,0))),"")</f>
        <v/>
      </c>
      <c r="BQ21" s="14">
        <f>IF(AND(ISNUMBER(BP21),ISNUMBER(Summary!$E$28)),BP21-Summary!$E$28,"")</f>
        <v/>
      </c>
      <c r="BR21" s="14">
        <f>IF(AND(ISNUMBER(BP21),ISNUMBER(Summary!$G$28)),BP21-Summary!$G$28,"")</f>
        <v/>
      </c>
      <c r="BS21" s="7">
        <f>IFERROR(IF(INDEX(Data!$Z$2:$Z$45,MATCH($A21,Data!$A$2:$A$45,0))="","",INDEX(Data!$Z$2:$Z$45,MATCH($A21,Data!$A$2:$A$45,0))),"")</f>
        <v/>
      </c>
      <c r="BT21" s="14">
        <f>IF(AND(ISNUMBER(BS21),ISNUMBER(Summary!$E$29)),BS21-Summary!$E$29,"")</f>
        <v/>
      </c>
      <c r="BU21" s="14">
        <f>IF(AND(ISNUMBER(BS21),ISNUMBER(Summary!$G$29)),BS21-Summary!$G$29,"")</f>
        <v/>
      </c>
      <c r="BV21" s="7">
        <f>IFERROR(IF(INDEX(Data!$AA$2:$AA$45,MATCH($A21,Data!$A$2:$A$45,0))="","",INDEX(Data!$AA$2:$AA$45,MATCH($A21,Data!$A$2:$A$45,0))),"")</f>
        <v/>
      </c>
      <c r="BW21" s="14">
        <f>IF(AND(ISNUMBER(BV21),ISNUMBER(Summary!$E$30)),BV21-Summary!$E$30,"")</f>
        <v/>
      </c>
      <c r="BX21" s="14">
        <f>IF(AND(ISNUMBER(BV21),ISNUMBER(Summary!$G$30)),BV21-Summary!$G$30,"")</f>
        <v/>
      </c>
      <c r="BY21" s="7">
        <f>IFERROR(IF(INDEX(Data!$AB$2:$AB$45,MATCH($A21,Data!$A$2:$A$45,0))="","",INDEX(Data!$AB$2:$AB$45,MATCH($A21,Data!$A$2:$A$45,0))),"")</f>
        <v/>
      </c>
      <c r="BZ21" s="14">
        <f>IF(AND(ISNUMBER(BY21),ISNUMBER(Summary!$E$31)),BY21-Summary!$E$31,"")</f>
        <v/>
      </c>
      <c r="CA21" s="14">
        <f>IF(AND(ISNUMBER(BY21),ISNUMBER(Summary!$G$31)),BY21-Summary!$G$31,"")</f>
        <v/>
      </c>
      <c r="CB21" s="7">
        <f>IFERROR(IF(INDEX(Data!$AC$2:$AC$45,MATCH($A21,Data!$A$2:$A$45,0))="","",INDEX(Data!$AC$2:$AC$45,MATCH($A21,Data!$A$2:$A$45,0))),"")</f>
        <v/>
      </c>
      <c r="CC21" s="14">
        <f>IF(AND(ISNUMBER(CB21),ISNUMBER(Summary!$E$32)),CB21-Summary!$E$32,"")</f>
        <v/>
      </c>
      <c r="CD21" s="14">
        <f>IF(AND(ISNUMBER(CB21),ISNUMBER(Summary!$G$32)),CB21-Summary!$G$32,"")</f>
        <v/>
      </c>
      <c r="CE21" s="7">
        <f>IFERROR(IF(INDEX(Data!$AD$2:$AD$45,MATCH($A21,Data!$A$2:$A$45,0))="","",INDEX(Data!$AD$2:$AD$45,MATCH($A21,Data!$A$2:$A$45,0))),"")</f>
        <v/>
      </c>
      <c r="CF21" s="14">
        <f>IF(AND(ISNUMBER(CE21),ISNUMBER(Summary!$E$33)),CE21-Summary!$E$33,"")</f>
        <v/>
      </c>
      <c r="CG21" s="14">
        <f>IF(AND(ISNUMBER(CE21),ISNUMBER(Summary!$G$33)),CE21-Summary!$G$33,"")</f>
        <v/>
      </c>
      <c r="CH21" s="7">
        <f>IFERROR(IF(INDEX(Data!$AE$2:$AE$45,MATCH($A21,Data!$A$2:$A$45,0))="","",INDEX(Data!$AE$2:$AE$45,MATCH($A21,Data!$A$2:$A$45,0))),"")</f>
        <v/>
      </c>
      <c r="CI21" s="14">
        <f>IF(AND(ISNUMBER(CH21),ISNUMBER(Summary!$E$34)),CH21-Summary!$E$34,"")</f>
        <v/>
      </c>
      <c r="CJ21" s="14">
        <f>IF(AND(ISNUMBER(CH21),ISNUMBER(Summary!$G$34)),CH21-Summary!$G$34,"")</f>
        <v/>
      </c>
      <c r="CK21" s="7">
        <f>IFERROR(IF(INDEX(Data!$AF$2:$AF$45,MATCH($A21,Data!$A$2:$A$45,0))="","",INDEX(Data!$AF$2:$AF$45,MATCH($A21,Data!$A$2:$A$45,0))),"")</f>
        <v/>
      </c>
      <c r="CL21" s="14">
        <f>IF(AND(ISNUMBER(CK21),ISNUMBER(Summary!$E$35)),CK21-Summary!$E$35,"")</f>
        <v/>
      </c>
      <c r="CM21" s="14">
        <f>IF(AND(ISNUMBER(CK21),ISNUMBER(Summary!$G$35)),CK21-Summary!$G$35,"")</f>
        <v/>
      </c>
      <c r="CN21" s="7">
        <f>IFERROR(IF(INDEX(Data!$AG$2:$AG$45,MATCH($A21,Data!$A$2:$A$45,0))="","",INDEX(Data!$AG$2:$AG$45,MATCH($A21,Data!$A$2:$A$45,0))),"")</f>
        <v/>
      </c>
      <c r="CO21" s="14">
        <f>IF(AND(ISNUMBER(CN21),ISNUMBER(Summary!$E$36)),CN21-Summary!$E$36,"")</f>
        <v/>
      </c>
      <c r="CP21" s="14">
        <f>IF(AND(ISNUMBER(CN21),ISNUMBER(Summary!$G$36)),CN21-Summary!$G$36,"")</f>
        <v/>
      </c>
      <c r="CQ21" s="7">
        <f>IFERROR(IF(INDEX(Data!$AH$2:$AH$45,MATCH($A21,Data!$A$2:$A$45,0))="","",INDEX(Data!$AH$2:$AH$45,MATCH($A21,Data!$A$2:$A$45,0))),"")</f>
        <v/>
      </c>
      <c r="CR21" s="14">
        <f>IF(AND(ISNUMBER(CQ21),ISNUMBER(Summary!$E$37)),CQ21-Summary!$E$37,"")</f>
        <v/>
      </c>
      <c r="CS21" s="14">
        <f>IF(AND(ISNUMBER(CQ21),ISNUMBER(Summary!$G$37)),CQ21-Summary!$G$37,"")</f>
        <v/>
      </c>
      <c r="CT21" s="7">
        <f>IFERROR(IF(INDEX(Data!$AI$2:$AI$45,MATCH($A21,Data!$A$2:$A$45,0))="","",INDEX(Data!$AI$2:$AI$45,MATCH($A21,Data!$A$2:$A$45,0))),"")</f>
        <v/>
      </c>
      <c r="CU21" s="14">
        <f>IF(AND(ISNUMBER(CT21),ISNUMBER(Summary!$E$38)),CT21-Summary!$E$38,"")</f>
        <v/>
      </c>
      <c r="CV21" s="14">
        <f>IF(AND(ISNUMBER(CT21),ISNUMBER(Summary!$G$38)),CT21-Summary!$G$38,"")</f>
        <v/>
      </c>
    </row>
    <row r="22">
      <c r="A22" s="27" t="n">
        <v>46277</v>
      </c>
      <c r="B22" s="7">
        <f>IFERROR(IF(INDEX(Data!$C$2:$C$45,MATCH($A22,Data!$A$2:$A$45,0))="","",INDEX(Data!$C$2:$C$45,MATCH($A22,Data!$A$2:$A$45,0))),"")</f>
        <v/>
      </c>
      <c r="C22" s="14">
        <f>IF(AND(ISNUMBER(B22),ISNUMBER(Summary!$E$6)),B22-Summary!$E$6,"")</f>
        <v/>
      </c>
      <c r="D22" s="14">
        <f>IF(AND(ISNUMBER(B22),ISNUMBER(Summary!$G$6)),B22-Summary!$G$6,"")</f>
        <v/>
      </c>
      <c r="E22" s="7">
        <f>IFERROR(IF(INDEX(Data!$D$2:$D$45,MATCH($A22,Data!$A$2:$A$45,0))="","",INDEX(Data!$D$2:$D$45,MATCH($A22,Data!$A$2:$A$45,0))),"")</f>
        <v/>
      </c>
      <c r="F22" s="14">
        <f>IF(AND(ISNUMBER(E22),ISNUMBER(Summary!$E$7)),E22-Summary!$E$7,"")</f>
        <v/>
      </c>
      <c r="G22" s="14">
        <f>IF(AND(ISNUMBER(E22),ISNUMBER(Summary!$G$7)),E22-Summary!$G$7,"")</f>
        <v/>
      </c>
      <c r="H22" s="7">
        <f>IFERROR(IF(INDEX(Data!$E$2:$E$45,MATCH($A22,Data!$A$2:$A$45,0))="","",INDEX(Data!$E$2:$E$45,MATCH($A22,Data!$A$2:$A$45,0))),"")</f>
        <v/>
      </c>
      <c r="I22" s="14">
        <f>IF(AND(ISNUMBER(H22),ISNUMBER(Summary!$E$8)),H22-Summary!$E$8,"")</f>
        <v/>
      </c>
      <c r="J22" s="14">
        <f>IF(AND(ISNUMBER(H22),ISNUMBER(Summary!$G$8)),H22-Summary!$G$8,"")</f>
        <v/>
      </c>
      <c r="K22" s="7">
        <f>IFERROR(IF(INDEX(Data!$F$2:$F$45,MATCH($A22,Data!$A$2:$A$45,0))="","",INDEX(Data!$F$2:$F$45,MATCH($A22,Data!$A$2:$A$45,0))),"")</f>
        <v/>
      </c>
      <c r="L22" s="14">
        <f>IF(AND(ISNUMBER(K22),ISNUMBER(Summary!$E$9)),K22-Summary!$E$9,"")</f>
        <v/>
      </c>
      <c r="M22" s="14">
        <f>IF(AND(ISNUMBER(K22),ISNUMBER(Summary!$G$9)),K22-Summary!$G$9,"")</f>
        <v/>
      </c>
      <c r="N22" s="7">
        <f>IFERROR(IF(INDEX(Data!$G$2:$G$45,MATCH($A22,Data!$A$2:$A$45,0))="","",INDEX(Data!$G$2:$G$45,MATCH($A22,Data!$A$2:$A$45,0))),"")</f>
        <v/>
      </c>
      <c r="O22" s="14">
        <f>IF(AND(ISNUMBER(N22),ISNUMBER(Summary!$E$10)),N22-Summary!$E$10,"")</f>
        <v/>
      </c>
      <c r="P22" s="14">
        <f>IF(AND(ISNUMBER(N22),ISNUMBER(Summary!$G$10)),N22-Summary!$G$10,"")</f>
        <v/>
      </c>
      <c r="Q22" s="7">
        <f>IFERROR(IF(INDEX(Data!$H$2:$H$45,MATCH($A22,Data!$A$2:$A$45,0))="","",INDEX(Data!$H$2:$H$45,MATCH($A22,Data!$A$2:$A$45,0))),"")</f>
        <v/>
      </c>
      <c r="R22" s="14">
        <f>IF(AND(ISNUMBER(Q22),ISNUMBER(Summary!$E$11)),Q22-Summary!$E$11,"")</f>
        <v/>
      </c>
      <c r="S22" s="14">
        <f>IF(AND(ISNUMBER(Q22),ISNUMBER(Summary!$G$11)),Q22-Summary!$G$11,"")</f>
        <v/>
      </c>
      <c r="T22" s="7">
        <f>IFERROR(IF(INDEX(Data!$I$2:$I$45,MATCH($A22,Data!$A$2:$A$45,0))="","",INDEX(Data!$I$2:$I$45,MATCH($A22,Data!$A$2:$A$45,0))),"")</f>
        <v/>
      </c>
      <c r="U22" s="14">
        <f>IF(AND(ISNUMBER(T22),ISNUMBER(Summary!$E$12)),T22-Summary!$E$12,"")</f>
        <v/>
      </c>
      <c r="V22" s="14">
        <f>IF(AND(ISNUMBER(T22),ISNUMBER(Summary!$G$12)),T22-Summary!$G$12,"")</f>
        <v/>
      </c>
      <c r="W22" s="7">
        <f>IFERROR(IF(INDEX(Data!$J$2:$J$45,MATCH($A22,Data!$A$2:$A$45,0))="","",INDEX(Data!$J$2:$J$45,MATCH($A22,Data!$A$2:$A$45,0))),"")</f>
        <v/>
      </c>
      <c r="X22" s="14">
        <f>IF(AND(ISNUMBER(W22),ISNUMBER(Summary!$E$13)),W22-Summary!$E$13,"")</f>
        <v/>
      </c>
      <c r="Y22" s="14">
        <f>IF(AND(ISNUMBER(W22),ISNUMBER(Summary!$G$13)),W22-Summary!$G$13,"")</f>
        <v/>
      </c>
      <c r="Z22" s="7">
        <f>IFERROR(IF(INDEX(Data!$K$2:$K$45,MATCH($A22,Data!$A$2:$A$45,0))="","",INDEX(Data!$K$2:$K$45,MATCH($A22,Data!$A$2:$A$45,0))),"")</f>
        <v/>
      </c>
      <c r="AA22" s="14">
        <f>IF(AND(ISNUMBER(Z22),ISNUMBER(Summary!$E$14)),Z22-Summary!$E$14,"")</f>
        <v/>
      </c>
      <c r="AB22" s="14">
        <f>IF(AND(ISNUMBER(Z22),ISNUMBER(Summary!$G$14)),Z22-Summary!$G$14,"")</f>
        <v/>
      </c>
      <c r="AC22" s="7">
        <f>IFERROR(IF(INDEX(Data!$L$2:$L$45,MATCH($A22,Data!$A$2:$A$45,0))="","",INDEX(Data!$L$2:$L$45,MATCH($A22,Data!$A$2:$A$45,0))),"")</f>
        <v/>
      </c>
      <c r="AD22" s="14">
        <f>IF(AND(ISNUMBER(AC22),ISNUMBER(Summary!$E$15)),AC22-Summary!$E$15,"")</f>
        <v/>
      </c>
      <c r="AE22" s="14">
        <f>IF(AND(ISNUMBER(AC22),ISNUMBER(Summary!$G$15)),AC22-Summary!$G$15,"")</f>
        <v/>
      </c>
      <c r="AF22" s="7">
        <f>IFERROR(IF(INDEX(Data!$M$2:$M$45,MATCH($A22,Data!$A$2:$A$45,0))="","",INDEX(Data!$M$2:$M$45,MATCH($A22,Data!$A$2:$A$45,0))),"")</f>
        <v/>
      </c>
      <c r="AG22" s="14">
        <f>IF(AND(ISNUMBER(AF22),ISNUMBER(Summary!$E$16)),AF22-Summary!$E$16,"")</f>
        <v/>
      </c>
      <c r="AH22" s="14">
        <f>IF(AND(ISNUMBER(AF22),ISNUMBER(Summary!$G$16)),AF22-Summary!$G$16,"")</f>
        <v/>
      </c>
      <c r="AI22" s="7">
        <f>IFERROR(IF(INDEX(Data!$N$2:$N$45,MATCH($A22,Data!$A$2:$A$45,0))="","",INDEX(Data!$N$2:$N$45,MATCH($A22,Data!$A$2:$A$45,0))),"")</f>
        <v/>
      </c>
      <c r="AJ22" s="14">
        <f>IF(AND(ISNUMBER(AI22),ISNUMBER(Summary!$E$17)),AI22-Summary!$E$17,"")</f>
        <v/>
      </c>
      <c r="AK22" s="14">
        <f>IF(AND(ISNUMBER(AI22),ISNUMBER(Summary!$G$17)),AI22-Summary!$G$17,"")</f>
        <v/>
      </c>
      <c r="AL22" s="7">
        <f>IFERROR(IF(INDEX(Data!$O$2:$O$45,MATCH($A22,Data!$A$2:$A$45,0))="","",INDEX(Data!$O$2:$O$45,MATCH($A22,Data!$A$2:$A$45,0))),"")</f>
        <v/>
      </c>
      <c r="AM22" s="14">
        <f>IF(AND(ISNUMBER(AL22),ISNUMBER(Summary!$E$18)),AL22-Summary!$E$18,"")</f>
        <v/>
      </c>
      <c r="AN22" s="14">
        <f>IF(AND(ISNUMBER(AL22),ISNUMBER(Summary!$G$18)),AL22-Summary!$G$18,"")</f>
        <v/>
      </c>
      <c r="AO22" s="7">
        <f>IFERROR(IF(INDEX(Data!$P$2:$P$45,MATCH($A22,Data!$A$2:$A$45,0))="","",INDEX(Data!$P$2:$P$45,MATCH($A22,Data!$A$2:$A$45,0))),"")</f>
        <v/>
      </c>
      <c r="AP22" s="14">
        <f>IF(AND(ISNUMBER(AO22),ISNUMBER(Summary!$E$19)),AO22-Summary!$E$19,"")</f>
        <v/>
      </c>
      <c r="AQ22" s="14">
        <f>IF(AND(ISNUMBER(AO22),ISNUMBER(Summary!$G$19)),AO22-Summary!$G$19,"")</f>
        <v/>
      </c>
      <c r="AR22" s="7">
        <f>IFERROR(IF(INDEX(Data!$Q$2:$Q$45,MATCH($A22,Data!$A$2:$A$45,0))="","",INDEX(Data!$Q$2:$Q$45,MATCH($A22,Data!$A$2:$A$45,0))),"")</f>
        <v/>
      </c>
      <c r="AS22" s="14">
        <f>IF(AND(ISNUMBER(AR22),ISNUMBER(Summary!$E$20)),AR22-Summary!$E$20,"")</f>
        <v/>
      </c>
      <c r="AT22" s="14">
        <f>IF(AND(ISNUMBER(AR22),ISNUMBER(Summary!$G$20)),AR22-Summary!$G$20,"")</f>
        <v/>
      </c>
      <c r="AU22" s="7">
        <f>IFERROR(IF(INDEX(Data!$R$2:$R$45,MATCH($A22,Data!$A$2:$A$45,0))="","",INDEX(Data!$R$2:$R$45,MATCH($A22,Data!$A$2:$A$45,0))),"")</f>
        <v/>
      </c>
      <c r="AV22" s="14">
        <f>IF(AND(ISNUMBER(AU22),ISNUMBER(Summary!$E$21)),AU22-Summary!$E$21,"")</f>
        <v/>
      </c>
      <c r="AW22" s="14">
        <f>IF(AND(ISNUMBER(AU22),ISNUMBER(Summary!$G$21)),AU22-Summary!$G$21,"")</f>
        <v/>
      </c>
      <c r="AX22" s="7">
        <f>IFERROR(IF(INDEX(Data!$S$2:$S$45,MATCH($A22,Data!$A$2:$A$45,0))="","",INDEX(Data!$S$2:$S$45,MATCH($A22,Data!$A$2:$A$45,0))),"")</f>
        <v/>
      </c>
      <c r="AY22" s="14">
        <f>IF(AND(ISNUMBER(AX22),ISNUMBER(Summary!$E$22)),AX22-Summary!$E$22,"")</f>
        <v/>
      </c>
      <c r="AZ22" s="14">
        <f>IF(AND(ISNUMBER(AX22),ISNUMBER(Summary!$G$22)),AX22-Summary!$G$22,"")</f>
        <v/>
      </c>
      <c r="BA22" s="7">
        <f>IFERROR(IF(INDEX(Data!$T$2:$T$45,MATCH($A22,Data!$A$2:$A$45,0))="","",INDEX(Data!$T$2:$T$45,MATCH($A22,Data!$A$2:$A$45,0))),"")</f>
        <v/>
      </c>
      <c r="BB22" s="14">
        <f>IF(AND(ISNUMBER(BA22),ISNUMBER(Summary!$E$23)),BA22-Summary!$E$23,"")</f>
        <v/>
      </c>
      <c r="BC22" s="14">
        <f>IF(AND(ISNUMBER(BA22),ISNUMBER(Summary!$G$23)),BA22-Summary!$G$23,"")</f>
        <v/>
      </c>
      <c r="BD22" s="7">
        <f>IFERROR(IF(INDEX(Data!$U$2:$U$45,MATCH($A22,Data!$A$2:$A$45,0))="","",INDEX(Data!$U$2:$U$45,MATCH($A22,Data!$A$2:$A$45,0))),"")</f>
        <v/>
      </c>
      <c r="BE22" s="14">
        <f>IF(AND(ISNUMBER(BD22),ISNUMBER(Summary!$E$24)),BD22-Summary!$E$24,"")</f>
        <v/>
      </c>
      <c r="BF22" s="14">
        <f>IF(AND(ISNUMBER(BD22),ISNUMBER(Summary!$G$24)),BD22-Summary!$G$24,"")</f>
        <v/>
      </c>
      <c r="BG22" s="7">
        <f>IFERROR(IF(INDEX(Data!$V$2:$V$45,MATCH($A22,Data!$A$2:$A$45,0))="","",INDEX(Data!$V$2:$V$45,MATCH($A22,Data!$A$2:$A$45,0))),"")</f>
        <v/>
      </c>
      <c r="BH22" s="14">
        <f>IF(AND(ISNUMBER(BG22),ISNUMBER(Summary!$E$25)),BG22-Summary!$E$25,"")</f>
        <v/>
      </c>
      <c r="BI22" s="14">
        <f>IF(AND(ISNUMBER(BG22),ISNUMBER(Summary!$G$25)),BG22-Summary!$G$25,"")</f>
        <v/>
      </c>
      <c r="BJ22" s="7">
        <f>IFERROR(IF(INDEX(Data!$W$2:$W$45,MATCH($A22,Data!$A$2:$A$45,0))="","",INDEX(Data!$W$2:$W$45,MATCH($A22,Data!$A$2:$A$45,0))),"")</f>
        <v/>
      </c>
      <c r="BK22" s="14">
        <f>IF(AND(ISNUMBER(BJ22),ISNUMBER(Summary!$E$26)),BJ22-Summary!$E$26,"")</f>
        <v/>
      </c>
      <c r="BL22" s="14">
        <f>IF(AND(ISNUMBER(BJ22),ISNUMBER(Summary!$G$26)),BJ22-Summary!$G$26,"")</f>
        <v/>
      </c>
      <c r="BM22" s="7">
        <f>IFERROR(IF(INDEX(Data!$X$2:$X$45,MATCH($A22,Data!$A$2:$A$45,0))="","",INDEX(Data!$X$2:$X$45,MATCH($A22,Data!$A$2:$A$45,0))),"")</f>
        <v/>
      </c>
      <c r="BN22" s="14">
        <f>IF(AND(ISNUMBER(BM22),ISNUMBER(Summary!$E$27)),BM22-Summary!$E$27,"")</f>
        <v/>
      </c>
      <c r="BO22" s="14">
        <f>IF(AND(ISNUMBER(BM22),ISNUMBER(Summary!$G$27)),BM22-Summary!$G$27,"")</f>
        <v/>
      </c>
      <c r="BP22" s="7">
        <f>IFERROR(IF(INDEX(Data!$Y$2:$Y$45,MATCH($A22,Data!$A$2:$A$45,0))="","",INDEX(Data!$Y$2:$Y$45,MATCH($A22,Data!$A$2:$A$45,0))),"")</f>
        <v/>
      </c>
      <c r="BQ22" s="14">
        <f>IF(AND(ISNUMBER(BP22),ISNUMBER(Summary!$E$28)),BP22-Summary!$E$28,"")</f>
        <v/>
      </c>
      <c r="BR22" s="14">
        <f>IF(AND(ISNUMBER(BP22),ISNUMBER(Summary!$G$28)),BP22-Summary!$G$28,"")</f>
        <v/>
      </c>
      <c r="BS22" s="7">
        <f>IFERROR(IF(INDEX(Data!$Z$2:$Z$45,MATCH($A22,Data!$A$2:$A$45,0))="","",INDEX(Data!$Z$2:$Z$45,MATCH($A22,Data!$A$2:$A$45,0))),"")</f>
        <v/>
      </c>
      <c r="BT22" s="14">
        <f>IF(AND(ISNUMBER(BS22),ISNUMBER(Summary!$E$29)),BS22-Summary!$E$29,"")</f>
        <v/>
      </c>
      <c r="BU22" s="14">
        <f>IF(AND(ISNUMBER(BS22),ISNUMBER(Summary!$G$29)),BS22-Summary!$G$29,"")</f>
        <v/>
      </c>
      <c r="BV22" s="7">
        <f>IFERROR(IF(INDEX(Data!$AA$2:$AA$45,MATCH($A22,Data!$A$2:$A$45,0))="","",INDEX(Data!$AA$2:$AA$45,MATCH($A22,Data!$A$2:$A$45,0))),"")</f>
        <v/>
      </c>
      <c r="BW22" s="14">
        <f>IF(AND(ISNUMBER(BV22),ISNUMBER(Summary!$E$30)),BV22-Summary!$E$30,"")</f>
        <v/>
      </c>
      <c r="BX22" s="14">
        <f>IF(AND(ISNUMBER(BV22),ISNUMBER(Summary!$G$30)),BV22-Summary!$G$30,"")</f>
        <v/>
      </c>
      <c r="BY22" s="7">
        <f>IFERROR(IF(INDEX(Data!$AB$2:$AB$45,MATCH($A22,Data!$A$2:$A$45,0))="","",INDEX(Data!$AB$2:$AB$45,MATCH($A22,Data!$A$2:$A$45,0))),"")</f>
        <v/>
      </c>
      <c r="BZ22" s="14">
        <f>IF(AND(ISNUMBER(BY22),ISNUMBER(Summary!$E$31)),BY22-Summary!$E$31,"")</f>
        <v/>
      </c>
      <c r="CA22" s="14">
        <f>IF(AND(ISNUMBER(BY22),ISNUMBER(Summary!$G$31)),BY22-Summary!$G$31,"")</f>
        <v/>
      </c>
      <c r="CB22" s="7">
        <f>IFERROR(IF(INDEX(Data!$AC$2:$AC$45,MATCH($A22,Data!$A$2:$A$45,0))="","",INDEX(Data!$AC$2:$AC$45,MATCH($A22,Data!$A$2:$A$45,0))),"")</f>
        <v/>
      </c>
      <c r="CC22" s="14">
        <f>IF(AND(ISNUMBER(CB22),ISNUMBER(Summary!$E$32)),CB22-Summary!$E$32,"")</f>
        <v/>
      </c>
      <c r="CD22" s="14">
        <f>IF(AND(ISNUMBER(CB22),ISNUMBER(Summary!$G$32)),CB22-Summary!$G$32,"")</f>
        <v/>
      </c>
      <c r="CE22" s="7">
        <f>IFERROR(IF(INDEX(Data!$AD$2:$AD$45,MATCH($A22,Data!$A$2:$A$45,0))="","",INDEX(Data!$AD$2:$AD$45,MATCH($A22,Data!$A$2:$A$45,0))),"")</f>
        <v/>
      </c>
      <c r="CF22" s="14">
        <f>IF(AND(ISNUMBER(CE22),ISNUMBER(Summary!$E$33)),CE22-Summary!$E$33,"")</f>
        <v/>
      </c>
      <c r="CG22" s="14">
        <f>IF(AND(ISNUMBER(CE22),ISNUMBER(Summary!$G$33)),CE22-Summary!$G$33,"")</f>
        <v/>
      </c>
      <c r="CH22" s="7">
        <f>IFERROR(IF(INDEX(Data!$AE$2:$AE$45,MATCH($A22,Data!$A$2:$A$45,0))="","",INDEX(Data!$AE$2:$AE$45,MATCH($A22,Data!$A$2:$A$45,0))),"")</f>
        <v/>
      </c>
      <c r="CI22" s="14">
        <f>IF(AND(ISNUMBER(CH22),ISNUMBER(Summary!$E$34)),CH22-Summary!$E$34,"")</f>
        <v/>
      </c>
      <c r="CJ22" s="14">
        <f>IF(AND(ISNUMBER(CH22),ISNUMBER(Summary!$G$34)),CH22-Summary!$G$34,"")</f>
        <v/>
      </c>
      <c r="CK22" s="7">
        <f>IFERROR(IF(INDEX(Data!$AF$2:$AF$45,MATCH($A22,Data!$A$2:$A$45,0))="","",INDEX(Data!$AF$2:$AF$45,MATCH($A22,Data!$A$2:$A$45,0))),"")</f>
        <v/>
      </c>
      <c r="CL22" s="14">
        <f>IF(AND(ISNUMBER(CK22),ISNUMBER(Summary!$E$35)),CK22-Summary!$E$35,"")</f>
        <v/>
      </c>
      <c r="CM22" s="14">
        <f>IF(AND(ISNUMBER(CK22),ISNUMBER(Summary!$G$35)),CK22-Summary!$G$35,"")</f>
        <v/>
      </c>
      <c r="CN22" s="7">
        <f>IFERROR(IF(INDEX(Data!$AG$2:$AG$45,MATCH($A22,Data!$A$2:$A$45,0))="","",INDEX(Data!$AG$2:$AG$45,MATCH($A22,Data!$A$2:$A$45,0))),"")</f>
        <v/>
      </c>
      <c r="CO22" s="14">
        <f>IF(AND(ISNUMBER(CN22),ISNUMBER(Summary!$E$36)),CN22-Summary!$E$36,"")</f>
        <v/>
      </c>
      <c r="CP22" s="14">
        <f>IF(AND(ISNUMBER(CN22),ISNUMBER(Summary!$G$36)),CN22-Summary!$G$36,"")</f>
        <v/>
      </c>
      <c r="CQ22" s="7">
        <f>IFERROR(IF(INDEX(Data!$AH$2:$AH$45,MATCH($A22,Data!$A$2:$A$45,0))="","",INDEX(Data!$AH$2:$AH$45,MATCH($A22,Data!$A$2:$A$45,0))),"")</f>
        <v/>
      </c>
      <c r="CR22" s="14">
        <f>IF(AND(ISNUMBER(CQ22),ISNUMBER(Summary!$E$37)),CQ22-Summary!$E$37,"")</f>
        <v/>
      </c>
      <c r="CS22" s="14">
        <f>IF(AND(ISNUMBER(CQ22),ISNUMBER(Summary!$G$37)),CQ22-Summary!$G$37,"")</f>
        <v/>
      </c>
      <c r="CT22" s="7">
        <f>IFERROR(IF(INDEX(Data!$AI$2:$AI$45,MATCH($A22,Data!$A$2:$A$45,0))="","",INDEX(Data!$AI$2:$AI$45,MATCH($A22,Data!$A$2:$A$45,0))),"")</f>
        <v/>
      </c>
      <c r="CU22" s="14">
        <f>IF(AND(ISNUMBER(CT22),ISNUMBER(Summary!$E$38)),CT22-Summary!$E$38,"")</f>
        <v/>
      </c>
      <c r="CV22" s="14">
        <f>IF(AND(ISNUMBER(CT22),ISNUMBER(Summary!$G$38)),CT22-Summary!$G$38,"")</f>
        <v/>
      </c>
    </row>
    <row r="23">
      <c r="A23" s="27" t="n">
        <v>46276</v>
      </c>
      <c r="B23" s="7">
        <f>IFERROR(IF(INDEX(Data!$C$2:$C$45,MATCH($A23,Data!$A$2:$A$45,0))="","",INDEX(Data!$C$2:$C$45,MATCH($A23,Data!$A$2:$A$45,0))),"")</f>
        <v/>
      </c>
      <c r="C23" s="14">
        <f>IF(AND(ISNUMBER(B23),ISNUMBER(Summary!$E$6)),B23-Summary!$E$6,"")</f>
        <v/>
      </c>
      <c r="D23" s="14">
        <f>IF(AND(ISNUMBER(B23),ISNUMBER(Summary!$G$6)),B23-Summary!$G$6,"")</f>
        <v/>
      </c>
      <c r="E23" s="7">
        <f>IFERROR(IF(INDEX(Data!$D$2:$D$45,MATCH($A23,Data!$A$2:$A$45,0))="","",INDEX(Data!$D$2:$D$45,MATCH($A23,Data!$A$2:$A$45,0))),"")</f>
        <v/>
      </c>
      <c r="F23" s="14">
        <f>IF(AND(ISNUMBER(E23),ISNUMBER(Summary!$E$7)),E23-Summary!$E$7,"")</f>
        <v/>
      </c>
      <c r="G23" s="14">
        <f>IF(AND(ISNUMBER(E23),ISNUMBER(Summary!$G$7)),E23-Summary!$G$7,"")</f>
        <v/>
      </c>
      <c r="H23" s="7">
        <f>IFERROR(IF(INDEX(Data!$E$2:$E$45,MATCH($A23,Data!$A$2:$A$45,0))="","",INDEX(Data!$E$2:$E$45,MATCH($A23,Data!$A$2:$A$45,0))),"")</f>
        <v/>
      </c>
      <c r="I23" s="14">
        <f>IF(AND(ISNUMBER(H23),ISNUMBER(Summary!$E$8)),H23-Summary!$E$8,"")</f>
        <v/>
      </c>
      <c r="J23" s="14">
        <f>IF(AND(ISNUMBER(H23),ISNUMBER(Summary!$G$8)),H23-Summary!$G$8,"")</f>
        <v/>
      </c>
      <c r="K23" s="7">
        <f>IFERROR(IF(INDEX(Data!$F$2:$F$45,MATCH($A23,Data!$A$2:$A$45,0))="","",INDEX(Data!$F$2:$F$45,MATCH($A23,Data!$A$2:$A$45,0))),"")</f>
        <v/>
      </c>
      <c r="L23" s="14">
        <f>IF(AND(ISNUMBER(K23),ISNUMBER(Summary!$E$9)),K23-Summary!$E$9,"")</f>
        <v/>
      </c>
      <c r="M23" s="14">
        <f>IF(AND(ISNUMBER(K23),ISNUMBER(Summary!$G$9)),K23-Summary!$G$9,"")</f>
        <v/>
      </c>
      <c r="N23" s="7">
        <f>IFERROR(IF(INDEX(Data!$G$2:$G$45,MATCH($A23,Data!$A$2:$A$45,0))="","",INDEX(Data!$G$2:$G$45,MATCH($A23,Data!$A$2:$A$45,0))),"")</f>
        <v/>
      </c>
      <c r="O23" s="14">
        <f>IF(AND(ISNUMBER(N23),ISNUMBER(Summary!$E$10)),N23-Summary!$E$10,"")</f>
        <v/>
      </c>
      <c r="P23" s="14">
        <f>IF(AND(ISNUMBER(N23),ISNUMBER(Summary!$G$10)),N23-Summary!$G$10,"")</f>
        <v/>
      </c>
      <c r="Q23" s="7">
        <f>IFERROR(IF(INDEX(Data!$H$2:$H$45,MATCH($A23,Data!$A$2:$A$45,0))="","",INDEX(Data!$H$2:$H$45,MATCH($A23,Data!$A$2:$A$45,0))),"")</f>
        <v/>
      </c>
      <c r="R23" s="14">
        <f>IF(AND(ISNUMBER(Q23),ISNUMBER(Summary!$E$11)),Q23-Summary!$E$11,"")</f>
        <v/>
      </c>
      <c r="S23" s="14">
        <f>IF(AND(ISNUMBER(Q23),ISNUMBER(Summary!$G$11)),Q23-Summary!$G$11,"")</f>
        <v/>
      </c>
      <c r="T23" s="7">
        <f>IFERROR(IF(INDEX(Data!$I$2:$I$45,MATCH($A23,Data!$A$2:$A$45,0))="","",INDEX(Data!$I$2:$I$45,MATCH($A23,Data!$A$2:$A$45,0))),"")</f>
        <v/>
      </c>
      <c r="U23" s="14">
        <f>IF(AND(ISNUMBER(T23),ISNUMBER(Summary!$E$12)),T23-Summary!$E$12,"")</f>
        <v/>
      </c>
      <c r="V23" s="14">
        <f>IF(AND(ISNUMBER(T23),ISNUMBER(Summary!$G$12)),T23-Summary!$G$12,"")</f>
        <v/>
      </c>
      <c r="W23" s="7">
        <f>IFERROR(IF(INDEX(Data!$J$2:$J$45,MATCH($A23,Data!$A$2:$A$45,0))="","",INDEX(Data!$J$2:$J$45,MATCH($A23,Data!$A$2:$A$45,0))),"")</f>
        <v/>
      </c>
      <c r="X23" s="14">
        <f>IF(AND(ISNUMBER(W23),ISNUMBER(Summary!$E$13)),W23-Summary!$E$13,"")</f>
        <v/>
      </c>
      <c r="Y23" s="14">
        <f>IF(AND(ISNUMBER(W23),ISNUMBER(Summary!$G$13)),W23-Summary!$G$13,"")</f>
        <v/>
      </c>
      <c r="Z23" s="7">
        <f>IFERROR(IF(INDEX(Data!$K$2:$K$45,MATCH($A23,Data!$A$2:$A$45,0))="","",INDEX(Data!$K$2:$K$45,MATCH($A23,Data!$A$2:$A$45,0))),"")</f>
        <v/>
      </c>
      <c r="AA23" s="14">
        <f>IF(AND(ISNUMBER(Z23),ISNUMBER(Summary!$E$14)),Z23-Summary!$E$14,"")</f>
        <v/>
      </c>
      <c r="AB23" s="14">
        <f>IF(AND(ISNUMBER(Z23),ISNUMBER(Summary!$G$14)),Z23-Summary!$G$14,"")</f>
        <v/>
      </c>
      <c r="AC23" s="7">
        <f>IFERROR(IF(INDEX(Data!$L$2:$L$45,MATCH($A23,Data!$A$2:$A$45,0))="","",INDEX(Data!$L$2:$L$45,MATCH($A23,Data!$A$2:$A$45,0))),"")</f>
        <v/>
      </c>
      <c r="AD23" s="14">
        <f>IF(AND(ISNUMBER(AC23),ISNUMBER(Summary!$E$15)),AC23-Summary!$E$15,"")</f>
        <v/>
      </c>
      <c r="AE23" s="14">
        <f>IF(AND(ISNUMBER(AC23),ISNUMBER(Summary!$G$15)),AC23-Summary!$G$15,"")</f>
        <v/>
      </c>
      <c r="AF23" s="7">
        <f>IFERROR(IF(INDEX(Data!$M$2:$M$45,MATCH($A23,Data!$A$2:$A$45,0))="","",INDEX(Data!$M$2:$M$45,MATCH($A23,Data!$A$2:$A$45,0))),"")</f>
        <v/>
      </c>
      <c r="AG23" s="14">
        <f>IF(AND(ISNUMBER(AF23),ISNUMBER(Summary!$E$16)),AF23-Summary!$E$16,"")</f>
        <v/>
      </c>
      <c r="AH23" s="14">
        <f>IF(AND(ISNUMBER(AF23),ISNUMBER(Summary!$G$16)),AF23-Summary!$G$16,"")</f>
        <v/>
      </c>
      <c r="AI23" s="7">
        <f>IFERROR(IF(INDEX(Data!$N$2:$N$45,MATCH($A23,Data!$A$2:$A$45,0))="","",INDEX(Data!$N$2:$N$45,MATCH($A23,Data!$A$2:$A$45,0))),"")</f>
        <v/>
      </c>
      <c r="AJ23" s="14">
        <f>IF(AND(ISNUMBER(AI23),ISNUMBER(Summary!$E$17)),AI23-Summary!$E$17,"")</f>
        <v/>
      </c>
      <c r="AK23" s="14">
        <f>IF(AND(ISNUMBER(AI23),ISNUMBER(Summary!$G$17)),AI23-Summary!$G$17,"")</f>
        <v/>
      </c>
      <c r="AL23" s="7">
        <f>IFERROR(IF(INDEX(Data!$O$2:$O$45,MATCH($A23,Data!$A$2:$A$45,0))="","",INDEX(Data!$O$2:$O$45,MATCH($A23,Data!$A$2:$A$45,0))),"")</f>
        <v/>
      </c>
      <c r="AM23" s="14">
        <f>IF(AND(ISNUMBER(AL23),ISNUMBER(Summary!$E$18)),AL23-Summary!$E$18,"")</f>
        <v/>
      </c>
      <c r="AN23" s="14">
        <f>IF(AND(ISNUMBER(AL23),ISNUMBER(Summary!$G$18)),AL23-Summary!$G$18,"")</f>
        <v/>
      </c>
      <c r="AO23" s="7">
        <f>IFERROR(IF(INDEX(Data!$P$2:$P$45,MATCH($A23,Data!$A$2:$A$45,0))="","",INDEX(Data!$P$2:$P$45,MATCH($A23,Data!$A$2:$A$45,0))),"")</f>
        <v/>
      </c>
      <c r="AP23" s="14">
        <f>IF(AND(ISNUMBER(AO23),ISNUMBER(Summary!$E$19)),AO23-Summary!$E$19,"")</f>
        <v/>
      </c>
      <c r="AQ23" s="14">
        <f>IF(AND(ISNUMBER(AO23),ISNUMBER(Summary!$G$19)),AO23-Summary!$G$19,"")</f>
        <v/>
      </c>
      <c r="AR23" s="7">
        <f>IFERROR(IF(INDEX(Data!$Q$2:$Q$45,MATCH($A23,Data!$A$2:$A$45,0))="","",INDEX(Data!$Q$2:$Q$45,MATCH($A23,Data!$A$2:$A$45,0))),"")</f>
        <v/>
      </c>
      <c r="AS23" s="14">
        <f>IF(AND(ISNUMBER(AR23),ISNUMBER(Summary!$E$20)),AR23-Summary!$E$20,"")</f>
        <v/>
      </c>
      <c r="AT23" s="14">
        <f>IF(AND(ISNUMBER(AR23),ISNUMBER(Summary!$G$20)),AR23-Summary!$G$20,"")</f>
        <v/>
      </c>
      <c r="AU23" s="7">
        <f>IFERROR(IF(INDEX(Data!$R$2:$R$45,MATCH($A23,Data!$A$2:$A$45,0))="","",INDEX(Data!$R$2:$R$45,MATCH($A23,Data!$A$2:$A$45,0))),"")</f>
        <v/>
      </c>
      <c r="AV23" s="14">
        <f>IF(AND(ISNUMBER(AU23),ISNUMBER(Summary!$E$21)),AU23-Summary!$E$21,"")</f>
        <v/>
      </c>
      <c r="AW23" s="14">
        <f>IF(AND(ISNUMBER(AU23),ISNUMBER(Summary!$G$21)),AU23-Summary!$G$21,"")</f>
        <v/>
      </c>
      <c r="AX23" s="7">
        <f>IFERROR(IF(INDEX(Data!$S$2:$S$45,MATCH($A23,Data!$A$2:$A$45,0))="","",INDEX(Data!$S$2:$S$45,MATCH($A23,Data!$A$2:$A$45,0))),"")</f>
        <v/>
      </c>
      <c r="AY23" s="14">
        <f>IF(AND(ISNUMBER(AX23),ISNUMBER(Summary!$E$22)),AX23-Summary!$E$22,"")</f>
        <v/>
      </c>
      <c r="AZ23" s="14">
        <f>IF(AND(ISNUMBER(AX23),ISNUMBER(Summary!$G$22)),AX23-Summary!$G$22,"")</f>
        <v/>
      </c>
      <c r="BA23" s="7">
        <f>IFERROR(IF(INDEX(Data!$T$2:$T$45,MATCH($A23,Data!$A$2:$A$45,0))="","",INDEX(Data!$T$2:$T$45,MATCH($A23,Data!$A$2:$A$45,0))),"")</f>
        <v/>
      </c>
      <c r="BB23" s="14">
        <f>IF(AND(ISNUMBER(BA23),ISNUMBER(Summary!$E$23)),BA23-Summary!$E$23,"")</f>
        <v/>
      </c>
      <c r="BC23" s="14">
        <f>IF(AND(ISNUMBER(BA23),ISNUMBER(Summary!$G$23)),BA23-Summary!$G$23,"")</f>
        <v/>
      </c>
      <c r="BD23" s="7">
        <f>IFERROR(IF(INDEX(Data!$U$2:$U$45,MATCH($A23,Data!$A$2:$A$45,0))="","",INDEX(Data!$U$2:$U$45,MATCH($A23,Data!$A$2:$A$45,0))),"")</f>
        <v/>
      </c>
      <c r="BE23" s="14">
        <f>IF(AND(ISNUMBER(BD23),ISNUMBER(Summary!$E$24)),BD23-Summary!$E$24,"")</f>
        <v/>
      </c>
      <c r="BF23" s="14">
        <f>IF(AND(ISNUMBER(BD23),ISNUMBER(Summary!$G$24)),BD23-Summary!$G$24,"")</f>
        <v/>
      </c>
      <c r="BG23" s="7">
        <f>IFERROR(IF(INDEX(Data!$V$2:$V$45,MATCH($A23,Data!$A$2:$A$45,0))="","",INDEX(Data!$V$2:$V$45,MATCH($A23,Data!$A$2:$A$45,0))),"")</f>
        <v/>
      </c>
      <c r="BH23" s="14">
        <f>IF(AND(ISNUMBER(BG23),ISNUMBER(Summary!$E$25)),BG23-Summary!$E$25,"")</f>
        <v/>
      </c>
      <c r="BI23" s="14">
        <f>IF(AND(ISNUMBER(BG23),ISNUMBER(Summary!$G$25)),BG23-Summary!$G$25,"")</f>
        <v/>
      </c>
      <c r="BJ23" s="7">
        <f>IFERROR(IF(INDEX(Data!$W$2:$W$45,MATCH($A23,Data!$A$2:$A$45,0))="","",INDEX(Data!$W$2:$W$45,MATCH($A23,Data!$A$2:$A$45,0))),"")</f>
        <v/>
      </c>
      <c r="BK23" s="14">
        <f>IF(AND(ISNUMBER(BJ23),ISNUMBER(Summary!$E$26)),BJ23-Summary!$E$26,"")</f>
        <v/>
      </c>
      <c r="BL23" s="14">
        <f>IF(AND(ISNUMBER(BJ23),ISNUMBER(Summary!$G$26)),BJ23-Summary!$G$26,"")</f>
        <v/>
      </c>
      <c r="BM23" s="7">
        <f>IFERROR(IF(INDEX(Data!$X$2:$X$45,MATCH($A23,Data!$A$2:$A$45,0))="","",INDEX(Data!$X$2:$X$45,MATCH($A23,Data!$A$2:$A$45,0))),"")</f>
        <v/>
      </c>
      <c r="BN23" s="14">
        <f>IF(AND(ISNUMBER(BM23),ISNUMBER(Summary!$E$27)),BM23-Summary!$E$27,"")</f>
        <v/>
      </c>
      <c r="BO23" s="14">
        <f>IF(AND(ISNUMBER(BM23),ISNUMBER(Summary!$G$27)),BM23-Summary!$G$27,"")</f>
        <v/>
      </c>
      <c r="BP23" s="7">
        <f>IFERROR(IF(INDEX(Data!$Y$2:$Y$45,MATCH($A23,Data!$A$2:$A$45,0))="","",INDEX(Data!$Y$2:$Y$45,MATCH($A23,Data!$A$2:$A$45,0))),"")</f>
        <v/>
      </c>
      <c r="BQ23" s="14">
        <f>IF(AND(ISNUMBER(BP23),ISNUMBER(Summary!$E$28)),BP23-Summary!$E$28,"")</f>
        <v/>
      </c>
      <c r="BR23" s="14">
        <f>IF(AND(ISNUMBER(BP23),ISNUMBER(Summary!$G$28)),BP23-Summary!$G$28,"")</f>
        <v/>
      </c>
      <c r="BS23" s="7">
        <f>IFERROR(IF(INDEX(Data!$Z$2:$Z$45,MATCH($A23,Data!$A$2:$A$45,0))="","",INDEX(Data!$Z$2:$Z$45,MATCH($A23,Data!$A$2:$A$45,0))),"")</f>
        <v/>
      </c>
      <c r="BT23" s="14">
        <f>IF(AND(ISNUMBER(BS23),ISNUMBER(Summary!$E$29)),BS23-Summary!$E$29,"")</f>
        <v/>
      </c>
      <c r="BU23" s="14">
        <f>IF(AND(ISNUMBER(BS23),ISNUMBER(Summary!$G$29)),BS23-Summary!$G$29,"")</f>
        <v/>
      </c>
      <c r="BV23" s="7">
        <f>IFERROR(IF(INDEX(Data!$AA$2:$AA$45,MATCH($A23,Data!$A$2:$A$45,0))="","",INDEX(Data!$AA$2:$AA$45,MATCH($A23,Data!$A$2:$A$45,0))),"")</f>
        <v/>
      </c>
      <c r="BW23" s="14">
        <f>IF(AND(ISNUMBER(BV23),ISNUMBER(Summary!$E$30)),BV23-Summary!$E$30,"")</f>
        <v/>
      </c>
      <c r="BX23" s="14">
        <f>IF(AND(ISNUMBER(BV23),ISNUMBER(Summary!$G$30)),BV23-Summary!$G$30,"")</f>
        <v/>
      </c>
      <c r="BY23" s="7">
        <f>IFERROR(IF(INDEX(Data!$AB$2:$AB$45,MATCH($A23,Data!$A$2:$A$45,0))="","",INDEX(Data!$AB$2:$AB$45,MATCH($A23,Data!$A$2:$A$45,0))),"")</f>
        <v/>
      </c>
      <c r="BZ23" s="14">
        <f>IF(AND(ISNUMBER(BY23),ISNUMBER(Summary!$E$31)),BY23-Summary!$E$31,"")</f>
        <v/>
      </c>
      <c r="CA23" s="14">
        <f>IF(AND(ISNUMBER(BY23),ISNUMBER(Summary!$G$31)),BY23-Summary!$G$31,"")</f>
        <v/>
      </c>
      <c r="CB23" s="7">
        <f>IFERROR(IF(INDEX(Data!$AC$2:$AC$45,MATCH($A23,Data!$A$2:$A$45,0))="","",INDEX(Data!$AC$2:$AC$45,MATCH($A23,Data!$A$2:$A$45,0))),"")</f>
        <v/>
      </c>
      <c r="CC23" s="14">
        <f>IF(AND(ISNUMBER(CB23),ISNUMBER(Summary!$E$32)),CB23-Summary!$E$32,"")</f>
        <v/>
      </c>
      <c r="CD23" s="14">
        <f>IF(AND(ISNUMBER(CB23),ISNUMBER(Summary!$G$32)),CB23-Summary!$G$32,"")</f>
        <v/>
      </c>
      <c r="CE23" s="7">
        <f>IFERROR(IF(INDEX(Data!$AD$2:$AD$45,MATCH($A23,Data!$A$2:$A$45,0))="","",INDEX(Data!$AD$2:$AD$45,MATCH($A23,Data!$A$2:$A$45,0))),"")</f>
        <v/>
      </c>
      <c r="CF23" s="14">
        <f>IF(AND(ISNUMBER(CE23),ISNUMBER(Summary!$E$33)),CE23-Summary!$E$33,"")</f>
        <v/>
      </c>
      <c r="CG23" s="14">
        <f>IF(AND(ISNUMBER(CE23),ISNUMBER(Summary!$G$33)),CE23-Summary!$G$33,"")</f>
        <v/>
      </c>
      <c r="CH23" s="7">
        <f>IFERROR(IF(INDEX(Data!$AE$2:$AE$45,MATCH($A23,Data!$A$2:$A$45,0))="","",INDEX(Data!$AE$2:$AE$45,MATCH($A23,Data!$A$2:$A$45,0))),"")</f>
        <v/>
      </c>
      <c r="CI23" s="14">
        <f>IF(AND(ISNUMBER(CH23),ISNUMBER(Summary!$E$34)),CH23-Summary!$E$34,"")</f>
        <v/>
      </c>
      <c r="CJ23" s="14">
        <f>IF(AND(ISNUMBER(CH23),ISNUMBER(Summary!$G$34)),CH23-Summary!$G$34,"")</f>
        <v/>
      </c>
      <c r="CK23" s="7">
        <f>IFERROR(IF(INDEX(Data!$AF$2:$AF$45,MATCH($A23,Data!$A$2:$A$45,0))="","",INDEX(Data!$AF$2:$AF$45,MATCH($A23,Data!$A$2:$A$45,0))),"")</f>
        <v/>
      </c>
      <c r="CL23" s="14">
        <f>IF(AND(ISNUMBER(CK23),ISNUMBER(Summary!$E$35)),CK23-Summary!$E$35,"")</f>
        <v/>
      </c>
      <c r="CM23" s="14">
        <f>IF(AND(ISNUMBER(CK23),ISNUMBER(Summary!$G$35)),CK23-Summary!$G$35,"")</f>
        <v/>
      </c>
      <c r="CN23" s="7">
        <f>IFERROR(IF(INDEX(Data!$AG$2:$AG$45,MATCH($A23,Data!$A$2:$A$45,0))="","",INDEX(Data!$AG$2:$AG$45,MATCH($A23,Data!$A$2:$A$45,0))),"")</f>
        <v/>
      </c>
      <c r="CO23" s="14">
        <f>IF(AND(ISNUMBER(CN23),ISNUMBER(Summary!$E$36)),CN23-Summary!$E$36,"")</f>
        <v/>
      </c>
      <c r="CP23" s="14">
        <f>IF(AND(ISNUMBER(CN23),ISNUMBER(Summary!$G$36)),CN23-Summary!$G$36,"")</f>
        <v/>
      </c>
      <c r="CQ23" s="7">
        <f>IFERROR(IF(INDEX(Data!$AH$2:$AH$45,MATCH($A23,Data!$A$2:$A$45,0))="","",INDEX(Data!$AH$2:$AH$45,MATCH($A23,Data!$A$2:$A$45,0))),"")</f>
        <v/>
      </c>
      <c r="CR23" s="14">
        <f>IF(AND(ISNUMBER(CQ23),ISNUMBER(Summary!$E$37)),CQ23-Summary!$E$37,"")</f>
        <v/>
      </c>
      <c r="CS23" s="14">
        <f>IF(AND(ISNUMBER(CQ23),ISNUMBER(Summary!$G$37)),CQ23-Summary!$G$37,"")</f>
        <v/>
      </c>
      <c r="CT23" s="7">
        <f>IFERROR(IF(INDEX(Data!$AI$2:$AI$45,MATCH($A23,Data!$A$2:$A$45,0))="","",INDEX(Data!$AI$2:$AI$45,MATCH($A23,Data!$A$2:$A$45,0))),"")</f>
        <v/>
      </c>
      <c r="CU23" s="14">
        <f>IF(AND(ISNUMBER(CT23),ISNUMBER(Summary!$E$38)),CT23-Summary!$E$38,"")</f>
        <v/>
      </c>
      <c r="CV23" s="14">
        <f>IF(AND(ISNUMBER(CT23),ISNUMBER(Summary!$G$38)),CT23-Summary!$G$38,"")</f>
        <v/>
      </c>
    </row>
    <row r="24">
      <c r="A24" s="27" t="n">
        <v>46275</v>
      </c>
      <c r="B24" s="7">
        <f>IFERROR(IF(INDEX(Data!$C$2:$C$45,MATCH($A24,Data!$A$2:$A$45,0))="","",INDEX(Data!$C$2:$C$45,MATCH($A24,Data!$A$2:$A$45,0))),"")</f>
        <v/>
      </c>
      <c r="C24" s="14">
        <f>IF(AND(ISNUMBER(B24),ISNUMBER(Summary!$E$6)),B24-Summary!$E$6,"")</f>
        <v/>
      </c>
      <c r="D24" s="14">
        <f>IF(AND(ISNUMBER(B24),ISNUMBER(Summary!$G$6)),B24-Summary!$G$6,"")</f>
        <v/>
      </c>
      <c r="E24" s="7">
        <f>IFERROR(IF(INDEX(Data!$D$2:$D$45,MATCH($A24,Data!$A$2:$A$45,0))="","",INDEX(Data!$D$2:$D$45,MATCH($A24,Data!$A$2:$A$45,0))),"")</f>
        <v/>
      </c>
      <c r="F24" s="14">
        <f>IF(AND(ISNUMBER(E24),ISNUMBER(Summary!$E$7)),E24-Summary!$E$7,"")</f>
        <v/>
      </c>
      <c r="G24" s="14">
        <f>IF(AND(ISNUMBER(E24),ISNUMBER(Summary!$G$7)),E24-Summary!$G$7,"")</f>
        <v/>
      </c>
      <c r="H24" s="7">
        <f>IFERROR(IF(INDEX(Data!$E$2:$E$45,MATCH($A24,Data!$A$2:$A$45,0))="","",INDEX(Data!$E$2:$E$45,MATCH($A24,Data!$A$2:$A$45,0))),"")</f>
        <v/>
      </c>
      <c r="I24" s="14">
        <f>IF(AND(ISNUMBER(H24),ISNUMBER(Summary!$E$8)),H24-Summary!$E$8,"")</f>
        <v/>
      </c>
      <c r="J24" s="14">
        <f>IF(AND(ISNUMBER(H24),ISNUMBER(Summary!$G$8)),H24-Summary!$G$8,"")</f>
        <v/>
      </c>
      <c r="K24" s="7">
        <f>IFERROR(IF(INDEX(Data!$F$2:$F$45,MATCH($A24,Data!$A$2:$A$45,0))="","",INDEX(Data!$F$2:$F$45,MATCH($A24,Data!$A$2:$A$45,0))),"")</f>
        <v/>
      </c>
      <c r="L24" s="14">
        <f>IF(AND(ISNUMBER(K24),ISNUMBER(Summary!$E$9)),K24-Summary!$E$9,"")</f>
        <v/>
      </c>
      <c r="M24" s="14">
        <f>IF(AND(ISNUMBER(K24),ISNUMBER(Summary!$G$9)),K24-Summary!$G$9,"")</f>
        <v/>
      </c>
      <c r="N24" s="7">
        <f>IFERROR(IF(INDEX(Data!$G$2:$G$45,MATCH($A24,Data!$A$2:$A$45,0))="","",INDEX(Data!$G$2:$G$45,MATCH($A24,Data!$A$2:$A$45,0))),"")</f>
        <v/>
      </c>
      <c r="O24" s="14">
        <f>IF(AND(ISNUMBER(N24),ISNUMBER(Summary!$E$10)),N24-Summary!$E$10,"")</f>
        <v/>
      </c>
      <c r="P24" s="14">
        <f>IF(AND(ISNUMBER(N24),ISNUMBER(Summary!$G$10)),N24-Summary!$G$10,"")</f>
        <v/>
      </c>
      <c r="Q24" s="7">
        <f>IFERROR(IF(INDEX(Data!$H$2:$H$45,MATCH($A24,Data!$A$2:$A$45,0))="","",INDEX(Data!$H$2:$H$45,MATCH($A24,Data!$A$2:$A$45,0))),"")</f>
        <v/>
      </c>
      <c r="R24" s="14">
        <f>IF(AND(ISNUMBER(Q24),ISNUMBER(Summary!$E$11)),Q24-Summary!$E$11,"")</f>
        <v/>
      </c>
      <c r="S24" s="14">
        <f>IF(AND(ISNUMBER(Q24),ISNUMBER(Summary!$G$11)),Q24-Summary!$G$11,"")</f>
        <v/>
      </c>
      <c r="T24" s="7">
        <f>IFERROR(IF(INDEX(Data!$I$2:$I$45,MATCH($A24,Data!$A$2:$A$45,0))="","",INDEX(Data!$I$2:$I$45,MATCH($A24,Data!$A$2:$A$45,0))),"")</f>
        <v/>
      </c>
      <c r="U24" s="14">
        <f>IF(AND(ISNUMBER(T24),ISNUMBER(Summary!$E$12)),T24-Summary!$E$12,"")</f>
        <v/>
      </c>
      <c r="V24" s="14">
        <f>IF(AND(ISNUMBER(T24),ISNUMBER(Summary!$G$12)),T24-Summary!$G$12,"")</f>
        <v/>
      </c>
      <c r="W24" s="7">
        <f>IFERROR(IF(INDEX(Data!$J$2:$J$45,MATCH($A24,Data!$A$2:$A$45,0))="","",INDEX(Data!$J$2:$J$45,MATCH($A24,Data!$A$2:$A$45,0))),"")</f>
        <v/>
      </c>
      <c r="X24" s="14">
        <f>IF(AND(ISNUMBER(W24),ISNUMBER(Summary!$E$13)),W24-Summary!$E$13,"")</f>
        <v/>
      </c>
      <c r="Y24" s="14">
        <f>IF(AND(ISNUMBER(W24),ISNUMBER(Summary!$G$13)),W24-Summary!$G$13,"")</f>
        <v/>
      </c>
      <c r="Z24" s="7">
        <f>IFERROR(IF(INDEX(Data!$K$2:$K$45,MATCH($A24,Data!$A$2:$A$45,0))="","",INDEX(Data!$K$2:$K$45,MATCH($A24,Data!$A$2:$A$45,0))),"")</f>
        <v/>
      </c>
      <c r="AA24" s="14">
        <f>IF(AND(ISNUMBER(Z24),ISNUMBER(Summary!$E$14)),Z24-Summary!$E$14,"")</f>
        <v/>
      </c>
      <c r="AB24" s="14">
        <f>IF(AND(ISNUMBER(Z24),ISNUMBER(Summary!$G$14)),Z24-Summary!$G$14,"")</f>
        <v/>
      </c>
      <c r="AC24" s="7">
        <f>IFERROR(IF(INDEX(Data!$L$2:$L$45,MATCH($A24,Data!$A$2:$A$45,0))="","",INDEX(Data!$L$2:$L$45,MATCH($A24,Data!$A$2:$A$45,0))),"")</f>
        <v/>
      </c>
      <c r="AD24" s="14">
        <f>IF(AND(ISNUMBER(AC24),ISNUMBER(Summary!$E$15)),AC24-Summary!$E$15,"")</f>
        <v/>
      </c>
      <c r="AE24" s="14">
        <f>IF(AND(ISNUMBER(AC24),ISNUMBER(Summary!$G$15)),AC24-Summary!$G$15,"")</f>
        <v/>
      </c>
      <c r="AF24" s="7">
        <f>IFERROR(IF(INDEX(Data!$M$2:$M$45,MATCH($A24,Data!$A$2:$A$45,0))="","",INDEX(Data!$M$2:$M$45,MATCH($A24,Data!$A$2:$A$45,0))),"")</f>
        <v/>
      </c>
      <c r="AG24" s="14">
        <f>IF(AND(ISNUMBER(AF24),ISNUMBER(Summary!$E$16)),AF24-Summary!$E$16,"")</f>
        <v/>
      </c>
      <c r="AH24" s="14">
        <f>IF(AND(ISNUMBER(AF24),ISNUMBER(Summary!$G$16)),AF24-Summary!$G$16,"")</f>
        <v/>
      </c>
      <c r="AI24" s="7">
        <f>IFERROR(IF(INDEX(Data!$N$2:$N$45,MATCH($A24,Data!$A$2:$A$45,0))="","",INDEX(Data!$N$2:$N$45,MATCH($A24,Data!$A$2:$A$45,0))),"")</f>
        <v/>
      </c>
      <c r="AJ24" s="14">
        <f>IF(AND(ISNUMBER(AI24),ISNUMBER(Summary!$E$17)),AI24-Summary!$E$17,"")</f>
        <v/>
      </c>
      <c r="AK24" s="14">
        <f>IF(AND(ISNUMBER(AI24),ISNUMBER(Summary!$G$17)),AI24-Summary!$G$17,"")</f>
        <v/>
      </c>
      <c r="AL24" s="7">
        <f>IFERROR(IF(INDEX(Data!$O$2:$O$45,MATCH($A24,Data!$A$2:$A$45,0))="","",INDEX(Data!$O$2:$O$45,MATCH($A24,Data!$A$2:$A$45,0))),"")</f>
        <v/>
      </c>
      <c r="AM24" s="14">
        <f>IF(AND(ISNUMBER(AL24),ISNUMBER(Summary!$E$18)),AL24-Summary!$E$18,"")</f>
        <v/>
      </c>
      <c r="AN24" s="14">
        <f>IF(AND(ISNUMBER(AL24),ISNUMBER(Summary!$G$18)),AL24-Summary!$G$18,"")</f>
        <v/>
      </c>
      <c r="AO24" s="7">
        <f>IFERROR(IF(INDEX(Data!$P$2:$P$45,MATCH($A24,Data!$A$2:$A$45,0))="","",INDEX(Data!$P$2:$P$45,MATCH($A24,Data!$A$2:$A$45,0))),"")</f>
        <v/>
      </c>
      <c r="AP24" s="14">
        <f>IF(AND(ISNUMBER(AO24),ISNUMBER(Summary!$E$19)),AO24-Summary!$E$19,"")</f>
        <v/>
      </c>
      <c r="AQ24" s="14">
        <f>IF(AND(ISNUMBER(AO24),ISNUMBER(Summary!$G$19)),AO24-Summary!$G$19,"")</f>
        <v/>
      </c>
      <c r="AR24" s="7">
        <f>IFERROR(IF(INDEX(Data!$Q$2:$Q$45,MATCH($A24,Data!$A$2:$A$45,0))="","",INDEX(Data!$Q$2:$Q$45,MATCH($A24,Data!$A$2:$A$45,0))),"")</f>
        <v/>
      </c>
      <c r="AS24" s="14">
        <f>IF(AND(ISNUMBER(AR24),ISNUMBER(Summary!$E$20)),AR24-Summary!$E$20,"")</f>
        <v/>
      </c>
      <c r="AT24" s="14">
        <f>IF(AND(ISNUMBER(AR24),ISNUMBER(Summary!$G$20)),AR24-Summary!$G$20,"")</f>
        <v/>
      </c>
      <c r="AU24" s="7">
        <f>IFERROR(IF(INDEX(Data!$R$2:$R$45,MATCH($A24,Data!$A$2:$A$45,0))="","",INDEX(Data!$R$2:$R$45,MATCH($A24,Data!$A$2:$A$45,0))),"")</f>
        <v/>
      </c>
      <c r="AV24" s="14">
        <f>IF(AND(ISNUMBER(AU24),ISNUMBER(Summary!$E$21)),AU24-Summary!$E$21,"")</f>
        <v/>
      </c>
      <c r="AW24" s="14">
        <f>IF(AND(ISNUMBER(AU24),ISNUMBER(Summary!$G$21)),AU24-Summary!$G$21,"")</f>
        <v/>
      </c>
      <c r="AX24" s="7">
        <f>IFERROR(IF(INDEX(Data!$S$2:$S$45,MATCH($A24,Data!$A$2:$A$45,0))="","",INDEX(Data!$S$2:$S$45,MATCH($A24,Data!$A$2:$A$45,0))),"")</f>
        <v/>
      </c>
      <c r="AY24" s="14">
        <f>IF(AND(ISNUMBER(AX24),ISNUMBER(Summary!$E$22)),AX24-Summary!$E$22,"")</f>
        <v/>
      </c>
      <c r="AZ24" s="14">
        <f>IF(AND(ISNUMBER(AX24),ISNUMBER(Summary!$G$22)),AX24-Summary!$G$22,"")</f>
        <v/>
      </c>
      <c r="BA24" s="7">
        <f>IFERROR(IF(INDEX(Data!$T$2:$T$45,MATCH($A24,Data!$A$2:$A$45,0))="","",INDEX(Data!$T$2:$T$45,MATCH($A24,Data!$A$2:$A$45,0))),"")</f>
        <v/>
      </c>
      <c r="BB24" s="14">
        <f>IF(AND(ISNUMBER(BA24),ISNUMBER(Summary!$E$23)),BA24-Summary!$E$23,"")</f>
        <v/>
      </c>
      <c r="BC24" s="14">
        <f>IF(AND(ISNUMBER(BA24),ISNUMBER(Summary!$G$23)),BA24-Summary!$G$23,"")</f>
        <v/>
      </c>
      <c r="BD24" s="7">
        <f>IFERROR(IF(INDEX(Data!$U$2:$U$45,MATCH($A24,Data!$A$2:$A$45,0))="","",INDEX(Data!$U$2:$U$45,MATCH($A24,Data!$A$2:$A$45,0))),"")</f>
        <v/>
      </c>
      <c r="BE24" s="14">
        <f>IF(AND(ISNUMBER(BD24),ISNUMBER(Summary!$E$24)),BD24-Summary!$E$24,"")</f>
        <v/>
      </c>
      <c r="BF24" s="14">
        <f>IF(AND(ISNUMBER(BD24),ISNUMBER(Summary!$G$24)),BD24-Summary!$G$24,"")</f>
        <v/>
      </c>
      <c r="BG24" s="7">
        <f>IFERROR(IF(INDEX(Data!$V$2:$V$45,MATCH($A24,Data!$A$2:$A$45,0))="","",INDEX(Data!$V$2:$V$45,MATCH($A24,Data!$A$2:$A$45,0))),"")</f>
        <v/>
      </c>
      <c r="BH24" s="14">
        <f>IF(AND(ISNUMBER(BG24),ISNUMBER(Summary!$E$25)),BG24-Summary!$E$25,"")</f>
        <v/>
      </c>
      <c r="BI24" s="14">
        <f>IF(AND(ISNUMBER(BG24),ISNUMBER(Summary!$G$25)),BG24-Summary!$G$25,"")</f>
        <v/>
      </c>
      <c r="BJ24" s="7">
        <f>IFERROR(IF(INDEX(Data!$W$2:$W$45,MATCH($A24,Data!$A$2:$A$45,0))="","",INDEX(Data!$W$2:$W$45,MATCH($A24,Data!$A$2:$A$45,0))),"")</f>
        <v/>
      </c>
      <c r="BK24" s="14">
        <f>IF(AND(ISNUMBER(BJ24),ISNUMBER(Summary!$E$26)),BJ24-Summary!$E$26,"")</f>
        <v/>
      </c>
      <c r="BL24" s="14">
        <f>IF(AND(ISNUMBER(BJ24),ISNUMBER(Summary!$G$26)),BJ24-Summary!$G$26,"")</f>
        <v/>
      </c>
      <c r="BM24" s="7">
        <f>IFERROR(IF(INDEX(Data!$X$2:$X$45,MATCH($A24,Data!$A$2:$A$45,0))="","",INDEX(Data!$X$2:$X$45,MATCH($A24,Data!$A$2:$A$45,0))),"")</f>
        <v/>
      </c>
      <c r="BN24" s="14">
        <f>IF(AND(ISNUMBER(BM24),ISNUMBER(Summary!$E$27)),BM24-Summary!$E$27,"")</f>
        <v/>
      </c>
      <c r="BO24" s="14">
        <f>IF(AND(ISNUMBER(BM24),ISNUMBER(Summary!$G$27)),BM24-Summary!$G$27,"")</f>
        <v/>
      </c>
      <c r="BP24" s="7">
        <f>IFERROR(IF(INDEX(Data!$Y$2:$Y$45,MATCH($A24,Data!$A$2:$A$45,0))="","",INDEX(Data!$Y$2:$Y$45,MATCH($A24,Data!$A$2:$A$45,0))),"")</f>
        <v/>
      </c>
      <c r="BQ24" s="14">
        <f>IF(AND(ISNUMBER(BP24),ISNUMBER(Summary!$E$28)),BP24-Summary!$E$28,"")</f>
        <v/>
      </c>
      <c r="BR24" s="14">
        <f>IF(AND(ISNUMBER(BP24),ISNUMBER(Summary!$G$28)),BP24-Summary!$G$28,"")</f>
        <v/>
      </c>
      <c r="BS24" s="7">
        <f>IFERROR(IF(INDEX(Data!$Z$2:$Z$45,MATCH($A24,Data!$A$2:$A$45,0))="","",INDEX(Data!$Z$2:$Z$45,MATCH($A24,Data!$A$2:$A$45,0))),"")</f>
        <v/>
      </c>
      <c r="BT24" s="14">
        <f>IF(AND(ISNUMBER(BS24),ISNUMBER(Summary!$E$29)),BS24-Summary!$E$29,"")</f>
        <v/>
      </c>
      <c r="BU24" s="14">
        <f>IF(AND(ISNUMBER(BS24),ISNUMBER(Summary!$G$29)),BS24-Summary!$G$29,"")</f>
        <v/>
      </c>
      <c r="BV24" s="7">
        <f>IFERROR(IF(INDEX(Data!$AA$2:$AA$45,MATCH($A24,Data!$A$2:$A$45,0))="","",INDEX(Data!$AA$2:$AA$45,MATCH($A24,Data!$A$2:$A$45,0))),"")</f>
        <v/>
      </c>
      <c r="BW24" s="14">
        <f>IF(AND(ISNUMBER(BV24),ISNUMBER(Summary!$E$30)),BV24-Summary!$E$30,"")</f>
        <v/>
      </c>
      <c r="BX24" s="14">
        <f>IF(AND(ISNUMBER(BV24),ISNUMBER(Summary!$G$30)),BV24-Summary!$G$30,"")</f>
        <v/>
      </c>
      <c r="BY24" s="7">
        <f>IFERROR(IF(INDEX(Data!$AB$2:$AB$45,MATCH($A24,Data!$A$2:$A$45,0))="","",INDEX(Data!$AB$2:$AB$45,MATCH($A24,Data!$A$2:$A$45,0))),"")</f>
        <v/>
      </c>
      <c r="BZ24" s="14">
        <f>IF(AND(ISNUMBER(BY24),ISNUMBER(Summary!$E$31)),BY24-Summary!$E$31,"")</f>
        <v/>
      </c>
      <c r="CA24" s="14">
        <f>IF(AND(ISNUMBER(BY24),ISNUMBER(Summary!$G$31)),BY24-Summary!$G$31,"")</f>
        <v/>
      </c>
      <c r="CB24" s="7">
        <f>IFERROR(IF(INDEX(Data!$AC$2:$AC$45,MATCH($A24,Data!$A$2:$A$45,0))="","",INDEX(Data!$AC$2:$AC$45,MATCH($A24,Data!$A$2:$A$45,0))),"")</f>
        <v/>
      </c>
      <c r="CC24" s="14">
        <f>IF(AND(ISNUMBER(CB24),ISNUMBER(Summary!$E$32)),CB24-Summary!$E$32,"")</f>
        <v/>
      </c>
      <c r="CD24" s="14">
        <f>IF(AND(ISNUMBER(CB24),ISNUMBER(Summary!$G$32)),CB24-Summary!$G$32,"")</f>
        <v/>
      </c>
      <c r="CE24" s="7">
        <f>IFERROR(IF(INDEX(Data!$AD$2:$AD$45,MATCH($A24,Data!$A$2:$A$45,0))="","",INDEX(Data!$AD$2:$AD$45,MATCH($A24,Data!$A$2:$A$45,0))),"")</f>
        <v/>
      </c>
      <c r="CF24" s="14">
        <f>IF(AND(ISNUMBER(CE24),ISNUMBER(Summary!$E$33)),CE24-Summary!$E$33,"")</f>
        <v/>
      </c>
      <c r="CG24" s="14">
        <f>IF(AND(ISNUMBER(CE24),ISNUMBER(Summary!$G$33)),CE24-Summary!$G$33,"")</f>
        <v/>
      </c>
      <c r="CH24" s="7">
        <f>IFERROR(IF(INDEX(Data!$AE$2:$AE$45,MATCH($A24,Data!$A$2:$A$45,0))="","",INDEX(Data!$AE$2:$AE$45,MATCH($A24,Data!$A$2:$A$45,0))),"")</f>
        <v/>
      </c>
      <c r="CI24" s="14">
        <f>IF(AND(ISNUMBER(CH24),ISNUMBER(Summary!$E$34)),CH24-Summary!$E$34,"")</f>
        <v/>
      </c>
      <c r="CJ24" s="14">
        <f>IF(AND(ISNUMBER(CH24),ISNUMBER(Summary!$G$34)),CH24-Summary!$G$34,"")</f>
        <v/>
      </c>
      <c r="CK24" s="7">
        <f>IFERROR(IF(INDEX(Data!$AF$2:$AF$45,MATCH($A24,Data!$A$2:$A$45,0))="","",INDEX(Data!$AF$2:$AF$45,MATCH($A24,Data!$A$2:$A$45,0))),"")</f>
        <v/>
      </c>
      <c r="CL24" s="14">
        <f>IF(AND(ISNUMBER(CK24),ISNUMBER(Summary!$E$35)),CK24-Summary!$E$35,"")</f>
        <v/>
      </c>
      <c r="CM24" s="14">
        <f>IF(AND(ISNUMBER(CK24),ISNUMBER(Summary!$G$35)),CK24-Summary!$G$35,"")</f>
        <v/>
      </c>
      <c r="CN24" s="7">
        <f>IFERROR(IF(INDEX(Data!$AG$2:$AG$45,MATCH($A24,Data!$A$2:$A$45,0))="","",INDEX(Data!$AG$2:$AG$45,MATCH($A24,Data!$A$2:$A$45,0))),"")</f>
        <v/>
      </c>
      <c r="CO24" s="14">
        <f>IF(AND(ISNUMBER(CN24),ISNUMBER(Summary!$E$36)),CN24-Summary!$E$36,"")</f>
        <v/>
      </c>
      <c r="CP24" s="14">
        <f>IF(AND(ISNUMBER(CN24),ISNUMBER(Summary!$G$36)),CN24-Summary!$G$36,"")</f>
        <v/>
      </c>
      <c r="CQ24" s="7">
        <f>IFERROR(IF(INDEX(Data!$AH$2:$AH$45,MATCH($A24,Data!$A$2:$A$45,0))="","",INDEX(Data!$AH$2:$AH$45,MATCH($A24,Data!$A$2:$A$45,0))),"")</f>
        <v/>
      </c>
      <c r="CR24" s="14">
        <f>IF(AND(ISNUMBER(CQ24),ISNUMBER(Summary!$E$37)),CQ24-Summary!$E$37,"")</f>
        <v/>
      </c>
      <c r="CS24" s="14">
        <f>IF(AND(ISNUMBER(CQ24),ISNUMBER(Summary!$G$37)),CQ24-Summary!$G$37,"")</f>
        <v/>
      </c>
      <c r="CT24" s="7">
        <f>IFERROR(IF(INDEX(Data!$AI$2:$AI$45,MATCH($A24,Data!$A$2:$A$45,0))="","",INDEX(Data!$AI$2:$AI$45,MATCH($A24,Data!$A$2:$A$45,0))),"")</f>
        <v/>
      </c>
      <c r="CU24" s="14">
        <f>IF(AND(ISNUMBER(CT24),ISNUMBER(Summary!$E$38)),CT24-Summary!$E$38,"")</f>
        <v/>
      </c>
      <c r="CV24" s="14">
        <f>IF(AND(ISNUMBER(CT24),ISNUMBER(Summary!$G$38)),CT24-Summary!$G$38,"")</f>
        <v/>
      </c>
    </row>
    <row r="25">
      <c r="A25" s="27" t="n">
        <v>46274</v>
      </c>
      <c r="B25" s="7">
        <f>IFERROR(IF(INDEX(Data!$C$2:$C$45,MATCH($A25,Data!$A$2:$A$45,0))="","",INDEX(Data!$C$2:$C$45,MATCH($A25,Data!$A$2:$A$45,0))),"")</f>
        <v/>
      </c>
      <c r="C25" s="14">
        <f>IF(AND(ISNUMBER(B25),ISNUMBER(Summary!$E$6)),B25-Summary!$E$6,"")</f>
        <v/>
      </c>
      <c r="D25" s="14">
        <f>IF(AND(ISNUMBER(B25),ISNUMBER(Summary!$G$6)),B25-Summary!$G$6,"")</f>
        <v/>
      </c>
      <c r="E25" s="7">
        <f>IFERROR(IF(INDEX(Data!$D$2:$D$45,MATCH($A25,Data!$A$2:$A$45,0))="","",INDEX(Data!$D$2:$D$45,MATCH($A25,Data!$A$2:$A$45,0))),"")</f>
        <v/>
      </c>
      <c r="F25" s="14">
        <f>IF(AND(ISNUMBER(E25),ISNUMBER(Summary!$E$7)),E25-Summary!$E$7,"")</f>
        <v/>
      </c>
      <c r="G25" s="14">
        <f>IF(AND(ISNUMBER(E25),ISNUMBER(Summary!$G$7)),E25-Summary!$G$7,"")</f>
        <v/>
      </c>
      <c r="H25" s="7">
        <f>IFERROR(IF(INDEX(Data!$E$2:$E$45,MATCH($A25,Data!$A$2:$A$45,0))="","",INDEX(Data!$E$2:$E$45,MATCH($A25,Data!$A$2:$A$45,0))),"")</f>
        <v/>
      </c>
      <c r="I25" s="14">
        <f>IF(AND(ISNUMBER(H25),ISNUMBER(Summary!$E$8)),H25-Summary!$E$8,"")</f>
        <v/>
      </c>
      <c r="J25" s="14">
        <f>IF(AND(ISNUMBER(H25),ISNUMBER(Summary!$G$8)),H25-Summary!$G$8,"")</f>
        <v/>
      </c>
      <c r="K25" s="7">
        <f>IFERROR(IF(INDEX(Data!$F$2:$F$45,MATCH($A25,Data!$A$2:$A$45,0))="","",INDEX(Data!$F$2:$F$45,MATCH($A25,Data!$A$2:$A$45,0))),"")</f>
        <v/>
      </c>
      <c r="L25" s="14">
        <f>IF(AND(ISNUMBER(K25),ISNUMBER(Summary!$E$9)),K25-Summary!$E$9,"")</f>
        <v/>
      </c>
      <c r="M25" s="14">
        <f>IF(AND(ISNUMBER(K25),ISNUMBER(Summary!$G$9)),K25-Summary!$G$9,"")</f>
        <v/>
      </c>
      <c r="N25" s="7">
        <f>IFERROR(IF(INDEX(Data!$G$2:$G$45,MATCH($A25,Data!$A$2:$A$45,0))="","",INDEX(Data!$G$2:$G$45,MATCH($A25,Data!$A$2:$A$45,0))),"")</f>
        <v/>
      </c>
      <c r="O25" s="14">
        <f>IF(AND(ISNUMBER(N25),ISNUMBER(Summary!$E$10)),N25-Summary!$E$10,"")</f>
        <v/>
      </c>
      <c r="P25" s="14">
        <f>IF(AND(ISNUMBER(N25),ISNUMBER(Summary!$G$10)),N25-Summary!$G$10,"")</f>
        <v/>
      </c>
      <c r="Q25" s="7">
        <f>IFERROR(IF(INDEX(Data!$H$2:$H$45,MATCH($A25,Data!$A$2:$A$45,0))="","",INDEX(Data!$H$2:$H$45,MATCH($A25,Data!$A$2:$A$45,0))),"")</f>
        <v/>
      </c>
      <c r="R25" s="14">
        <f>IF(AND(ISNUMBER(Q25),ISNUMBER(Summary!$E$11)),Q25-Summary!$E$11,"")</f>
        <v/>
      </c>
      <c r="S25" s="14">
        <f>IF(AND(ISNUMBER(Q25),ISNUMBER(Summary!$G$11)),Q25-Summary!$G$11,"")</f>
        <v/>
      </c>
      <c r="T25" s="7">
        <f>IFERROR(IF(INDEX(Data!$I$2:$I$45,MATCH($A25,Data!$A$2:$A$45,0))="","",INDEX(Data!$I$2:$I$45,MATCH($A25,Data!$A$2:$A$45,0))),"")</f>
        <v/>
      </c>
      <c r="U25" s="14">
        <f>IF(AND(ISNUMBER(T25),ISNUMBER(Summary!$E$12)),T25-Summary!$E$12,"")</f>
        <v/>
      </c>
      <c r="V25" s="14">
        <f>IF(AND(ISNUMBER(T25),ISNUMBER(Summary!$G$12)),T25-Summary!$G$12,"")</f>
        <v/>
      </c>
      <c r="W25" s="7">
        <f>IFERROR(IF(INDEX(Data!$J$2:$J$45,MATCH($A25,Data!$A$2:$A$45,0))="","",INDEX(Data!$J$2:$J$45,MATCH($A25,Data!$A$2:$A$45,0))),"")</f>
        <v/>
      </c>
      <c r="X25" s="14">
        <f>IF(AND(ISNUMBER(W25),ISNUMBER(Summary!$E$13)),W25-Summary!$E$13,"")</f>
        <v/>
      </c>
      <c r="Y25" s="14">
        <f>IF(AND(ISNUMBER(W25),ISNUMBER(Summary!$G$13)),W25-Summary!$G$13,"")</f>
        <v/>
      </c>
      <c r="Z25" s="7">
        <f>IFERROR(IF(INDEX(Data!$K$2:$K$45,MATCH($A25,Data!$A$2:$A$45,0))="","",INDEX(Data!$K$2:$K$45,MATCH($A25,Data!$A$2:$A$45,0))),"")</f>
        <v/>
      </c>
      <c r="AA25" s="14">
        <f>IF(AND(ISNUMBER(Z25),ISNUMBER(Summary!$E$14)),Z25-Summary!$E$14,"")</f>
        <v/>
      </c>
      <c r="AB25" s="14">
        <f>IF(AND(ISNUMBER(Z25),ISNUMBER(Summary!$G$14)),Z25-Summary!$G$14,"")</f>
        <v/>
      </c>
      <c r="AC25" s="7">
        <f>IFERROR(IF(INDEX(Data!$L$2:$L$45,MATCH($A25,Data!$A$2:$A$45,0))="","",INDEX(Data!$L$2:$L$45,MATCH($A25,Data!$A$2:$A$45,0))),"")</f>
        <v/>
      </c>
      <c r="AD25" s="14">
        <f>IF(AND(ISNUMBER(AC25),ISNUMBER(Summary!$E$15)),AC25-Summary!$E$15,"")</f>
        <v/>
      </c>
      <c r="AE25" s="14">
        <f>IF(AND(ISNUMBER(AC25),ISNUMBER(Summary!$G$15)),AC25-Summary!$G$15,"")</f>
        <v/>
      </c>
      <c r="AF25" s="7">
        <f>IFERROR(IF(INDEX(Data!$M$2:$M$45,MATCH($A25,Data!$A$2:$A$45,0))="","",INDEX(Data!$M$2:$M$45,MATCH($A25,Data!$A$2:$A$45,0))),"")</f>
        <v/>
      </c>
      <c r="AG25" s="14">
        <f>IF(AND(ISNUMBER(AF25),ISNUMBER(Summary!$E$16)),AF25-Summary!$E$16,"")</f>
        <v/>
      </c>
      <c r="AH25" s="14">
        <f>IF(AND(ISNUMBER(AF25),ISNUMBER(Summary!$G$16)),AF25-Summary!$G$16,"")</f>
        <v/>
      </c>
      <c r="AI25" s="7">
        <f>IFERROR(IF(INDEX(Data!$N$2:$N$45,MATCH($A25,Data!$A$2:$A$45,0))="","",INDEX(Data!$N$2:$N$45,MATCH($A25,Data!$A$2:$A$45,0))),"")</f>
        <v/>
      </c>
      <c r="AJ25" s="14">
        <f>IF(AND(ISNUMBER(AI25),ISNUMBER(Summary!$E$17)),AI25-Summary!$E$17,"")</f>
        <v/>
      </c>
      <c r="AK25" s="14">
        <f>IF(AND(ISNUMBER(AI25),ISNUMBER(Summary!$G$17)),AI25-Summary!$G$17,"")</f>
        <v/>
      </c>
      <c r="AL25" s="7">
        <f>IFERROR(IF(INDEX(Data!$O$2:$O$45,MATCH($A25,Data!$A$2:$A$45,0))="","",INDEX(Data!$O$2:$O$45,MATCH($A25,Data!$A$2:$A$45,0))),"")</f>
        <v/>
      </c>
      <c r="AM25" s="14">
        <f>IF(AND(ISNUMBER(AL25),ISNUMBER(Summary!$E$18)),AL25-Summary!$E$18,"")</f>
        <v/>
      </c>
      <c r="AN25" s="14">
        <f>IF(AND(ISNUMBER(AL25),ISNUMBER(Summary!$G$18)),AL25-Summary!$G$18,"")</f>
        <v/>
      </c>
      <c r="AO25" s="7">
        <f>IFERROR(IF(INDEX(Data!$P$2:$P$45,MATCH($A25,Data!$A$2:$A$45,0))="","",INDEX(Data!$P$2:$P$45,MATCH($A25,Data!$A$2:$A$45,0))),"")</f>
        <v/>
      </c>
      <c r="AP25" s="14">
        <f>IF(AND(ISNUMBER(AO25),ISNUMBER(Summary!$E$19)),AO25-Summary!$E$19,"")</f>
        <v/>
      </c>
      <c r="AQ25" s="14">
        <f>IF(AND(ISNUMBER(AO25),ISNUMBER(Summary!$G$19)),AO25-Summary!$G$19,"")</f>
        <v/>
      </c>
      <c r="AR25" s="7">
        <f>IFERROR(IF(INDEX(Data!$Q$2:$Q$45,MATCH($A25,Data!$A$2:$A$45,0))="","",INDEX(Data!$Q$2:$Q$45,MATCH($A25,Data!$A$2:$A$45,0))),"")</f>
        <v/>
      </c>
      <c r="AS25" s="14">
        <f>IF(AND(ISNUMBER(AR25),ISNUMBER(Summary!$E$20)),AR25-Summary!$E$20,"")</f>
        <v/>
      </c>
      <c r="AT25" s="14">
        <f>IF(AND(ISNUMBER(AR25),ISNUMBER(Summary!$G$20)),AR25-Summary!$G$20,"")</f>
        <v/>
      </c>
      <c r="AU25" s="7">
        <f>IFERROR(IF(INDEX(Data!$R$2:$R$45,MATCH($A25,Data!$A$2:$A$45,0))="","",INDEX(Data!$R$2:$R$45,MATCH($A25,Data!$A$2:$A$45,0))),"")</f>
        <v/>
      </c>
      <c r="AV25" s="14">
        <f>IF(AND(ISNUMBER(AU25),ISNUMBER(Summary!$E$21)),AU25-Summary!$E$21,"")</f>
        <v/>
      </c>
      <c r="AW25" s="14">
        <f>IF(AND(ISNUMBER(AU25),ISNUMBER(Summary!$G$21)),AU25-Summary!$G$21,"")</f>
        <v/>
      </c>
      <c r="AX25" s="7">
        <f>IFERROR(IF(INDEX(Data!$S$2:$S$45,MATCH($A25,Data!$A$2:$A$45,0))="","",INDEX(Data!$S$2:$S$45,MATCH($A25,Data!$A$2:$A$45,0))),"")</f>
        <v/>
      </c>
      <c r="AY25" s="14">
        <f>IF(AND(ISNUMBER(AX25),ISNUMBER(Summary!$E$22)),AX25-Summary!$E$22,"")</f>
        <v/>
      </c>
      <c r="AZ25" s="14">
        <f>IF(AND(ISNUMBER(AX25),ISNUMBER(Summary!$G$22)),AX25-Summary!$G$22,"")</f>
        <v/>
      </c>
      <c r="BA25" s="7">
        <f>IFERROR(IF(INDEX(Data!$T$2:$T$45,MATCH($A25,Data!$A$2:$A$45,0))="","",INDEX(Data!$T$2:$T$45,MATCH($A25,Data!$A$2:$A$45,0))),"")</f>
        <v/>
      </c>
      <c r="BB25" s="14">
        <f>IF(AND(ISNUMBER(BA25),ISNUMBER(Summary!$E$23)),BA25-Summary!$E$23,"")</f>
        <v/>
      </c>
      <c r="BC25" s="14">
        <f>IF(AND(ISNUMBER(BA25),ISNUMBER(Summary!$G$23)),BA25-Summary!$G$23,"")</f>
        <v/>
      </c>
      <c r="BD25" s="7">
        <f>IFERROR(IF(INDEX(Data!$U$2:$U$45,MATCH($A25,Data!$A$2:$A$45,0))="","",INDEX(Data!$U$2:$U$45,MATCH($A25,Data!$A$2:$A$45,0))),"")</f>
        <v/>
      </c>
      <c r="BE25" s="14">
        <f>IF(AND(ISNUMBER(BD25),ISNUMBER(Summary!$E$24)),BD25-Summary!$E$24,"")</f>
        <v/>
      </c>
      <c r="BF25" s="14">
        <f>IF(AND(ISNUMBER(BD25),ISNUMBER(Summary!$G$24)),BD25-Summary!$G$24,"")</f>
        <v/>
      </c>
      <c r="BG25" s="7">
        <f>IFERROR(IF(INDEX(Data!$V$2:$V$45,MATCH($A25,Data!$A$2:$A$45,0))="","",INDEX(Data!$V$2:$V$45,MATCH($A25,Data!$A$2:$A$45,0))),"")</f>
        <v/>
      </c>
      <c r="BH25" s="14">
        <f>IF(AND(ISNUMBER(BG25),ISNUMBER(Summary!$E$25)),BG25-Summary!$E$25,"")</f>
        <v/>
      </c>
      <c r="BI25" s="14">
        <f>IF(AND(ISNUMBER(BG25),ISNUMBER(Summary!$G$25)),BG25-Summary!$G$25,"")</f>
        <v/>
      </c>
      <c r="BJ25" s="7">
        <f>IFERROR(IF(INDEX(Data!$W$2:$W$45,MATCH($A25,Data!$A$2:$A$45,0))="","",INDEX(Data!$W$2:$W$45,MATCH($A25,Data!$A$2:$A$45,0))),"")</f>
        <v/>
      </c>
      <c r="BK25" s="14">
        <f>IF(AND(ISNUMBER(BJ25),ISNUMBER(Summary!$E$26)),BJ25-Summary!$E$26,"")</f>
        <v/>
      </c>
      <c r="BL25" s="14">
        <f>IF(AND(ISNUMBER(BJ25),ISNUMBER(Summary!$G$26)),BJ25-Summary!$G$26,"")</f>
        <v/>
      </c>
      <c r="BM25" s="7">
        <f>IFERROR(IF(INDEX(Data!$X$2:$X$45,MATCH($A25,Data!$A$2:$A$45,0))="","",INDEX(Data!$X$2:$X$45,MATCH($A25,Data!$A$2:$A$45,0))),"")</f>
        <v/>
      </c>
      <c r="BN25" s="14">
        <f>IF(AND(ISNUMBER(BM25),ISNUMBER(Summary!$E$27)),BM25-Summary!$E$27,"")</f>
        <v/>
      </c>
      <c r="BO25" s="14">
        <f>IF(AND(ISNUMBER(BM25),ISNUMBER(Summary!$G$27)),BM25-Summary!$G$27,"")</f>
        <v/>
      </c>
      <c r="BP25" s="7">
        <f>IFERROR(IF(INDEX(Data!$Y$2:$Y$45,MATCH($A25,Data!$A$2:$A$45,0))="","",INDEX(Data!$Y$2:$Y$45,MATCH($A25,Data!$A$2:$A$45,0))),"")</f>
        <v/>
      </c>
      <c r="BQ25" s="14">
        <f>IF(AND(ISNUMBER(BP25),ISNUMBER(Summary!$E$28)),BP25-Summary!$E$28,"")</f>
        <v/>
      </c>
      <c r="BR25" s="14">
        <f>IF(AND(ISNUMBER(BP25),ISNUMBER(Summary!$G$28)),BP25-Summary!$G$28,"")</f>
        <v/>
      </c>
      <c r="BS25" s="7">
        <f>IFERROR(IF(INDEX(Data!$Z$2:$Z$45,MATCH($A25,Data!$A$2:$A$45,0))="","",INDEX(Data!$Z$2:$Z$45,MATCH($A25,Data!$A$2:$A$45,0))),"")</f>
        <v/>
      </c>
      <c r="BT25" s="14">
        <f>IF(AND(ISNUMBER(BS25),ISNUMBER(Summary!$E$29)),BS25-Summary!$E$29,"")</f>
        <v/>
      </c>
      <c r="BU25" s="14">
        <f>IF(AND(ISNUMBER(BS25),ISNUMBER(Summary!$G$29)),BS25-Summary!$G$29,"")</f>
        <v/>
      </c>
      <c r="BV25" s="7">
        <f>IFERROR(IF(INDEX(Data!$AA$2:$AA$45,MATCH($A25,Data!$A$2:$A$45,0))="","",INDEX(Data!$AA$2:$AA$45,MATCH($A25,Data!$A$2:$A$45,0))),"")</f>
        <v/>
      </c>
      <c r="BW25" s="14">
        <f>IF(AND(ISNUMBER(BV25),ISNUMBER(Summary!$E$30)),BV25-Summary!$E$30,"")</f>
        <v/>
      </c>
      <c r="BX25" s="14">
        <f>IF(AND(ISNUMBER(BV25),ISNUMBER(Summary!$G$30)),BV25-Summary!$G$30,"")</f>
        <v/>
      </c>
      <c r="BY25" s="7">
        <f>IFERROR(IF(INDEX(Data!$AB$2:$AB$45,MATCH($A25,Data!$A$2:$A$45,0))="","",INDEX(Data!$AB$2:$AB$45,MATCH($A25,Data!$A$2:$A$45,0))),"")</f>
        <v/>
      </c>
      <c r="BZ25" s="14">
        <f>IF(AND(ISNUMBER(BY25),ISNUMBER(Summary!$E$31)),BY25-Summary!$E$31,"")</f>
        <v/>
      </c>
      <c r="CA25" s="14">
        <f>IF(AND(ISNUMBER(BY25),ISNUMBER(Summary!$G$31)),BY25-Summary!$G$31,"")</f>
        <v/>
      </c>
      <c r="CB25" s="7">
        <f>IFERROR(IF(INDEX(Data!$AC$2:$AC$45,MATCH($A25,Data!$A$2:$A$45,0))="","",INDEX(Data!$AC$2:$AC$45,MATCH($A25,Data!$A$2:$A$45,0))),"")</f>
        <v/>
      </c>
      <c r="CC25" s="14">
        <f>IF(AND(ISNUMBER(CB25),ISNUMBER(Summary!$E$32)),CB25-Summary!$E$32,"")</f>
        <v/>
      </c>
      <c r="CD25" s="14">
        <f>IF(AND(ISNUMBER(CB25),ISNUMBER(Summary!$G$32)),CB25-Summary!$G$32,"")</f>
        <v/>
      </c>
      <c r="CE25" s="7">
        <f>IFERROR(IF(INDEX(Data!$AD$2:$AD$45,MATCH($A25,Data!$A$2:$A$45,0))="","",INDEX(Data!$AD$2:$AD$45,MATCH($A25,Data!$A$2:$A$45,0))),"")</f>
        <v/>
      </c>
      <c r="CF25" s="14">
        <f>IF(AND(ISNUMBER(CE25),ISNUMBER(Summary!$E$33)),CE25-Summary!$E$33,"")</f>
        <v/>
      </c>
      <c r="CG25" s="14">
        <f>IF(AND(ISNUMBER(CE25),ISNUMBER(Summary!$G$33)),CE25-Summary!$G$33,"")</f>
        <v/>
      </c>
      <c r="CH25" s="7">
        <f>IFERROR(IF(INDEX(Data!$AE$2:$AE$45,MATCH($A25,Data!$A$2:$A$45,0))="","",INDEX(Data!$AE$2:$AE$45,MATCH($A25,Data!$A$2:$A$45,0))),"")</f>
        <v/>
      </c>
      <c r="CI25" s="14">
        <f>IF(AND(ISNUMBER(CH25),ISNUMBER(Summary!$E$34)),CH25-Summary!$E$34,"")</f>
        <v/>
      </c>
      <c r="CJ25" s="14">
        <f>IF(AND(ISNUMBER(CH25),ISNUMBER(Summary!$G$34)),CH25-Summary!$G$34,"")</f>
        <v/>
      </c>
      <c r="CK25" s="7">
        <f>IFERROR(IF(INDEX(Data!$AF$2:$AF$45,MATCH($A25,Data!$A$2:$A$45,0))="","",INDEX(Data!$AF$2:$AF$45,MATCH($A25,Data!$A$2:$A$45,0))),"")</f>
        <v/>
      </c>
      <c r="CL25" s="14">
        <f>IF(AND(ISNUMBER(CK25),ISNUMBER(Summary!$E$35)),CK25-Summary!$E$35,"")</f>
        <v/>
      </c>
      <c r="CM25" s="14">
        <f>IF(AND(ISNUMBER(CK25),ISNUMBER(Summary!$G$35)),CK25-Summary!$G$35,"")</f>
        <v/>
      </c>
      <c r="CN25" s="7">
        <f>IFERROR(IF(INDEX(Data!$AG$2:$AG$45,MATCH($A25,Data!$A$2:$A$45,0))="","",INDEX(Data!$AG$2:$AG$45,MATCH($A25,Data!$A$2:$A$45,0))),"")</f>
        <v/>
      </c>
      <c r="CO25" s="14">
        <f>IF(AND(ISNUMBER(CN25),ISNUMBER(Summary!$E$36)),CN25-Summary!$E$36,"")</f>
        <v/>
      </c>
      <c r="CP25" s="14">
        <f>IF(AND(ISNUMBER(CN25),ISNUMBER(Summary!$G$36)),CN25-Summary!$G$36,"")</f>
        <v/>
      </c>
      <c r="CQ25" s="7">
        <f>IFERROR(IF(INDEX(Data!$AH$2:$AH$45,MATCH($A25,Data!$A$2:$A$45,0))="","",INDEX(Data!$AH$2:$AH$45,MATCH($A25,Data!$A$2:$A$45,0))),"")</f>
        <v/>
      </c>
      <c r="CR25" s="14">
        <f>IF(AND(ISNUMBER(CQ25),ISNUMBER(Summary!$E$37)),CQ25-Summary!$E$37,"")</f>
        <v/>
      </c>
      <c r="CS25" s="14">
        <f>IF(AND(ISNUMBER(CQ25),ISNUMBER(Summary!$G$37)),CQ25-Summary!$G$37,"")</f>
        <v/>
      </c>
      <c r="CT25" s="7">
        <f>IFERROR(IF(INDEX(Data!$AI$2:$AI$45,MATCH($A25,Data!$A$2:$A$45,0))="","",INDEX(Data!$AI$2:$AI$45,MATCH($A25,Data!$A$2:$A$45,0))),"")</f>
        <v/>
      </c>
      <c r="CU25" s="14">
        <f>IF(AND(ISNUMBER(CT25),ISNUMBER(Summary!$E$38)),CT25-Summary!$E$38,"")</f>
        <v/>
      </c>
      <c r="CV25" s="14">
        <f>IF(AND(ISNUMBER(CT25),ISNUMBER(Summary!$G$38)),CT25-Summary!$G$38,"")</f>
        <v/>
      </c>
    </row>
    <row r="26">
      <c r="A26" s="27" t="n">
        <v>46273</v>
      </c>
      <c r="B26" s="7">
        <f>IFERROR(IF(INDEX(Data!$C$2:$C$45,MATCH($A26,Data!$A$2:$A$45,0))="","",INDEX(Data!$C$2:$C$45,MATCH($A26,Data!$A$2:$A$45,0))),"")</f>
        <v/>
      </c>
      <c r="C26" s="14">
        <f>IF(AND(ISNUMBER(B26),ISNUMBER(Summary!$E$6)),B26-Summary!$E$6,"")</f>
        <v/>
      </c>
      <c r="D26" s="14">
        <f>IF(AND(ISNUMBER(B26),ISNUMBER(Summary!$G$6)),B26-Summary!$G$6,"")</f>
        <v/>
      </c>
      <c r="E26" s="7">
        <f>IFERROR(IF(INDEX(Data!$D$2:$D$45,MATCH($A26,Data!$A$2:$A$45,0))="","",INDEX(Data!$D$2:$D$45,MATCH($A26,Data!$A$2:$A$45,0))),"")</f>
        <v/>
      </c>
      <c r="F26" s="14">
        <f>IF(AND(ISNUMBER(E26),ISNUMBER(Summary!$E$7)),E26-Summary!$E$7,"")</f>
        <v/>
      </c>
      <c r="G26" s="14">
        <f>IF(AND(ISNUMBER(E26),ISNUMBER(Summary!$G$7)),E26-Summary!$G$7,"")</f>
        <v/>
      </c>
      <c r="H26" s="7">
        <f>IFERROR(IF(INDEX(Data!$E$2:$E$45,MATCH($A26,Data!$A$2:$A$45,0))="","",INDEX(Data!$E$2:$E$45,MATCH($A26,Data!$A$2:$A$45,0))),"")</f>
        <v/>
      </c>
      <c r="I26" s="14">
        <f>IF(AND(ISNUMBER(H26),ISNUMBER(Summary!$E$8)),H26-Summary!$E$8,"")</f>
        <v/>
      </c>
      <c r="J26" s="14">
        <f>IF(AND(ISNUMBER(H26),ISNUMBER(Summary!$G$8)),H26-Summary!$G$8,"")</f>
        <v/>
      </c>
      <c r="K26" s="7">
        <f>IFERROR(IF(INDEX(Data!$F$2:$F$45,MATCH($A26,Data!$A$2:$A$45,0))="","",INDEX(Data!$F$2:$F$45,MATCH($A26,Data!$A$2:$A$45,0))),"")</f>
        <v/>
      </c>
      <c r="L26" s="14">
        <f>IF(AND(ISNUMBER(K26),ISNUMBER(Summary!$E$9)),K26-Summary!$E$9,"")</f>
        <v/>
      </c>
      <c r="M26" s="14">
        <f>IF(AND(ISNUMBER(K26),ISNUMBER(Summary!$G$9)),K26-Summary!$G$9,"")</f>
        <v/>
      </c>
      <c r="N26" s="7">
        <f>IFERROR(IF(INDEX(Data!$G$2:$G$45,MATCH($A26,Data!$A$2:$A$45,0))="","",INDEX(Data!$G$2:$G$45,MATCH($A26,Data!$A$2:$A$45,0))),"")</f>
        <v/>
      </c>
      <c r="O26" s="14">
        <f>IF(AND(ISNUMBER(N26),ISNUMBER(Summary!$E$10)),N26-Summary!$E$10,"")</f>
        <v/>
      </c>
      <c r="P26" s="14">
        <f>IF(AND(ISNUMBER(N26),ISNUMBER(Summary!$G$10)),N26-Summary!$G$10,"")</f>
        <v/>
      </c>
      <c r="Q26" s="7">
        <f>IFERROR(IF(INDEX(Data!$H$2:$H$45,MATCH($A26,Data!$A$2:$A$45,0))="","",INDEX(Data!$H$2:$H$45,MATCH($A26,Data!$A$2:$A$45,0))),"")</f>
        <v/>
      </c>
      <c r="R26" s="14">
        <f>IF(AND(ISNUMBER(Q26),ISNUMBER(Summary!$E$11)),Q26-Summary!$E$11,"")</f>
        <v/>
      </c>
      <c r="S26" s="14">
        <f>IF(AND(ISNUMBER(Q26),ISNUMBER(Summary!$G$11)),Q26-Summary!$G$11,"")</f>
        <v/>
      </c>
      <c r="T26" s="7">
        <f>IFERROR(IF(INDEX(Data!$I$2:$I$45,MATCH($A26,Data!$A$2:$A$45,0))="","",INDEX(Data!$I$2:$I$45,MATCH($A26,Data!$A$2:$A$45,0))),"")</f>
        <v/>
      </c>
      <c r="U26" s="14">
        <f>IF(AND(ISNUMBER(T26),ISNUMBER(Summary!$E$12)),T26-Summary!$E$12,"")</f>
        <v/>
      </c>
      <c r="V26" s="14">
        <f>IF(AND(ISNUMBER(T26),ISNUMBER(Summary!$G$12)),T26-Summary!$G$12,"")</f>
        <v/>
      </c>
      <c r="W26" s="7">
        <f>IFERROR(IF(INDEX(Data!$J$2:$J$45,MATCH($A26,Data!$A$2:$A$45,0))="","",INDEX(Data!$J$2:$J$45,MATCH($A26,Data!$A$2:$A$45,0))),"")</f>
        <v/>
      </c>
      <c r="X26" s="14">
        <f>IF(AND(ISNUMBER(W26),ISNUMBER(Summary!$E$13)),W26-Summary!$E$13,"")</f>
        <v/>
      </c>
      <c r="Y26" s="14">
        <f>IF(AND(ISNUMBER(W26),ISNUMBER(Summary!$G$13)),W26-Summary!$G$13,"")</f>
        <v/>
      </c>
      <c r="Z26" s="7">
        <f>IFERROR(IF(INDEX(Data!$K$2:$K$45,MATCH($A26,Data!$A$2:$A$45,0))="","",INDEX(Data!$K$2:$K$45,MATCH($A26,Data!$A$2:$A$45,0))),"")</f>
        <v/>
      </c>
      <c r="AA26" s="14">
        <f>IF(AND(ISNUMBER(Z26),ISNUMBER(Summary!$E$14)),Z26-Summary!$E$14,"")</f>
        <v/>
      </c>
      <c r="AB26" s="14">
        <f>IF(AND(ISNUMBER(Z26),ISNUMBER(Summary!$G$14)),Z26-Summary!$G$14,"")</f>
        <v/>
      </c>
      <c r="AC26" s="7">
        <f>IFERROR(IF(INDEX(Data!$L$2:$L$45,MATCH($A26,Data!$A$2:$A$45,0))="","",INDEX(Data!$L$2:$L$45,MATCH($A26,Data!$A$2:$A$45,0))),"")</f>
        <v/>
      </c>
      <c r="AD26" s="14">
        <f>IF(AND(ISNUMBER(AC26),ISNUMBER(Summary!$E$15)),AC26-Summary!$E$15,"")</f>
        <v/>
      </c>
      <c r="AE26" s="14">
        <f>IF(AND(ISNUMBER(AC26),ISNUMBER(Summary!$G$15)),AC26-Summary!$G$15,"")</f>
        <v/>
      </c>
      <c r="AF26" s="7">
        <f>IFERROR(IF(INDEX(Data!$M$2:$M$45,MATCH($A26,Data!$A$2:$A$45,0))="","",INDEX(Data!$M$2:$M$45,MATCH($A26,Data!$A$2:$A$45,0))),"")</f>
        <v/>
      </c>
      <c r="AG26" s="14">
        <f>IF(AND(ISNUMBER(AF26),ISNUMBER(Summary!$E$16)),AF26-Summary!$E$16,"")</f>
        <v/>
      </c>
      <c r="AH26" s="14">
        <f>IF(AND(ISNUMBER(AF26),ISNUMBER(Summary!$G$16)),AF26-Summary!$G$16,"")</f>
        <v/>
      </c>
      <c r="AI26" s="7">
        <f>IFERROR(IF(INDEX(Data!$N$2:$N$45,MATCH($A26,Data!$A$2:$A$45,0))="","",INDEX(Data!$N$2:$N$45,MATCH($A26,Data!$A$2:$A$45,0))),"")</f>
        <v/>
      </c>
      <c r="AJ26" s="14">
        <f>IF(AND(ISNUMBER(AI26),ISNUMBER(Summary!$E$17)),AI26-Summary!$E$17,"")</f>
        <v/>
      </c>
      <c r="AK26" s="14">
        <f>IF(AND(ISNUMBER(AI26),ISNUMBER(Summary!$G$17)),AI26-Summary!$G$17,"")</f>
        <v/>
      </c>
      <c r="AL26" s="7">
        <f>IFERROR(IF(INDEX(Data!$O$2:$O$45,MATCH($A26,Data!$A$2:$A$45,0))="","",INDEX(Data!$O$2:$O$45,MATCH($A26,Data!$A$2:$A$45,0))),"")</f>
        <v/>
      </c>
      <c r="AM26" s="14">
        <f>IF(AND(ISNUMBER(AL26),ISNUMBER(Summary!$E$18)),AL26-Summary!$E$18,"")</f>
        <v/>
      </c>
      <c r="AN26" s="14">
        <f>IF(AND(ISNUMBER(AL26),ISNUMBER(Summary!$G$18)),AL26-Summary!$G$18,"")</f>
        <v/>
      </c>
      <c r="AO26" s="7">
        <f>IFERROR(IF(INDEX(Data!$P$2:$P$45,MATCH($A26,Data!$A$2:$A$45,0))="","",INDEX(Data!$P$2:$P$45,MATCH($A26,Data!$A$2:$A$45,0))),"")</f>
        <v/>
      </c>
      <c r="AP26" s="14">
        <f>IF(AND(ISNUMBER(AO26),ISNUMBER(Summary!$E$19)),AO26-Summary!$E$19,"")</f>
        <v/>
      </c>
      <c r="AQ26" s="14">
        <f>IF(AND(ISNUMBER(AO26),ISNUMBER(Summary!$G$19)),AO26-Summary!$G$19,"")</f>
        <v/>
      </c>
      <c r="AR26" s="7">
        <f>IFERROR(IF(INDEX(Data!$Q$2:$Q$45,MATCH($A26,Data!$A$2:$A$45,0))="","",INDEX(Data!$Q$2:$Q$45,MATCH($A26,Data!$A$2:$A$45,0))),"")</f>
        <v/>
      </c>
      <c r="AS26" s="14">
        <f>IF(AND(ISNUMBER(AR26),ISNUMBER(Summary!$E$20)),AR26-Summary!$E$20,"")</f>
        <v/>
      </c>
      <c r="AT26" s="14">
        <f>IF(AND(ISNUMBER(AR26),ISNUMBER(Summary!$G$20)),AR26-Summary!$G$20,"")</f>
        <v/>
      </c>
      <c r="AU26" s="7">
        <f>IFERROR(IF(INDEX(Data!$R$2:$R$45,MATCH($A26,Data!$A$2:$A$45,0))="","",INDEX(Data!$R$2:$R$45,MATCH($A26,Data!$A$2:$A$45,0))),"")</f>
        <v/>
      </c>
      <c r="AV26" s="14">
        <f>IF(AND(ISNUMBER(AU26),ISNUMBER(Summary!$E$21)),AU26-Summary!$E$21,"")</f>
        <v/>
      </c>
      <c r="AW26" s="14">
        <f>IF(AND(ISNUMBER(AU26),ISNUMBER(Summary!$G$21)),AU26-Summary!$G$21,"")</f>
        <v/>
      </c>
      <c r="AX26" s="7">
        <f>IFERROR(IF(INDEX(Data!$S$2:$S$45,MATCH($A26,Data!$A$2:$A$45,0))="","",INDEX(Data!$S$2:$S$45,MATCH($A26,Data!$A$2:$A$45,0))),"")</f>
        <v/>
      </c>
      <c r="AY26" s="14">
        <f>IF(AND(ISNUMBER(AX26),ISNUMBER(Summary!$E$22)),AX26-Summary!$E$22,"")</f>
        <v/>
      </c>
      <c r="AZ26" s="14">
        <f>IF(AND(ISNUMBER(AX26),ISNUMBER(Summary!$G$22)),AX26-Summary!$G$22,"")</f>
        <v/>
      </c>
      <c r="BA26" s="7">
        <f>IFERROR(IF(INDEX(Data!$T$2:$T$45,MATCH($A26,Data!$A$2:$A$45,0))="","",INDEX(Data!$T$2:$T$45,MATCH($A26,Data!$A$2:$A$45,0))),"")</f>
        <v/>
      </c>
      <c r="BB26" s="14">
        <f>IF(AND(ISNUMBER(BA26),ISNUMBER(Summary!$E$23)),BA26-Summary!$E$23,"")</f>
        <v/>
      </c>
      <c r="BC26" s="14">
        <f>IF(AND(ISNUMBER(BA26),ISNUMBER(Summary!$G$23)),BA26-Summary!$G$23,"")</f>
        <v/>
      </c>
      <c r="BD26" s="7">
        <f>IFERROR(IF(INDEX(Data!$U$2:$U$45,MATCH($A26,Data!$A$2:$A$45,0))="","",INDEX(Data!$U$2:$U$45,MATCH($A26,Data!$A$2:$A$45,0))),"")</f>
        <v/>
      </c>
      <c r="BE26" s="14">
        <f>IF(AND(ISNUMBER(BD26),ISNUMBER(Summary!$E$24)),BD26-Summary!$E$24,"")</f>
        <v/>
      </c>
      <c r="BF26" s="14">
        <f>IF(AND(ISNUMBER(BD26),ISNUMBER(Summary!$G$24)),BD26-Summary!$G$24,"")</f>
        <v/>
      </c>
      <c r="BG26" s="7">
        <f>IFERROR(IF(INDEX(Data!$V$2:$V$45,MATCH($A26,Data!$A$2:$A$45,0))="","",INDEX(Data!$V$2:$V$45,MATCH($A26,Data!$A$2:$A$45,0))),"")</f>
        <v/>
      </c>
      <c r="BH26" s="14">
        <f>IF(AND(ISNUMBER(BG26),ISNUMBER(Summary!$E$25)),BG26-Summary!$E$25,"")</f>
        <v/>
      </c>
      <c r="BI26" s="14">
        <f>IF(AND(ISNUMBER(BG26),ISNUMBER(Summary!$G$25)),BG26-Summary!$G$25,"")</f>
        <v/>
      </c>
      <c r="BJ26" s="7">
        <f>IFERROR(IF(INDEX(Data!$W$2:$W$45,MATCH($A26,Data!$A$2:$A$45,0))="","",INDEX(Data!$W$2:$W$45,MATCH($A26,Data!$A$2:$A$45,0))),"")</f>
        <v/>
      </c>
      <c r="BK26" s="14">
        <f>IF(AND(ISNUMBER(BJ26),ISNUMBER(Summary!$E$26)),BJ26-Summary!$E$26,"")</f>
        <v/>
      </c>
      <c r="BL26" s="14">
        <f>IF(AND(ISNUMBER(BJ26),ISNUMBER(Summary!$G$26)),BJ26-Summary!$G$26,"")</f>
        <v/>
      </c>
      <c r="BM26" s="7">
        <f>IFERROR(IF(INDEX(Data!$X$2:$X$45,MATCH($A26,Data!$A$2:$A$45,0))="","",INDEX(Data!$X$2:$X$45,MATCH($A26,Data!$A$2:$A$45,0))),"")</f>
        <v/>
      </c>
      <c r="BN26" s="14">
        <f>IF(AND(ISNUMBER(BM26),ISNUMBER(Summary!$E$27)),BM26-Summary!$E$27,"")</f>
        <v/>
      </c>
      <c r="BO26" s="14">
        <f>IF(AND(ISNUMBER(BM26),ISNUMBER(Summary!$G$27)),BM26-Summary!$G$27,"")</f>
        <v/>
      </c>
      <c r="BP26" s="7">
        <f>IFERROR(IF(INDEX(Data!$Y$2:$Y$45,MATCH($A26,Data!$A$2:$A$45,0))="","",INDEX(Data!$Y$2:$Y$45,MATCH($A26,Data!$A$2:$A$45,0))),"")</f>
        <v/>
      </c>
      <c r="BQ26" s="14">
        <f>IF(AND(ISNUMBER(BP26),ISNUMBER(Summary!$E$28)),BP26-Summary!$E$28,"")</f>
        <v/>
      </c>
      <c r="BR26" s="14">
        <f>IF(AND(ISNUMBER(BP26),ISNUMBER(Summary!$G$28)),BP26-Summary!$G$28,"")</f>
        <v/>
      </c>
      <c r="BS26" s="7">
        <f>IFERROR(IF(INDEX(Data!$Z$2:$Z$45,MATCH($A26,Data!$A$2:$A$45,0))="","",INDEX(Data!$Z$2:$Z$45,MATCH($A26,Data!$A$2:$A$45,0))),"")</f>
        <v/>
      </c>
      <c r="BT26" s="14">
        <f>IF(AND(ISNUMBER(BS26),ISNUMBER(Summary!$E$29)),BS26-Summary!$E$29,"")</f>
        <v/>
      </c>
      <c r="BU26" s="14">
        <f>IF(AND(ISNUMBER(BS26),ISNUMBER(Summary!$G$29)),BS26-Summary!$G$29,"")</f>
        <v/>
      </c>
      <c r="BV26" s="7">
        <f>IFERROR(IF(INDEX(Data!$AA$2:$AA$45,MATCH($A26,Data!$A$2:$A$45,0))="","",INDEX(Data!$AA$2:$AA$45,MATCH($A26,Data!$A$2:$A$45,0))),"")</f>
        <v/>
      </c>
      <c r="BW26" s="14">
        <f>IF(AND(ISNUMBER(BV26),ISNUMBER(Summary!$E$30)),BV26-Summary!$E$30,"")</f>
        <v/>
      </c>
      <c r="BX26" s="14">
        <f>IF(AND(ISNUMBER(BV26),ISNUMBER(Summary!$G$30)),BV26-Summary!$G$30,"")</f>
        <v/>
      </c>
      <c r="BY26" s="7">
        <f>IFERROR(IF(INDEX(Data!$AB$2:$AB$45,MATCH($A26,Data!$A$2:$A$45,0))="","",INDEX(Data!$AB$2:$AB$45,MATCH($A26,Data!$A$2:$A$45,0))),"")</f>
        <v/>
      </c>
      <c r="BZ26" s="14">
        <f>IF(AND(ISNUMBER(BY26),ISNUMBER(Summary!$E$31)),BY26-Summary!$E$31,"")</f>
        <v/>
      </c>
      <c r="CA26" s="14">
        <f>IF(AND(ISNUMBER(BY26),ISNUMBER(Summary!$G$31)),BY26-Summary!$G$31,"")</f>
        <v/>
      </c>
      <c r="CB26" s="7">
        <f>IFERROR(IF(INDEX(Data!$AC$2:$AC$45,MATCH($A26,Data!$A$2:$A$45,0))="","",INDEX(Data!$AC$2:$AC$45,MATCH($A26,Data!$A$2:$A$45,0))),"")</f>
        <v/>
      </c>
      <c r="CC26" s="14">
        <f>IF(AND(ISNUMBER(CB26),ISNUMBER(Summary!$E$32)),CB26-Summary!$E$32,"")</f>
        <v/>
      </c>
      <c r="CD26" s="14">
        <f>IF(AND(ISNUMBER(CB26),ISNUMBER(Summary!$G$32)),CB26-Summary!$G$32,"")</f>
        <v/>
      </c>
      <c r="CE26" s="7">
        <f>IFERROR(IF(INDEX(Data!$AD$2:$AD$45,MATCH($A26,Data!$A$2:$A$45,0))="","",INDEX(Data!$AD$2:$AD$45,MATCH($A26,Data!$A$2:$A$45,0))),"")</f>
        <v/>
      </c>
      <c r="CF26" s="14">
        <f>IF(AND(ISNUMBER(CE26),ISNUMBER(Summary!$E$33)),CE26-Summary!$E$33,"")</f>
        <v/>
      </c>
      <c r="CG26" s="14">
        <f>IF(AND(ISNUMBER(CE26),ISNUMBER(Summary!$G$33)),CE26-Summary!$G$33,"")</f>
        <v/>
      </c>
      <c r="CH26" s="7">
        <f>IFERROR(IF(INDEX(Data!$AE$2:$AE$45,MATCH($A26,Data!$A$2:$A$45,0))="","",INDEX(Data!$AE$2:$AE$45,MATCH($A26,Data!$A$2:$A$45,0))),"")</f>
        <v/>
      </c>
      <c r="CI26" s="14">
        <f>IF(AND(ISNUMBER(CH26),ISNUMBER(Summary!$E$34)),CH26-Summary!$E$34,"")</f>
        <v/>
      </c>
      <c r="CJ26" s="14">
        <f>IF(AND(ISNUMBER(CH26),ISNUMBER(Summary!$G$34)),CH26-Summary!$G$34,"")</f>
        <v/>
      </c>
      <c r="CK26" s="7">
        <f>IFERROR(IF(INDEX(Data!$AF$2:$AF$45,MATCH($A26,Data!$A$2:$A$45,0))="","",INDEX(Data!$AF$2:$AF$45,MATCH($A26,Data!$A$2:$A$45,0))),"")</f>
        <v/>
      </c>
      <c r="CL26" s="14">
        <f>IF(AND(ISNUMBER(CK26),ISNUMBER(Summary!$E$35)),CK26-Summary!$E$35,"")</f>
        <v/>
      </c>
      <c r="CM26" s="14">
        <f>IF(AND(ISNUMBER(CK26),ISNUMBER(Summary!$G$35)),CK26-Summary!$G$35,"")</f>
        <v/>
      </c>
      <c r="CN26" s="7">
        <f>IFERROR(IF(INDEX(Data!$AG$2:$AG$45,MATCH($A26,Data!$A$2:$A$45,0))="","",INDEX(Data!$AG$2:$AG$45,MATCH($A26,Data!$A$2:$A$45,0))),"")</f>
        <v/>
      </c>
      <c r="CO26" s="14">
        <f>IF(AND(ISNUMBER(CN26),ISNUMBER(Summary!$E$36)),CN26-Summary!$E$36,"")</f>
        <v/>
      </c>
      <c r="CP26" s="14">
        <f>IF(AND(ISNUMBER(CN26),ISNUMBER(Summary!$G$36)),CN26-Summary!$G$36,"")</f>
        <v/>
      </c>
      <c r="CQ26" s="7">
        <f>IFERROR(IF(INDEX(Data!$AH$2:$AH$45,MATCH($A26,Data!$A$2:$A$45,0))="","",INDEX(Data!$AH$2:$AH$45,MATCH($A26,Data!$A$2:$A$45,0))),"")</f>
        <v/>
      </c>
      <c r="CR26" s="14">
        <f>IF(AND(ISNUMBER(CQ26),ISNUMBER(Summary!$E$37)),CQ26-Summary!$E$37,"")</f>
        <v/>
      </c>
      <c r="CS26" s="14">
        <f>IF(AND(ISNUMBER(CQ26),ISNUMBER(Summary!$G$37)),CQ26-Summary!$G$37,"")</f>
        <v/>
      </c>
      <c r="CT26" s="7">
        <f>IFERROR(IF(INDEX(Data!$AI$2:$AI$45,MATCH($A26,Data!$A$2:$A$45,0))="","",INDEX(Data!$AI$2:$AI$45,MATCH($A26,Data!$A$2:$A$45,0))),"")</f>
        <v/>
      </c>
      <c r="CU26" s="14">
        <f>IF(AND(ISNUMBER(CT26),ISNUMBER(Summary!$E$38)),CT26-Summary!$E$38,"")</f>
        <v/>
      </c>
      <c r="CV26" s="14">
        <f>IF(AND(ISNUMBER(CT26),ISNUMBER(Summary!$G$38)),CT26-Summary!$G$38,"")</f>
        <v/>
      </c>
    </row>
    <row r="27">
      <c r="A27" s="27" t="n">
        <v>46272</v>
      </c>
      <c r="B27" s="7">
        <f>IFERROR(IF(INDEX(Data!$C$2:$C$45,MATCH($A27,Data!$A$2:$A$45,0))="","",INDEX(Data!$C$2:$C$45,MATCH($A27,Data!$A$2:$A$45,0))),"")</f>
        <v/>
      </c>
      <c r="C27" s="14">
        <f>IF(AND(ISNUMBER(B27),ISNUMBER(Summary!$E$6)),B27-Summary!$E$6,"")</f>
        <v/>
      </c>
      <c r="D27" s="14">
        <f>IF(AND(ISNUMBER(B27),ISNUMBER(Summary!$G$6)),B27-Summary!$G$6,"")</f>
        <v/>
      </c>
      <c r="E27" s="7">
        <f>IFERROR(IF(INDEX(Data!$D$2:$D$45,MATCH($A27,Data!$A$2:$A$45,0))="","",INDEX(Data!$D$2:$D$45,MATCH($A27,Data!$A$2:$A$45,0))),"")</f>
        <v/>
      </c>
      <c r="F27" s="14">
        <f>IF(AND(ISNUMBER(E27),ISNUMBER(Summary!$E$7)),E27-Summary!$E$7,"")</f>
        <v/>
      </c>
      <c r="G27" s="14">
        <f>IF(AND(ISNUMBER(E27),ISNUMBER(Summary!$G$7)),E27-Summary!$G$7,"")</f>
        <v/>
      </c>
      <c r="H27" s="7">
        <f>IFERROR(IF(INDEX(Data!$E$2:$E$45,MATCH($A27,Data!$A$2:$A$45,0))="","",INDEX(Data!$E$2:$E$45,MATCH($A27,Data!$A$2:$A$45,0))),"")</f>
        <v/>
      </c>
      <c r="I27" s="14">
        <f>IF(AND(ISNUMBER(H27),ISNUMBER(Summary!$E$8)),H27-Summary!$E$8,"")</f>
        <v/>
      </c>
      <c r="J27" s="14">
        <f>IF(AND(ISNUMBER(H27),ISNUMBER(Summary!$G$8)),H27-Summary!$G$8,"")</f>
        <v/>
      </c>
      <c r="K27" s="7">
        <f>IFERROR(IF(INDEX(Data!$F$2:$F$45,MATCH($A27,Data!$A$2:$A$45,0))="","",INDEX(Data!$F$2:$F$45,MATCH($A27,Data!$A$2:$A$45,0))),"")</f>
        <v/>
      </c>
      <c r="L27" s="14">
        <f>IF(AND(ISNUMBER(K27),ISNUMBER(Summary!$E$9)),K27-Summary!$E$9,"")</f>
        <v/>
      </c>
      <c r="M27" s="14">
        <f>IF(AND(ISNUMBER(K27),ISNUMBER(Summary!$G$9)),K27-Summary!$G$9,"")</f>
        <v/>
      </c>
      <c r="N27" s="7">
        <f>IFERROR(IF(INDEX(Data!$G$2:$G$45,MATCH($A27,Data!$A$2:$A$45,0))="","",INDEX(Data!$G$2:$G$45,MATCH($A27,Data!$A$2:$A$45,0))),"")</f>
        <v/>
      </c>
      <c r="O27" s="14">
        <f>IF(AND(ISNUMBER(N27),ISNUMBER(Summary!$E$10)),N27-Summary!$E$10,"")</f>
        <v/>
      </c>
      <c r="P27" s="14">
        <f>IF(AND(ISNUMBER(N27),ISNUMBER(Summary!$G$10)),N27-Summary!$G$10,"")</f>
        <v/>
      </c>
      <c r="Q27" s="7">
        <f>IFERROR(IF(INDEX(Data!$H$2:$H$45,MATCH($A27,Data!$A$2:$A$45,0))="","",INDEX(Data!$H$2:$H$45,MATCH($A27,Data!$A$2:$A$45,0))),"")</f>
        <v/>
      </c>
      <c r="R27" s="14">
        <f>IF(AND(ISNUMBER(Q27),ISNUMBER(Summary!$E$11)),Q27-Summary!$E$11,"")</f>
        <v/>
      </c>
      <c r="S27" s="14">
        <f>IF(AND(ISNUMBER(Q27),ISNUMBER(Summary!$G$11)),Q27-Summary!$G$11,"")</f>
        <v/>
      </c>
      <c r="T27" s="7">
        <f>IFERROR(IF(INDEX(Data!$I$2:$I$45,MATCH($A27,Data!$A$2:$A$45,0))="","",INDEX(Data!$I$2:$I$45,MATCH($A27,Data!$A$2:$A$45,0))),"")</f>
        <v/>
      </c>
      <c r="U27" s="14">
        <f>IF(AND(ISNUMBER(T27),ISNUMBER(Summary!$E$12)),T27-Summary!$E$12,"")</f>
        <v/>
      </c>
      <c r="V27" s="14">
        <f>IF(AND(ISNUMBER(T27),ISNUMBER(Summary!$G$12)),T27-Summary!$G$12,"")</f>
        <v/>
      </c>
      <c r="W27" s="7">
        <f>IFERROR(IF(INDEX(Data!$J$2:$J$45,MATCH($A27,Data!$A$2:$A$45,0))="","",INDEX(Data!$J$2:$J$45,MATCH($A27,Data!$A$2:$A$45,0))),"")</f>
        <v/>
      </c>
      <c r="X27" s="14">
        <f>IF(AND(ISNUMBER(W27),ISNUMBER(Summary!$E$13)),W27-Summary!$E$13,"")</f>
        <v/>
      </c>
      <c r="Y27" s="14">
        <f>IF(AND(ISNUMBER(W27),ISNUMBER(Summary!$G$13)),W27-Summary!$G$13,"")</f>
        <v/>
      </c>
      <c r="Z27" s="7">
        <f>IFERROR(IF(INDEX(Data!$K$2:$K$45,MATCH($A27,Data!$A$2:$A$45,0))="","",INDEX(Data!$K$2:$K$45,MATCH($A27,Data!$A$2:$A$45,0))),"")</f>
        <v/>
      </c>
      <c r="AA27" s="14">
        <f>IF(AND(ISNUMBER(Z27),ISNUMBER(Summary!$E$14)),Z27-Summary!$E$14,"")</f>
        <v/>
      </c>
      <c r="AB27" s="14">
        <f>IF(AND(ISNUMBER(Z27),ISNUMBER(Summary!$G$14)),Z27-Summary!$G$14,"")</f>
        <v/>
      </c>
      <c r="AC27" s="7">
        <f>IFERROR(IF(INDEX(Data!$L$2:$L$45,MATCH($A27,Data!$A$2:$A$45,0))="","",INDEX(Data!$L$2:$L$45,MATCH($A27,Data!$A$2:$A$45,0))),"")</f>
        <v/>
      </c>
      <c r="AD27" s="14">
        <f>IF(AND(ISNUMBER(AC27),ISNUMBER(Summary!$E$15)),AC27-Summary!$E$15,"")</f>
        <v/>
      </c>
      <c r="AE27" s="14">
        <f>IF(AND(ISNUMBER(AC27),ISNUMBER(Summary!$G$15)),AC27-Summary!$G$15,"")</f>
        <v/>
      </c>
      <c r="AF27" s="7">
        <f>IFERROR(IF(INDEX(Data!$M$2:$M$45,MATCH($A27,Data!$A$2:$A$45,0))="","",INDEX(Data!$M$2:$M$45,MATCH($A27,Data!$A$2:$A$45,0))),"")</f>
        <v/>
      </c>
      <c r="AG27" s="14">
        <f>IF(AND(ISNUMBER(AF27),ISNUMBER(Summary!$E$16)),AF27-Summary!$E$16,"")</f>
        <v/>
      </c>
      <c r="AH27" s="14">
        <f>IF(AND(ISNUMBER(AF27),ISNUMBER(Summary!$G$16)),AF27-Summary!$G$16,"")</f>
        <v/>
      </c>
      <c r="AI27" s="7">
        <f>IFERROR(IF(INDEX(Data!$N$2:$N$45,MATCH($A27,Data!$A$2:$A$45,0))="","",INDEX(Data!$N$2:$N$45,MATCH($A27,Data!$A$2:$A$45,0))),"")</f>
        <v/>
      </c>
      <c r="AJ27" s="14">
        <f>IF(AND(ISNUMBER(AI27),ISNUMBER(Summary!$E$17)),AI27-Summary!$E$17,"")</f>
        <v/>
      </c>
      <c r="AK27" s="14">
        <f>IF(AND(ISNUMBER(AI27),ISNUMBER(Summary!$G$17)),AI27-Summary!$G$17,"")</f>
        <v/>
      </c>
      <c r="AL27" s="7">
        <f>IFERROR(IF(INDEX(Data!$O$2:$O$45,MATCH($A27,Data!$A$2:$A$45,0))="","",INDEX(Data!$O$2:$O$45,MATCH($A27,Data!$A$2:$A$45,0))),"")</f>
        <v/>
      </c>
      <c r="AM27" s="14">
        <f>IF(AND(ISNUMBER(AL27),ISNUMBER(Summary!$E$18)),AL27-Summary!$E$18,"")</f>
        <v/>
      </c>
      <c r="AN27" s="14">
        <f>IF(AND(ISNUMBER(AL27),ISNUMBER(Summary!$G$18)),AL27-Summary!$G$18,"")</f>
        <v/>
      </c>
      <c r="AO27" s="7">
        <f>IFERROR(IF(INDEX(Data!$P$2:$P$45,MATCH($A27,Data!$A$2:$A$45,0))="","",INDEX(Data!$P$2:$P$45,MATCH($A27,Data!$A$2:$A$45,0))),"")</f>
        <v/>
      </c>
      <c r="AP27" s="14">
        <f>IF(AND(ISNUMBER(AO27),ISNUMBER(Summary!$E$19)),AO27-Summary!$E$19,"")</f>
        <v/>
      </c>
      <c r="AQ27" s="14">
        <f>IF(AND(ISNUMBER(AO27),ISNUMBER(Summary!$G$19)),AO27-Summary!$G$19,"")</f>
        <v/>
      </c>
      <c r="AR27" s="7">
        <f>IFERROR(IF(INDEX(Data!$Q$2:$Q$45,MATCH($A27,Data!$A$2:$A$45,0))="","",INDEX(Data!$Q$2:$Q$45,MATCH($A27,Data!$A$2:$A$45,0))),"")</f>
        <v/>
      </c>
      <c r="AS27" s="14">
        <f>IF(AND(ISNUMBER(AR27),ISNUMBER(Summary!$E$20)),AR27-Summary!$E$20,"")</f>
        <v/>
      </c>
      <c r="AT27" s="14">
        <f>IF(AND(ISNUMBER(AR27),ISNUMBER(Summary!$G$20)),AR27-Summary!$G$20,"")</f>
        <v/>
      </c>
      <c r="AU27" s="7">
        <f>IFERROR(IF(INDEX(Data!$R$2:$R$45,MATCH($A27,Data!$A$2:$A$45,0))="","",INDEX(Data!$R$2:$R$45,MATCH($A27,Data!$A$2:$A$45,0))),"")</f>
        <v/>
      </c>
      <c r="AV27" s="14">
        <f>IF(AND(ISNUMBER(AU27),ISNUMBER(Summary!$E$21)),AU27-Summary!$E$21,"")</f>
        <v/>
      </c>
      <c r="AW27" s="14">
        <f>IF(AND(ISNUMBER(AU27),ISNUMBER(Summary!$G$21)),AU27-Summary!$G$21,"")</f>
        <v/>
      </c>
      <c r="AX27" s="7">
        <f>IFERROR(IF(INDEX(Data!$S$2:$S$45,MATCH($A27,Data!$A$2:$A$45,0))="","",INDEX(Data!$S$2:$S$45,MATCH($A27,Data!$A$2:$A$45,0))),"")</f>
        <v/>
      </c>
      <c r="AY27" s="14">
        <f>IF(AND(ISNUMBER(AX27),ISNUMBER(Summary!$E$22)),AX27-Summary!$E$22,"")</f>
        <v/>
      </c>
      <c r="AZ27" s="14">
        <f>IF(AND(ISNUMBER(AX27),ISNUMBER(Summary!$G$22)),AX27-Summary!$G$22,"")</f>
        <v/>
      </c>
      <c r="BA27" s="7">
        <f>IFERROR(IF(INDEX(Data!$T$2:$T$45,MATCH($A27,Data!$A$2:$A$45,0))="","",INDEX(Data!$T$2:$T$45,MATCH($A27,Data!$A$2:$A$45,0))),"")</f>
        <v/>
      </c>
      <c r="BB27" s="14">
        <f>IF(AND(ISNUMBER(BA27),ISNUMBER(Summary!$E$23)),BA27-Summary!$E$23,"")</f>
        <v/>
      </c>
      <c r="BC27" s="14">
        <f>IF(AND(ISNUMBER(BA27),ISNUMBER(Summary!$G$23)),BA27-Summary!$G$23,"")</f>
        <v/>
      </c>
      <c r="BD27" s="7">
        <f>IFERROR(IF(INDEX(Data!$U$2:$U$45,MATCH($A27,Data!$A$2:$A$45,0))="","",INDEX(Data!$U$2:$U$45,MATCH($A27,Data!$A$2:$A$45,0))),"")</f>
        <v/>
      </c>
      <c r="BE27" s="14">
        <f>IF(AND(ISNUMBER(BD27),ISNUMBER(Summary!$E$24)),BD27-Summary!$E$24,"")</f>
        <v/>
      </c>
      <c r="BF27" s="14">
        <f>IF(AND(ISNUMBER(BD27),ISNUMBER(Summary!$G$24)),BD27-Summary!$G$24,"")</f>
        <v/>
      </c>
      <c r="BG27" s="7">
        <f>IFERROR(IF(INDEX(Data!$V$2:$V$45,MATCH($A27,Data!$A$2:$A$45,0))="","",INDEX(Data!$V$2:$V$45,MATCH($A27,Data!$A$2:$A$45,0))),"")</f>
        <v/>
      </c>
      <c r="BH27" s="14">
        <f>IF(AND(ISNUMBER(BG27),ISNUMBER(Summary!$E$25)),BG27-Summary!$E$25,"")</f>
        <v/>
      </c>
      <c r="BI27" s="14">
        <f>IF(AND(ISNUMBER(BG27),ISNUMBER(Summary!$G$25)),BG27-Summary!$G$25,"")</f>
        <v/>
      </c>
      <c r="BJ27" s="7">
        <f>IFERROR(IF(INDEX(Data!$W$2:$W$45,MATCH($A27,Data!$A$2:$A$45,0))="","",INDEX(Data!$W$2:$W$45,MATCH($A27,Data!$A$2:$A$45,0))),"")</f>
        <v/>
      </c>
      <c r="BK27" s="14">
        <f>IF(AND(ISNUMBER(BJ27),ISNUMBER(Summary!$E$26)),BJ27-Summary!$E$26,"")</f>
        <v/>
      </c>
      <c r="BL27" s="14">
        <f>IF(AND(ISNUMBER(BJ27),ISNUMBER(Summary!$G$26)),BJ27-Summary!$G$26,"")</f>
        <v/>
      </c>
      <c r="BM27" s="7">
        <f>IFERROR(IF(INDEX(Data!$X$2:$X$45,MATCH($A27,Data!$A$2:$A$45,0))="","",INDEX(Data!$X$2:$X$45,MATCH($A27,Data!$A$2:$A$45,0))),"")</f>
        <v/>
      </c>
      <c r="BN27" s="14">
        <f>IF(AND(ISNUMBER(BM27),ISNUMBER(Summary!$E$27)),BM27-Summary!$E$27,"")</f>
        <v/>
      </c>
      <c r="BO27" s="14">
        <f>IF(AND(ISNUMBER(BM27),ISNUMBER(Summary!$G$27)),BM27-Summary!$G$27,"")</f>
        <v/>
      </c>
      <c r="BP27" s="7">
        <f>IFERROR(IF(INDEX(Data!$Y$2:$Y$45,MATCH($A27,Data!$A$2:$A$45,0))="","",INDEX(Data!$Y$2:$Y$45,MATCH($A27,Data!$A$2:$A$45,0))),"")</f>
        <v/>
      </c>
      <c r="BQ27" s="14">
        <f>IF(AND(ISNUMBER(BP27),ISNUMBER(Summary!$E$28)),BP27-Summary!$E$28,"")</f>
        <v/>
      </c>
      <c r="BR27" s="14">
        <f>IF(AND(ISNUMBER(BP27),ISNUMBER(Summary!$G$28)),BP27-Summary!$G$28,"")</f>
        <v/>
      </c>
      <c r="BS27" s="7">
        <f>IFERROR(IF(INDEX(Data!$Z$2:$Z$45,MATCH($A27,Data!$A$2:$A$45,0))="","",INDEX(Data!$Z$2:$Z$45,MATCH($A27,Data!$A$2:$A$45,0))),"")</f>
        <v/>
      </c>
      <c r="BT27" s="14">
        <f>IF(AND(ISNUMBER(BS27),ISNUMBER(Summary!$E$29)),BS27-Summary!$E$29,"")</f>
        <v/>
      </c>
      <c r="BU27" s="14">
        <f>IF(AND(ISNUMBER(BS27),ISNUMBER(Summary!$G$29)),BS27-Summary!$G$29,"")</f>
        <v/>
      </c>
      <c r="BV27" s="7">
        <f>IFERROR(IF(INDEX(Data!$AA$2:$AA$45,MATCH($A27,Data!$A$2:$A$45,0))="","",INDEX(Data!$AA$2:$AA$45,MATCH($A27,Data!$A$2:$A$45,0))),"")</f>
        <v/>
      </c>
      <c r="BW27" s="14">
        <f>IF(AND(ISNUMBER(BV27),ISNUMBER(Summary!$E$30)),BV27-Summary!$E$30,"")</f>
        <v/>
      </c>
      <c r="BX27" s="14">
        <f>IF(AND(ISNUMBER(BV27),ISNUMBER(Summary!$G$30)),BV27-Summary!$G$30,"")</f>
        <v/>
      </c>
      <c r="BY27" s="7">
        <f>IFERROR(IF(INDEX(Data!$AB$2:$AB$45,MATCH($A27,Data!$A$2:$A$45,0))="","",INDEX(Data!$AB$2:$AB$45,MATCH($A27,Data!$A$2:$A$45,0))),"")</f>
        <v/>
      </c>
      <c r="BZ27" s="14">
        <f>IF(AND(ISNUMBER(BY27),ISNUMBER(Summary!$E$31)),BY27-Summary!$E$31,"")</f>
        <v/>
      </c>
      <c r="CA27" s="14">
        <f>IF(AND(ISNUMBER(BY27),ISNUMBER(Summary!$G$31)),BY27-Summary!$G$31,"")</f>
        <v/>
      </c>
      <c r="CB27" s="7">
        <f>IFERROR(IF(INDEX(Data!$AC$2:$AC$45,MATCH($A27,Data!$A$2:$A$45,0))="","",INDEX(Data!$AC$2:$AC$45,MATCH($A27,Data!$A$2:$A$45,0))),"")</f>
        <v/>
      </c>
      <c r="CC27" s="14">
        <f>IF(AND(ISNUMBER(CB27),ISNUMBER(Summary!$E$32)),CB27-Summary!$E$32,"")</f>
        <v/>
      </c>
      <c r="CD27" s="14">
        <f>IF(AND(ISNUMBER(CB27),ISNUMBER(Summary!$G$32)),CB27-Summary!$G$32,"")</f>
        <v/>
      </c>
      <c r="CE27" s="7">
        <f>IFERROR(IF(INDEX(Data!$AD$2:$AD$45,MATCH($A27,Data!$A$2:$A$45,0))="","",INDEX(Data!$AD$2:$AD$45,MATCH($A27,Data!$A$2:$A$45,0))),"")</f>
        <v/>
      </c>
      <c r="CF27" s="14">
        <f>IF(AND(ISNUMBER(CE27),ISNUMBER(Summary!$E$33)),CE27-Summary!$E$33,"")</f>
        <v/>
      </c>
      <c r="CG27" s="14">
        <f>IF(AND(ISNUMBER(CE27),ISNUMBER(Summary!$G$33)),CE27-Summary!$G$33,"")</f>
        <v/>
      </c>
      <c r="CH27" s="7">
        <f>IFERROR(IF(INDEX(Data!$AE$2:$AE$45,MATCH($A27,Data!$A$2:$A$45,0))="","",INDEX(Data!$AE$2:$AE$45,MATCH($A27,Data!$A$2:$A$45,0))),"")</f>
        <v/>
      </c>
      <c r="CI27" s="14">
        <f>IF(AND(ISNUMBER(CH27),ISNUMBER(Summary!$E$34)),CH27-Summary!$E$34,"")</f>
        <v/>
      </c>
      <c r="CJ27" s="14">
        <f>IF(AND(ISNUMBER(CH27),ISNUMBER(Summary!$G$34)),CH27-Summary!$G$34,"")</f>
        <v/>
      </c>
      <c r="CK27" s="7">
        <f>IFERROR(IF(INDEX(Data!$AF$2:$AF$45,MATCH($A27,Data!$A$2:$A$45,0))="","",INDEX(Data!$AF$2:$AF$45,MATCH($A27,Data!$A$2:$A$45,0))),"")</f>
        <v/>
      </c>
      <c r="CL27" s="14">
        <f>IF(AND(ISNUMBER(CK27),ISNUMBER(Summary!$E$35)),CK27-Summary!$E$35,"")</f>
        <v/>
      </c>
      <c r="CM27" s="14">
        <f>IF(AND(ISNUMBER(CK27),ISNUMBER(Summary!$G$35)),CK27-Summary!$G$35,"")</f>
        <v/>
      </c>
      <c r="CN27" s="7">
        <f>IFERROR(IF(INDEX(Data!$AG$2:$AG$45,MATCH($A27,Data!$A$2:$A$45,0))="","",INDEX(Data!$AG$2:$AG$45,MATCH($A27,Data!$A$2:$A$45,0))),"")</f>
        <v/>
      </c>
      <c r="CO27" s="14">
        <f>IF(AND(ISNUMBER(CN27),ISNUMBER(Summary!$E$36)),CN27-Summary!$E$36,"")</f>
        <v/>
      </c>
      <c r="CP27" s="14">
        <f>IF(AND(ISNUMBER(CN27),ISNUMBER(Summary!$G$36)),CN27-Summary!$G$36,"")</f>
        <v/>
      </c>
      <c r="CQ27" s="7">
        <f>IFERROR(IF(INDEX(Data!$AH$2:$AH$45,MATCH($A27,Data!$A$2:$A$45,0))="","",INDEX(Data!$AH$2:$AH$45,MATCH($A27,Data!$A$2:$A$45,0))),"")</f>
        <v/>
      </c>
      <c r="CR27" s="14">
        <f>IF(AND(ISNUMBER(CQ27),ISNUMBER(Summary!$E$37)),CQ27-Summary!$E$37,"")</f>
        <v/>
      </c>
      <c r="CS27" s="14">
        <f>IF(AND(ISNUMBER(CQ27),ISNUMBER(Summary!$G$37)),CQ27-Summary!$G$37,"")</f>
        <v/>
      </c>
      <c r="CT27" s="7">
        <f>IFERROR(IF(INDEX(Data!$AI$2:$AI$45,MATCH($A27,Data!$A$2:$A$45,0))="","",INDEX(Data!$AI$2:$AI$45,MATCH($A27,Data!$A$2:$A$45,0))),"")</f>
        <v/>
      </c>
      <c r="CU27" s="14">
        <f>IF(AND(ISNUMBER(CT27),ISNUMBER(Summary!$E$38)),CT27-Summary!$E$38,"")</f>
        <v/>
      </c>
      <c r="CV27" s="14">
        <f>IF(AND(ISNUMBER(CT27),ISNUMBER(Summary!$G$38)),CT27-Summary!$G$38,"")</f>
        <v/>
      </c>
    </row>
    <row r="28">
      <c r="A28" s="27" t="n">
        <v>46271</v>
      </c>
      <c r="B28" s="7">
        <f>IFERROR(IF(INDEX(Data!$C$2:$C$45,MATCH($A28,Data!$A$2:$A$45,0))="","",INDEX(Data!$C$2:$C$45,MATCH($A28,Data!$A$2:$A$45,0))),"")</f>
        <v/>
      </c>
      <c r="C28" s="14">
        <f>IF(AND(ISNUMBER(B28),ISNUMBER(Summary!$E$6)),B28-Summary!$E$6,"")</f>
        <v/>
      </c>
      <c r="D28" s="14">
        <f>IF(AND(ISNUMBER(B28),ISNUMBER(Summary!$G$6)),B28-Summary!$G$6,"")</f>
        <v/>
      </c>
      <c r="E28" s="7">
        <f>IFERROR(IF(INDEX(Data!$D$2:$D$45,MATCH($A28,Data!$A$2:$A$45,0))="","",INDEX(Data!$D$2:$D$45,MATCH($A28,Data!$A$2:$A$45,0))),"")</f>
        <v/>
      </c>
      <c r="F28" s="14">
        <f>IF(AND(ISNUMBER(E28),ISNUMBER(Summary!$E$7)),E28-Summary!$E$7,"")</f>
        <v/>
      </c>
      <c r="G28" s="14">
        <f>IF(AND(ISNUMBER(E28),ISNUMBER(Summary!$G$7)),E28-Summary!$G$7,"")</f>
        <v/>
      </c>
      <c r="H28" s="7">
        <f>IFERROR(IF(INDEX(Data!$E$2:$E$45,MATCH($A28,Data!$A$2:$A$45,0))="","",INDEX(Data!$E$2:$E$45,MATCH($A28,Data!$A$2:$A$45,0))),"")</f>
        <v/>
      </c>
      <c r="I28" s="14">
        <f>IF(AND(ISNUMBER(H28),ISNUMBER(Summary!$E$8)),H28-Summary!$E$8,"")</f>
        <v/>
      </c>
      <c r="J28" s="14">
        <f>IF(AND(ISNUMBER(H28),ISNUMBER(Summary!$G$8)),H28-Summary!$G$8,"")</f>
        <v/>
      </c>
      <c r="K28" s="7">
        <f>IFERROR(IF(INDEX(Data!$F$2:$F$45,MATCH($A28,Data!$A$2:$A$45,0))="","",INDEX(Data!$F$2:$F$45,MATCH($A28,Data!$A$2:$A$45,0))),"")</f>
        <v/>
      </c>
      <c r="L28" s="14">
        <f>IF(AND(ISNUMBER(K28),ISNUMBER(Summary!$E$9)),K28-Summary!$E$9,"")</f>
        <v/>
      </c>
      <c r="M28" s="14">
        <f>IF(AND(ISNUMBER(K28),ISNUMBER(Summary!$G$9)),K28-Summary!$G$9,"")</f>
        <v/>
      </c>
      <c r="N28" s="7">
        <f>IFERROR(IF(INDEX(Data!$G$2:$G$45,MATCH($A28,Data!$A$2:$A$45,0))="","",INDEX(Data!$G$2:$G$45,MATCH($A28,Data!$A$2:$A$45,0))),"")</f>
        <v/>
      </c>
      <c r="O28" s="14">
        <f>IF(AND(ISNUMBER(N28),ISNUMBER(Summary!$E$10)),N28-Summary!$E$10,"")</f>
        <v/>
      </c>
      <c r="P28" s="14">
        <f>IF(AND(ISNUMBER(N28),ISNUMBER(Summary!$G$10)),N28-Summary!$G$10,"")</f>
        <v/>
      </c>
      <c r="Q28" s="7">
        <f>IFERROR(IF(INDEX(Data!$H$2:$H$45,MATCH($A28,Data!$A$2:$A$45,0))="","",INDEX(Data!$H$2:$H$45,MATCH($A28,Data!$A$2:$A$45,0))),"")</f>
        <v/>
      </c>
      <c r="R28" s="14">
        <f>IF(AND(ISNUMBER(Q28),ISNUMBER(Summary!$E$11)),Q28-Summary!$E$11,"")</f>
        <v/>
      </c>
      <c r="S28" s="14">
        <f>IF(AND(ISNUMBER(Q28),ISNUMBER(Summary!$G$11)),Q28-Summary!$G$11,"")</f>
        <v/>
      </c>
      <c r="T28" s="7">
        <f>IFERROR(IF(INDEX(Data!$I$2:$I$45,MATCH($A28,Data!$A$2:$A$45,0))="","",INDEX(Data!$I$2:$I$45,MATCH($A28,Data!$A$2:$A$45,0))),"")</f>
        <v/>
      </c>
      <c r="U28" s="14">
        <f>IF(AND(ISNUMBER(T28),ISNUMBER(Summary!$E$12)),T28-Summary!$E$12,"")</f>
        <v/>
      </c>
      <c r="V28" s="14">
        <f>IF(AND(ISNUMBER(T28),ISNUMBER(Summary!$G$12)),T28-Summary!$G$12,"")</f>
        <v/>
      </c>
      <c r="W28" s="7">
        <f>IFERROR(IF(INDEX(Data!$J$2:$J$45,MATCH($A28,Data!$A$2:$A$45,0))="","",INDEX(Data!$J$2:$J$45,MATCH($A28,Data!$A$2:$A$45,0))),"")</f>
        <v/>
      </c>
      <c r="X28" s="14">
        <f>IF(AND(ISNUMBER(W28),ISNUMBER(Summary!$E$13)),W28-Summary!$E$13,"")</f>
        <v/>
      </c>
      <c r="Y28" s="14">
        <f>IF(AND(ISNUMBER(W28),ISNUMBER(Summary!$G$13)),W28-Summary!$G$13,"")</f>
        <v/>
      </c>
      <c r="Z28" s="7">
        <f>IFERROR(IF(INDEX(Data!$K$2:$K$45,MATCH($A28,Data!$A$2:$A$45,0))="","",INDEX(Data!$K$2:$K$45,MATCH($A28,Data!$A$2:$A$45,0))),"")</f>
        <v/>
      </c>
      <c r="AA28" s="14">
        <f>IF(AND(ISNUMBER(Z28),ISNUMBER(Summary!$E$14)),Z28-Summary!$E$14,"")</f>
        <v/>
      </c>
      <c r="AB28" s="14">
        <f>IF(AND(ISNUMBER(Z28),ISNUMBER(Summary!$G$14)),Z28-Summary!$G$14,"")</f>
        <v/>
      </c>
      <c r="AC28" s="7">
        <f>IFERROR(IF(INDEX(Data!$L$2:$L$45,MATCH($A28,Data!$A$2:$A$45,0))="","",INDEX(Data!$L$2:$L$45,MATCH($A28,Data!$A$2:$A$45,0))),"")</f>
        <v/>
      </c>
      <c r="AD28" s="14">
        <f>IF(AND(ISNUMBER(AC28),ISNUMBER(Summary!$E$15)),AC28-Summary!$E$15,"")</f>
        <v/>
      </c>
      <c r="AE28" s="14">
        <f>IF(AND(ISNUMBER(AC28),ISNUMBER(Summary!$G$15)),AC28-Summary!$G$15,"")</f>
        <v/>
      </c>
      <c r="AF28" s="7">
        <f>IFERROR(IF(INDEX(Data!$M$2:$M$45,MATCH($A28,Data!$A$2:$A$45,0))="","",INDEX(Data!$M$2:$M$45,MATCH($A28,Data!$A$2:$A$45,0))),"")</f>
        <v/>
      </c>
      <c r="AG28" s="14">
        <f>IF(AND(ISNUMBER(AF28),ISNUMBER(Summary!$E$16)),AF28-Summary!$E$16,"")</f>
        <v/>
      </c>
      <c r="AH28" s="14">
        <f>IF(AND(ISNUMBER(AF28),ISNUMBER(Summary!$G$16)),AF28-Summary!$G$16,"")</f>
        <v/>
      </c>
      <c r="AI28" s="7">
        <f>IFERROR(IF(INDEX(Data!$N$2:$N$45,MATCH($A28,Data!$A$2:$A$45,0))="","",INDEX(Data!$N$2:$N$45,MATCH($A28,Data!$A$2:$A$45,0))),"")</f>
        <v/>
      </c>
      <c r="AJ28" s="14">
        <f>IF(AND(ISNUMBER(AI28),ISNUMBER(Summary!$E$17)),AI28-Summary!$E$17,"")</f>
        <v/>
      </c>
      <c r="AK28" s="14">
        <f>IF(AND(ISNUMBER(AI28),ISNUMBER(Summary!$G$17)),AI28-Summary!$G$17,"")</f>
        <v/>
      </c>
      <c r="AL28" s="7">
        <f>IFERROR(IF(INDEX(Data!$O$2:$O$45,MATCH($A28,Data!$A$2:$A$45,0))="","",INDEX(Data!$O$2:$O$45,MATCH($A28,Data!$A$2:$A$45,0))),"")</f>
        <v/>
      </c>
      <c r="AM28" s="14">
        <f>IF(AND(ISNUMBER(AL28),ISNUMBER(Summary!$E$18)),AL28-Summary!$E$18,"")</f>
        <v/>
      </c>
      <c r="AN28" s="14">
        <f>IF(AND(ISNUMBER(AL28),ISNUMBER(Summary!$G$18)),AL28-Summary!$G$18,"")</f>
        <v/>
      </c>
      <c r="AO28" s="7">
        <f>IFERROR(IF(INDEX(Data!$P$2:$P$45,MATCH($A28,Data!$A$2:$A$45,0))="","",INDEX(Data!$P$2:$P$45,MATCH($A28,Data!$A$2:$A$45,0))),"")</f>
        <v/>
      </c>
      <c r="AP28" s="14">
        <f>IF(AND(ISNUMBER(AO28),ISNUMBER(Summary!$E$19)),AO28-Summary!$E$19,"")</f>
        <v/>
      </c>
      <c r="AQ28" s="14">
        <f>IF(AND(ISNUMBER(AO28),ISNUMBER(Summary!$G$19)),AO28-Summary!$G$19,"")</f>
        <v/>
      </c>
      <c r="AR28" s="7">
        <f>IFERROR(IF(INDEX(Data!$Q$2:$Q$45,MATCH($A28,Data!$A$2:$A$45,0))="","",INDEX(Data!$Q$2:$Q$45,MATCH($A28,Data!$A$2:$A$45,0))),"")</f>
        <v/>
      </c>
      <c r="AS28" s="14">
        <f>IF(AND(ISNUMBER(AR28),ISNUMBER(Summary!$E$20)),AR28-Summary!$E$20,"")</f>
        <v/>
      </c>
      <c r="AT28" s="14">
        <f>IF(AND(ISNUMBER(AR28),ISNUMBER(Summary!$G$20)),AR28-Summary!$G$20,"")</f>
        <v/>
      </c>
      <c r="AU28" s="7">
        <f>IFERROR(IF(INDEX(Data!$R$2:$R$45,MATCH($A28,Data!$A$2:$A$45,0))="","",INDEX(Data!$R$2:$R$45,MATCH($A28,Data!$A$2:$A$45,0))),"")</f>
        <v/>
      </c>
      <c r="AV28" s="14">
        <f>IF(AND(ISNUMBER(AU28),ISNUMBER(Summary!$E$21)),AU28-Summary!$E$21,"")</f>
        <v/>
      </c>
      <c r="AW28" s="14">
        <f>IF(AND(ISNUMBER(AU28),ISNUMBER(Summary!$G$21)),AU28-Summary!$G$21,"")</f>
        <v/>
      </c>
      <c r="AX28" s="7">
        <f>IFERROR(IF(INDEX(Data!$S$2:$S$45,MATCH($A28,Data!$A$2:$A$45,0))="","",INDEX(Data!$S$2:$S$45,MATCH($A28,Data!$A$2:$A$45,0))),"")</f>
        <v/>
      </c>
      <c r="AY28" s="14">
        <f>IF(AND(ISNUMBER(AX28),ISNUMBER(Summary!$E$22)),AX28-Summary!$E$22,"")</f>
        <v/>
      </c>
      <c r="AZ28" s="14">
        <f>IF(AND(ISNUMBER(AX28),ISNUMBER(Summary!$G$22)),AX28-Summary!$G$22,"")</f>
        <v/>
      </c>
      <c r="BA28" s="7">
        <f>IFERROR(IF(INDEX(Data!$T$2:$T$45,MATCH($A28,Data!$A$2:$A$45,0))="","",INDEX(Data!$T$2:$T$45,MATCH($A28,Data!$A$2:$A$45,0))),"")</f>
        <v/>
      </c>
      <c r="BB28" s="14">
        <f>IF(AND(ISNUMBER(BA28),ISNUMBER(Summary!$E$23)),BA28-Summary!$E$23,"")</f>
        <v/>
      </c>
      <c r="BC28" s="14">
        <f>IF(AND(ISNUMBER(BA28),ISNUMBER(Summary!$G$23)),BA28-Summary!$G$23,"")</f>
        <v/>
      </c>
      <c r="BD28" s="7">
        <f>IFERROR(IF(INDEX(Data!$U$2:$U$45,MATCH($A28,Data!$A$2:$A$45,0))="","",INDEX(Data!$U$2:$U$45,MATCH($A28,Data!$A$2:$A$45,0))),"")</f>
        <v/>
      </c>
      <c r="BE28" s="14">
        <f>IF(AND(ISNUMBER(BD28),ISNUMBER(Summary!$E$24)),BD28-Summary!$E$24,"")</f>
        <v/>
      </c>
      <c r="BF28" s="14">
        <f>IF(AND(ISNUMBER(BD28),ISNUMBER(Summary!$G$24)),BD28-Summary!$G$24,"")</f>
        <v/>
      </c>
      <c r="BG28" s="7">
        <f>IFERROR(IF(INDEX(Data!$V$2:$V$45,MATCH($A28,Data!$A$2:$A$45,0))="","",INDEX(Data!$V$2:$V$45,MATCH($A28,Data!$A$2:$A$45,0))),"")</f>
        <v/>
      </c>
      <c r="BH28" s="14">
        <f>IF(AND(ISNUMBER(BG28),ISNUMBER(Summary!$E$25)),BG28-Summary!$E$25,"")</f>
        <v/>
      </c>
      <c r="BI28" s="14">
        <f>IF(AND(ISNUMBER(BG28),ISNUMBER(Summary!$G$25)),BG28-Summary!$G$25,"")</f>
        <v/>
      </c>
      <c r="BJ28" s="7">
        <f>IFERROR(IF(INDEX(Data!$W$2:$W$45,MATCH($A28,Data!$A$2:$A$45,0))="","",INDEX(Data!$W$2:$W$45,MATCH($A28,Data!$A$2:$A$45,0))),"")</f>
        <v/>
      </c>
      <c r="BK28" s="14">
        <f>IF(AND(ISNUMBER(BJ28),ISNUMBER(Summary!$E$26)),BJ28-Summary!$E$26,"")</f>
        <v/>
      </c>
      <c r="BL28" s="14">
        <f>IF(AND(ISNUMBER(BJ28),ISNUMBER(Summary!$G$26)),BJ28-Summary!$G$26,"")</f>
        <v/>
      </c>
      <c r="BM28" s="7">
        <f>IFERROR(IF(INDEX(Data!$X$2:$X$45,MATCH($A28,Data!$A$2:$A$45,0))="","",INDEX(Data!$X$2:$X$45,MATCH($A28,Data!$A$2:$A$45,0))),"")</f>
        <v/>
      </c>
      <c r="BN28" s="14">
        <f>IF(AND(ISNUMBER(BM28),ISNUMBER(Summary!$E$27)),BM28-Summary!$E$27,"")</f>
        <v/>
      </c>
      <c r="BO28" s="14">
        <f>IF(AND(ISNUMBER(BM28),ISNUMBER(Summary!$G$27)),BM28-Summary!$G$27,"")</f>
        <v/>
      </c>
      <c r="BP28" s="7">
        <f>IFERROR(IF(INDEX(Data!$Y$2:$Y$45,MATCH($A28,Data!$A$2:$A$45,0))="","",INDEX(Data!$Y$2:$Y$45,MATCH($A28,Data!$A$2:$A$45,0))),"")</f>
        <v/>
      </c>
      <c r="BQ28" s="14">
        <f>IF(AND(ISNUMBER(BP28),ISNUMBER(Summary!$E$28)),BP28-Summary!$E$28,"")</f>
        <v/>
      </c>
      <c r="BR28" s="14">
        <f>IF(AND(ISNUMBER(BP28),ISNUMBER(Summary!$G$28)),BP28-Summary!$G$28,"")</f>
        <v/>
      </c>
      <c r="BS28" s="7">
        <f>IFERROR(IF(INDEX(Data!$Z$2:$Z$45,MATCH($A28,Data!$A$2:$A$45,0))="","",INDEX(Data!$Z$2:$Z$45,MATCH($A28,Data!$A$2:$A$45,0))),"")</f>
        <v/>
      </c>
      <c r="BT28" s="14">
        <f>IF(AND(ISNUMBER(BS28),ISNUMBER(Summary!$E$29)),BS28-Summary!$E$29,"")</f>
        <v/>
      </c>
      <c r="BU28" s="14">
        <f>IF(AND(ISNUMBER(BS28),ISNUMBER(Summary!$G$29)),BS28-Summary!$G$29,"")</f>
        <v/>
      </c>
      <c r="BV28" s="7">
        <f>IFERROR(IF(INDEX(Data!$AA$2:$AA$45,MATCH($A28,Data!$A$2:$A$45,0))="","",INDEX(Data!$AA$2:$AA$45,MATCH($A28,Data!$A$2:$A$45,0))),"")</f>
        <v/>
      </c>
      <c r="BW28" s="14">
        <f>IF(AND(ISNUMBER(BV28),ISNUMBER(Summary!$E$30)),BV28-Summary!$E$30,"")</f>
        <v/>
      </c>
      <c r="BX28" s="14">
        <f>IF(AND(ISNUMBER(BV28),ISNUMBER(Summary!$G$30)),BV28-Summary!$G$30,"")</f>
        <v/>
      </c>
      <c r="BY28" s="7">
        <f>IFERROR(IF(INDEX(Data!$AB$2:$AB$45,MATCH($A28,Data!$A$2:$A$45,0))="","",INDEX(Data!$AB$2:$AB$45,MATCH($A28,Data!$A$2:$A$45,0))),"")</f>
        <v/>
      </c>
      <c r="BZ28" s="14">
        <f>IF(AND(ISNUMBER(BY28),ISNUMBER(Summary!$E$31)),BY28-Summary!$E$31,"")</f>
        <v/>
      </c>
      <c r="CA28" s="14">
        <f>IF(AND(ISNUMBER(BY28),ISNUMBER(Summary!$G$31)),BY28-Summary!$G$31,"")</f>
        <v/>
      </c>
      <c r="CB28" s="7">
        <f>IFERROR(IF(INDEX(Data!$AC$2:$AC$45,MATCH($A28,Data!$A$2:$A$45,0))="","",INDEX(Data!$AC$2:$AC$45,MATCH($A28,Data!$A$2:$A$45,0))),"")</f>
        <v/>
      </c>
      <c r="CC28" s="14">
        <f>IF(AND(ISNUMBER(CB28),ISNUMBER(Summary!$E$32)),CB28-Summary!$E$32,"")</f>
        <v/>
      </c>
      <c r="CD28" s="14">
        <f>IF(AND(ISNUMBER(CB28),ISNUMBER(Summary!$G$32)),CB28-Summary!$G$32,"")</f>
        <v/>
      </c>
      <c r="CE28" s="7">
        <f>IFERROR(IF(INDEX(Data!$AD$2:$AD$45,MATCH($A28,Data!$A$2:$A$45,0))="","",INDEX(Data!$AD$2:$AD$45,MATCH($A28,Data!$A$2:$A$45,0))),"")</f>
        <v/>
      </c>
      <c r="CF28" s="14">
        <f>IF(AND(ISNUMBER(CE28),ISNUMBER(Summary!$E$33)),CE28-Summary!$E$33,"")</f>
        <v/>
      </c>
      <c r="CG28" s="14">
        <f>IF(AND(ISNUMBER(CE28),ISNUMBER(Summary!$G$33)),CE28-Summary!$G$33,"")</f>
        <v/>
      </c>
      <c r="CH28" s="7">
        <f>IFERROR(IF(INDEX(Data!$AE$2:$AE$45,MATCH($A28,Data!$A$2:$A$45,0))="","",INDEX(Data!$AE$2:$AE$45,MATCH($A28,Data!$A$2:$A$45,0))),"")</f>
        <v/>
      </c>
      <c r="CI28" s="14">
        <f>IF(AND(ISNUMBER(CH28),ISNUMBER(Summary!$E$34)),CH28-Summary!$E$34,"")</f>
        <v/>
      </c>
      <c r="CJ28" s="14">
        <f>IF(AND(ISNUMBER(CH28),ISNUMBER(Summary!$G$34)),CH28-Summary!$G$34,"")</f>
        <v/>
      </c>
      <c r="CK28" s="7">
        <f>IFERROR(IF(INDEX(Data!$AF$2:$AF$45,MATCH($A28,Data!$A$2:$A$45,0))="","",INDEX(Data!$AF$2:$AF$45,MATCH($A28,Data!$A$2:$A$45,0))),"")</f>
        <v/>
      </c>
      <c r="CL28" s="14">
        <f>IF(AND(ISNUMBER(CK28),ISNUMBER(Summary!$E$35)),CK28-Summary!$E$35,"")</f>
        <v/>
      </c>
      <c r="CM28" s="14">
        <f>IF(AND(ISNUMBER(CK28),ISNUMBER(Summary!$G$35)),CK28-Summary!$G$35,"")</f>
        <v/>
      </c>
      <c r="CN28" s="7">
        <f>IFERROR(IF(INDEX(Data!$AG$2:$AG$45,MATCH($A28,Data!$A$2:$A$45,0))="","",INDEX(Data!$AG$2:$AG$45,MATCH($A28,Data!$A$2:$A$45,0))),"")</f>
        <v/>
      </c>
      <c r="CO28" s="14">
        <f>IF(AND(ISNUMBER(CN28),ISNUMBER(Summary!$E$36)),CN28-Summary!$E$36,"")</f>
        <v/>
      </c>
      <c r="CP28" s="14">
        <f>IF(AND(ISNUMBER(CN28),ISNUMBER(Summary!$G$36)),CN28-Summary!$G$36,"")</f>
        <v/>
      </c>
      <c r="CQ28" s="7">
        <f>IFERROR(IF(INDEX(Data!$AH$2:$AH$45,MATCH($A28,Data!$A$2:$A$45,0))="","",INDEX(Data!$AH$2:$AH$45,MATCH($A28,Data!$A$2:$A$45,0))),"")</f>
        <v/>
      </c>
      <c r="CR28" s="14">
        <f>IF(AND(ISNUMBER(CQ28),ISNUMBER(Summary!$E$37)),CQ28-Summary!$E$37,"")</f>
        <v/>
      </c>
      <c r="CS28" s="14">
        <f>IF(AND(ISNUMBER(CQ28),ISNUMBER(Summary!$G$37)),CQ28-Summary!$G$37,"")</f>
        <v/>
      </c>
      <c r="CT28" s="7">
        <f>IFERROR(IF(INDEX(Data!$AI$2:$AI$45,MATCH($A28,Data!$A$2:$A$45,0))="","",INDEX(Data!$AI$2:$AI$45,MATCH($A28,Data!$A$2:$A$45,0))),"")</f>
        <v/>
      </c>
      <c r="CU28" s="14">
        <f>IF(AND(ISNUMBER(CT28),ISNUMBER(Summary!$E$38)),CT28-Summary!$E$38,"")</f>
        <v/>
      </c>
      <c r="CV28" s="14">
        <f>IF(AND(ISNUMBER(CT28),ISNUMBER(Summary!$G$38)),CT28-Summary!$G$38,"")</f>
        <v/>
      </c>
    </row>
    <row r="29">
      <c r="A29" s="27" t="n">
        <v>46270</v>
      </c>
      <c r="B29" s="7">
        <f>IFERROR(IF(INDEX(Data!$C$2:$C$45,MATCH($A29,Data!$A$2:$A$45,0))="","",INDEX(Data!$C$2:$C$45,MATCH($A29,Data!$A$2:$A$45,0))),"")</f>
        <v/>
      </c>
      <c r="C29" s="14">
        <f>IF(AND(ISNUMBER(B29),ISNUMBER(Summary!$E$6)),B29-Summary!$E$6,"")</f>
        <v/>
      </c>
      <c r="D29" s="14">
        <f>IF(AND(ISNUMBER(B29),ISNUMBER(Summary!$G$6)),B29-Summary!$G$6,"")</f>
        <v/>
      </c>
      <c r="E29" s="7">
        <f>IFERROR(IF(INDEX(Data!$D$2:$D$45,MATCH($A29,Data!$A$2:$A$45,0))="","",INDEX(Data!$D$2:$D$45,MATCH($A29,Data!$A$2:$A$45,0))),"")</f>
        <v/>
      </c>
      <c r="F29" s="14">
        <f>IF(AND(ISNUMBER(E29),ISNUMBER(Summary!$E$7)),E29-Summary!$E$7,"")</f>
        <v/>
      </c>
      <c r="G29" s="14">
        <f>IF(AND(ISNUMBER(E29),ISNUMBER(Summary!$G$7)),E29-Summary!$G$7,"")</f>
        <v/>
      </c>
      <c r="H29" s="7">
        <f>IFERROR(IF(INDEX(Data!$E$2:$E$45,MATCH($A29,Data!$A$2:$A$45,0))="","",INDEX(Data!$E$2:$E$45,MATCH($A29,Data!$A$2:$A$45,0))),"")</f>
        <v/>
      </c>
      <c r="I29" s="14">
        <f>IF(AND(ISNUMBER(H29),ISNUMBER(Summary!$E$8)),H29-Summary!$E$8,"")</f>
        <v/>
      </c>
      <c r="J29" s="14">
        <f>IF(AND(ISNUMBER(H29),ISNUMBER(Summary!$G$8)),H29-Summary!$G$8,"")</f>
        <v/>
      </c>
      <c r="K29" s="7">
        <f>IFERROR(IF(INDEX(Data!$F$2:$F$45,MATCH($A29,Data!$A$2:$A$45,0))="","",INDEX(Data!$F$2:$F$45,MATCH($A29,Data!$A$2:$A$45,0))),"")</f>
        <v/>
      </c>
      <c r="L29" s="14">
        <f>IF(AND(ISNUMBER(K29),ISNUMBER(Summary!$E$9)),K29-Summary!$E$9,"")</f>
        <v/>
      </c>
      <c r="M29" s="14">
        <f>IF(AND(ISNUMBER(K29),ISNUMBER(Summary!$G$9)),K29-Summary!$G$9,"")</f>
        <v/>
      </c>
      <c r="N29" s="7">
        <f>IFERROR(IF(INDEX(Data!$G$2:$G$45,MATCH($A29,Data!$A$2:$A$45,0))="","",INDEX(Data!$G$2:$G$45,MATCH($A29,Data!$A$2:$A$45,0))),"")</f>
        <v/>
      </c>
      <c r="O29" s="14">
        <f>IF(AND(ISNUMBER(N29),ISNUMBER(Summary!$E$10)),N29-Summary!$E$10,"")</f>
        <v/>
      </c>
      <c r="P29" s="14">
        <f>IF(AND(ISNUMBER(N29),ISNUMBER(Summary!$G$10)),N29-Summary!$G$10,"")</f>
        <v/>
      </c>
      <c r="Q29" s="7">
        <f>IFERROR(IF(INDEX(Data!$H$2:$H$45,MATCH($A29,Data!$A$2:$A$45,0))="","",INDEX(Data!$H$2:$H$45,MATCH($A29,Data!$A$2:$A$45,0))),"")</f>
        <v/>
      </c>
      <c r="R29" s="14">
        <f>IF(AND(ISNUMBER(Q29),ISNUMBER(Summary!$E$11)),Q29-Summary!$E$11,"")</f>
        <v/>
      </c>
      <c r="S29" s="14">
        <f>IF(AND(ISNUMBER(Q29),ISNUMBER(Summary!$G$11)),Q29-Summary!$G$11,"")</f>
        <v/>
      </c>
      <c r="T29" s="7">
        <f>IFERROR(IF(INDEX(Data!$I$2:$I$45,MATCH($A29,Data!$A$2:$A$45,0))="","",INDEX(Data!$I$2:$I$45,MATCH($A29,Data!$A$2:$A$45,0))),"")</f>
        <v/>
      </c>
      <c r="U29" s="14">
        <f>IF(AND(ISNUMBER(T29),ISNUMBER(Summary!$E$12)),T29-Summary!$E$12,"")</f>
        <v/>
      </c>
      <c r="V29" s="14">
        <f>IF(AND(ISNUMBER(T29),ISNUMBER(Summary!$G$12)),T29-Summary!$G$12,"")</f>
        <v/>
      </c>
      <c r="W29" s="7">
        <f>IFERROR(IF(INDEX(Data!$J$2:$J$45,MATCH($A29,Data!$A$2:$A$45,0))="","",INDEX(Data!$J$2:$J$45,MATCH($A29,Data!$A$2:$A$45,0))),"")</f>
        <v/>
      </c>
      <c r="X29" s="14">
        <f>IF(AND(ISNUMBER(W29),ISNUMBER(Summary!$E$13)),W29-Summary!$E$13,"")</f>
        <v/>
      </c>
      <c r="Y29" s="14">
        <f>IF(AND(ISNUMBER(W29),ISNUMBER(Summary!$G$13)),W29-Summary!$G$13,"")</f>
        <v/>
      </c>
      <c r="Z29" s="7">
        <f>IFERROR(IF(INDEX(Data!$K$2:$K$45,MATCH($A29,Data!$A$2:$A$45,0))="","",INDEX(Data!$K$2:$K$45,MATCH($A29,Data!$A$2:$A$45,0))),"")</f>
        <v/>
      </c>
      <c r="AA29" s="14">
        <f>IF(AND(ISNUMBER(Z29),ISNUMBER(Summary!$E$14)),Z29-Summary!$E$14,"")</f>
        <v/>
      </c>
      <c r="AB29" s="14">
        <f>IF(AND(ISNUMBER(Z29),ISNUMBER(Summary!$G$14)),Z29-Summary!$G$14,"")</f>
        <v/>
      </c>
      <c r="AC29" s="7">
        <f>IFERROR(IF(INDEX(Data!$L$2:$L$45,MATCH($A29,Data!$A$2:$A$45,0))="","",INDEX(Data!$L$2:$L$45,MATCH($A29,Data!$A$2:$A$45,0))),"")</f>
        <v/>
      </c>
      <c r="AD29" s="14">
        <f>IF(AND(ISNUMBER(AC29),ISNUMBER(Summary!$E$15)),AC29-Summary!$E$15,"")</f>
        <v/>
      </c>
      <c r="AE29" s="14">
        <f>IF(AND(ISNUMBER(AC29),ISNUMBER(Summary!$G$15)),AC29-Summary!$G$15,"")</f>
        <v/>
      </c>
      <c r="AF29" s="7">
        <f>IFERROR(IF(INDEX(Data!$M$2:$M$45,MATCH($A29,Data!$A$2:$A$45,0))="","",INDEX(Data!$M$2:$M$45,MATCH($A29,Data!$A$2:$A$45,0))),"")</f>
        <v/>
      </c>
      <c r="AG29" s="14">
        <f>IF(AND(ISNUMBER(AF29),ISNUMBER(Summary!$E$16)),AF29-Summary!$E$16,"")</f>
        <v/>
      </c>
      <c r="AH29" s="14">
        <f>IF(AND(ISNUMBER(AF29),ISNUMBER(Summary!$G$16)),AF29-Summary!$G$16,"")</f>
        <v/>
      </c>
      <c r="AI29" s="7">
        <f>IFERROR(IF(INDEX(Data!$N$2:$N$45,MATCH($A29,Data!$A$2:$A$45,0))="","",INDEX(Data!$N$2:$N$45,MATCH($A29,Data!$A$2:$A$45,0))),"")</f>
        <v/>
      </c>
      <c r="AJ29" s="14">
        <f>IF(AND(ISNUMBER(AI29),ISNUMBER(Summary!$E$17)),AI29-Summary!$E$17,"")</f>
        <v/>
      </c>
      <c r="AK29" s="14">
        <f>IF(AND(ISNUMBER(AI29),ISNUMBER(Summary!$G$17)),AI29-Summary!$G$17,"")</f>
        <v/>
      </c>
      <c r="AL29" s="7">
        <f>IFERROR(IF(INDEX(Data!$O$2:$O$45,MATCH($A29,Data!$A$2:$A$45,0))="","",INDEX(Data!$O$2:$O$45,MATCH($A29,Data!$A$2:$A$45,0))),"")</f>
        <v/>
      </c>
      <c r="AM29" s="14">
        <f>IF(AND(ISNUMBER(AL29),ISNUMBER(Summary!$E$18)),AL29-Summary!$E$18,"")</f>
        <v/>
      </c>
      <c r="AN29" s="14">
        <f>IF(AND(ISNUMBER(AL29),ISNUMBER(Summary!$G$18)),AL29-Summary!$G$18,"")</f>
        <v/>
      </c>
      <c r="AO29" s="7">
        <f>IFERROR(IF(INDEX(Data!$P$2:$P$45,MATCH($A29,Data!$A$2:$A$45,0))="","",INDEX(Data!$P$2:$P$45,MATCH($A29,Data!$A$2:$A$45,0))),"")</f>
        <v/>
      </c>
      <c r="AP29" s="14">
        <f>IF(AND(ISNUMBER(AO29),ISNUMBER(Summary!$E$19)),AO29-Summary!$E$19,"")</f>
        <v/>
      </c>
      <c r="AQ29" s="14">
        <f>IF(AND(ISNUMBER(AO29),ISNUMBER(Summary!$G$19)),AO29-Summary!$G$19,"")</f>
        <v/>
      </c>
      <c r="AR29" s="7">
        <f>IFERROR(IF(INDEX(Data!$Q$2:$Q$45,MATCH($A29,Data!$A$2:$A$45,0))="","",INDEX(Data!$Q$2:$Q$45,MATCH($A29,Data!$A$2:$A$45,0))),"")</f>
        <v/>
      </c>
      <c r="AS29" s="14">
        <f>IF(AND(ISNUMBER(AR29),ISNUMBER(Summary!$E$20)),AR29-Summary!$E$20,"")</f>
        <v/>
      </c>
      <c r="AT29" s="14">
        <f>IF(AND(ISNUMBER(AR29),ISNUMBER(Summary!$G$20)),AR29-Summary!$G$20,"")</f>
        <v/>
      </c>
      <c r="AU29" s="7">
        <f>IFERROR(IF(INDEX(Data!$R$2:$R$45,MATCH($A29,Data!$A$2:$A$45,0))="","",INDEX(Data!$R$2:$R$45,MATCH($A29,Data!$A$2:$A$45,0))),"")</f>
        <v/>
      </c>
      <c r="AV29" s="14">
        <f>IF(AND(ISNUMBER(AU29),ISNUMBER(Summary!$E$21)),AU29-Summary!$E$21,"")</f>
        <v/>
      </c>
      <c r="AW29" s="14">
        <f>IF(AND(ISNUMBER(AU29),ISNUMBER(Summary!$G$21)),AU29-Summary!$G$21,"")</f>
        <v/>
      </c>
      <c r="AX29" s="7">
        <f>IFERROR(IF(INDEX(Data!$S$2:$S$45,MATCH($A29,Data!$A$2:$A$45,0))="","",INDEX(Data!$S$2:$S$45,MATCH($A29,Data!$A$2:$A$45,0))),"")</f>
        <v/>
      </c>
      <c r="AY29" s="14">
        <f>IF(AND(ISNUMBER(AX29),ISNUMBER(Summary!$E$22)),AX29-Summary!$E$22,"")</f>
        <v/>
      </c>
      <c r="AZ29" s="14">
        <f>IF(AND(ISNUMBER(AX29),ISNUMBER(Summary!$G$22)),AX29-Summary!$G$22,"")</f>
        <v/>
      </c>
      <c r="BA29" s="7">
        <f>IFERROR(IF(INDEX(Data!$T$2:$T$45,MATCH($A29,Data!$A$2:$A$45,0))="","",INDEX(Data!$T$2:$T$45,MATCH($A29,Data!$A$2:$A$45,0))),"")</f>
        <v/>
      </c>
      <c r="BB29" s="14">
        <f>IF(AND(ISNUMBER(BA29),ISNUMBER(Summary!$E$23)),BA29-Summary!$E$23,"")</f>
        <v/>
      </c>
      <c r="BC29" s="14">
        <f>IF(AND(ISNUMBER(BA29),ISNUMBER(Summary!$G$23)),BA29-Summary!$G$23,"")</f>
        <v/>
      </c>
      <c r="BD29" s="7">
        <f>IFERROR(IF(INDEX(Data!$U$2:$U$45,MATCH($A29,Data!$A$2:$A$45,0))="","",INDEX(Data!$U$2:$U$45,MATCH($A29,Data!$A$2:$A$45,0))),"")</f>
        <v/>
      </c>
      <c r="BE29" s="14">
        <f>IF(AND(ISNUMBER(BD29),ISNUMBER(Summary!$E$24)),BD29-Summary!$E$24,"")</f>
        <v/>
      </c>
      <c r="BF29" s="14">
        <f>IF(AND(ISNUMBER(BD29),ISNUMBER(Summary!$G$24)),BD29-Summary!$G$24,"")</f>
        <v/>
      </c>
      <c r="BG29" s="7">
        <f>IFERROR(IF(INDEX(Data!$V$2:$V$45,MATCH($A29,Data!$A$2:$A$45,0))="","",INDEX(Data!$V$2:$V$45,MATCH($A29,Data!$A$2:$A$45,0))),"")</f>
        <v/>
      </c>
      <c r="BH29" s="14">
        <f>IF(AND(ISNUMBER(BG29),ISNUMBER(Summary!$E$25)),BG29-Summary!$E$25,"")</f>
        <v/>
      </c>
      <c r="BI29" s="14">
        <f>IF(AND(ISNUMBER(BG29),ISNUMBER(Summary!$G$25)),BG29-Summary!$G$25,"")</f>
        <v/>
      </c>
      <c r="BJ29" s="7">
        <f>IFERROR(IF(INDEX(Data!$W$2:$W$45,MATCH($A29,Data!$A$2:$A$45,0))="","",INDEX(Data!$W$2:$W$45,MATCH($A29,Data!$A$2:$A$45,0))),"")</f>
        <v/>
      </c>
      <c r="BK29" s="14">
        <f>IF(AND(ISNUMBER(BJ29),ISNUMBER(Summary!$E$26)),BJ29-Summary!$E$26,"")</f>
        <v/>
      </c>
      <c r="BL29" s="14">
        <f>IF(AND(ISNUMBER(BJ29),ISNUMBER(Summary!$G$26)),BJ29-Summary!$G$26,"")</f>
        <v/>
      </c>
      <c r="BM29" s="7">
        <f>IFERROR(IF(INDEX(Data!$X$2:$X$45,MATCH($A29,Data!$A$2:$A$45,0))="","",INDEX(Data!$X$2:$X$45,MATCH($A29,Data!$A$2:$A$45,0))),"")</f>
        <v/>
      </c>
      <c r="BN29" s="14">
        <f>IF(AND(ISNUMBER(BM29),ISNUMBER(Summary!$E$27)),BM29-Summary!$E$27,"")</f>
        <v/>
      </c>
      <c r="BO29" s="14">
        <f>IF(AND(ISNUMBER(BM29),ISNUMBER(Summary!$G$27)),BM29-Summary!$G$27,"")</f>
        <v/>
      </c>
      <c r="BP29" s="7">
        <f>IFERROR(IF(INDEX(Data!$Y$2:$Y$45,MATCH($A29,Data!$A$2:$A$45,0))="","",INDEX(Data!$Y$2:$Y$45,MATCH($A29,Data!$A$2:$A$45,0))),"")</f>
        <v/>
      </c>
      <c r="BQ29" s="14">
        <f>IF(AND(ISNUMBER(BP29),ISNUMBER(Summary!$E$28)),BP29-Summary!$E$28,"")</f>
        <v/>
      </c>
      <c r="BR29" s="14">
        <f>IF(AND(ISNUMBER(BP29),ISNUMBER(Summary!$G$28)),BP29-Summary!$G$28,"")</f>
        <v/>
      </c>
      <c r="BS29" s="7">
        <f>IFERROR(IF(INDEX(Data!$Z$2:$Z$45,MATCH($A29,Data!$A$2:$A$45,0))="","",INDEX(Data!$Z$2:$Z$45,MATCH($A29,Data!$A$2:$A$45,0))),"")</f>
        <v/>
      </c>
      <c r="BT29" s="14">
        <f>IF(AND(ISNUMBER(BS29),ISNUMBER(Summary!$E$29)),BS29-Summary!$E$29,"")</f>
        <v/>
      </c>
      <c r="BU29" s="14">
        <f>IF(AND(ISNUMBER(BS29),ISNUMBER(Summary!$G$29)),BS29-Summary!$G$29,"")</f>
        <v/>
      </c>
      <c r="BV29" s="7">
        <f>IFERROR(IF(INDEX(Data!$AA$2:$AA$45,MATCH($A29,Data!$A$2:$A$45,0))="","",INDEX(Data!$AA$2:$AA$45,MATCH($A29,Data!$A$2:$A$45,0))),"")</f>
        <v/>
      </c>
      <c r="BW29" s="14">
        <f>IF(AND(ISNUMBER(BV29),ISNUMBER(Summary!$E$30)),BV29-Summary!$E$30,"")</f>
        <v/>
      </c>
      <c r="BX29" s="14">
        <f>IF(AND(ISNUMBER(BV29),ISNUMBER(Summary!$G$30)),BV29-Summary!$G$30,"")</f>
        <v/>
      </c>
      <c r="BY29" s="7">
        <f>IFERROR(IF(INDEX(Data!$AB$2:$AB$45,MATCH($A29,Data!$A$2:$A$45,0))="","",INDEX(Data!$AB$2:$AB$45,MATCH($A29,Data!$A$2:$A$45,0))),"")</f>
        <v/>
      </c>
      <c r="BZ29" s="14">
        <f>IF(AND(ISNUMBER(BY29),ISNUMBER(Summary!$E$31)),BY29-Summary!$E$31,"")</f>
        <v/>
      </c>
      <c r="CA29" s="14">
        <f>IF(AND(ISNUMBER(BY29),ISNUMBER(Summary!$G$31)),BY29-Summary!$G$31,"")</f>
        <v/>
      </c>
      <c r="CB29" s="7">
        <f>IFERROR(IF(INDEX(Data!$AC$2:$AC$45,MATCH($A29,Data!$A$2:$A$45,0))="","",INDEX(Data!$AC$2:$AC$45,MATCH($A29,Data!$A$2:$A$45,0))),"")</f>
        <v/>
      </c>
      <c r="CC29" s="14">
        <f>IF(AND(ISNUMBER(CB29),ISNUMBER(Summary!$E$32)),CB29-Summary!$E$32,"")</f>
        <v/>
      </c>
      <c r="CD29" s="14">
        <f>IF(AND(ISNUMBER(CB29),ISNUMBER(Summary!$G$32)),CB29-Summary!$G$32,"")</f>
        <v/>
      </c>
      <c r="CE29" s="7">
        <f>IFERROR(IF(INDEX(Data!$AD$2:$AD$45,MATCH($A29,Data!$A$2:$A$45,0))="","",INDEX(Data!$AD$2:$AD$45,MATCH($A29,Data!$A$2:$A$45,0))),"")</f>
        <v/>
      </c>
      <c r="CF29" s="14">
        <f>IF(AND(ISNUMBER(CE29),ISNUMBER(Summary!$E$33)),CE29-Summary!$E$33,"")</f>
        <v/>
      </c>
      <c r="CG29" s="14">
        <f>IF(AND(ISNUMBER(CE29),ISNUMBER(Summary!$G$33)),CE29-Summary!$G$33,"")</f>
        <v/>
      </c>
      <c r="CH29" s="7">
        <f>IFERROR(IF(INDEX(Data!$AE$2:$AE$45,MATCH($A29,Data!$A$2:$A$45,0))="","",INDEX(Data!$AE$2:$AE$45,MATCH($A29,Data!$A$2:$A$45,0))),"")</f>
        <v/>
      </c>
      <c r="CI29" s="14">
        <f>IF(AND(ISNUMBER(CH29),ISNUMBER(Summary!$E$34)),CH29-Summary!$E$34,"")</f>
        <v/>
      </c>
      <c r="CJ29" s="14">
        <f>IF(AND(ISNUMBER(CH29),ISNUMBER(Summary!$G$34)),CH29-Summary!$G$34,"")</f>
        <v/>
      </c>
      <c r="CK29" s="7">
        <f>IFERROR(IF(INDEX(Data!$AF$2:$AF$45,MATCH($A29,Data!$A$2:$A$45,0))="","",INDEX(Data!$AF$2:$AF$45,MATCH($A29,Data!$A$2:$A$45,0))),"")</f>
        <v/>
      </c>
      <c r="CL29" s="14">
        <f>IF(AND(ISNUMBER(CK29),ISNUMBER(Summary!$E$35)),CK29-Summary!$E$35,"")</f>
        <v/>
      </c>
      <c r="CM29" s="14">
        <f>IF(AND(ISNUMBER(CK29),ISNUMBER(Summary!$G$35)),CK29-Summary!$G$35,"")</f>
        <v/>
      </c>
      <c r="CN29" s="7">
        <f>IFERROR(IF(INDEX(Data!$AG$2:$AG$45,MATCH($A29,Data!$A$2:$A$45,0))="","",INDEX(Data!$AG$2:$AG$45,MATCH($A29,Data!$A$2:$A$45,0))),"")</f>
        <v/>
      </c>
      <c r="CO29" s="14">
        <f>IF(AND(ISNUMBER(CN29),ISNUMBER(Summary!$E$36)),CN29-Summary!$E$36,"")</f>
        <v/>
      </c>
      <c r="CP29" s="14">
        <f>IF(AND(ISNUMBER(CN29),ISNUMBER(Summary!$G$36)),CN29-Summary!$G$36,"")</f>
        <v/>
      </c>
      <c r="CQ29" s="7">
        <f>IFERROR(IF(INDEX(Data!$AH$2:$AH$45,MATCH($A29,Data!$A$2:$A$45,0))="","",INDEX(Data!$AH$2:$AH$45,MATCH($A29,Data!$A$2:$A$45,0))),"")</f>
        <v/>
      </c>
      <c r="CR29" s="14">
        <f>IF(AND(ISNUMBER(CQ29),ISNUMBER(Summary!$E$37)),CQ29-Summary!$E$37,"")</f>
        <v/>
      </c>
      <c r="CS29" s="14">
        <f>IF(AND(ISNUMBER(CQ29),ISNUMBER(Summary!$G$37)),CQ29-Summary!$G$37,"")</f>
        <v/>
      </c>
      <c r="CT29" s="7">
        <f>IFERROR(IF(INDEX(Data!$AI$2:$AI$45,MATCH($A29,Data!$A$2:$A$45,0))="","",INDEX(Data!$AI$2:$AI$45,MATCH($A29,Data!$A$2:$A$45,0))),"")</f>
        <v/>
      </c>
      <c r="CU29" s="14">
        <f>IF(AND(ISNUMBER(CT29),ISNUMBER(Summary!$E$38)),CT29-Summary!$E$38,"")</f>
        <v/>
      </c>
      <c r="CV29" s="14">
        <f>IF(AND(ISNUMBER(CT29),ISNUMBER(Summary!$G$38)),CT29-Summary!$G$38,"")</f>
        <v/>
      </c>
    </row>
    <row r="30">
      <c r="A30" s="27" t="n">
        <v>46269</v>
      </c>
      <c r="B30" s="7">
        <f>IFERROR(IF(INDEX(Data!$C$2:$C$45,MATCH($A30,Data!$A$2:$A$45,0))="","",INDEX(Data!$C$2:$C$45,MATCH($A30,Data!$A$2:$A$45,0))),"")</f>
        <v/>
      </c>
      <c r="C30" s="14">
        <f>IF(AND(ISNUMBER(B30),ISNUMBER(Summary!$E$6)),B30-Summary!$E$6,"")</f>
        <v/>
      </c>
      <c r="D30" s="14">
        <f>IF(AND(ISNUMBER(B30),ISNUMBER(Summary!$G$6)),B30-Summary!$G$6,"")</f>
        <v/>
      </c>
      <c r="E30" s="7">
        <f>IFERROR(IF(INDEX(Data!$D$2:$D$45,MATCH($A30,Data!$A$2:$A$45,0))="","",INDEX(Data!$D$2:$D$45,MATCH($A30,Data!$A$2:$A$45,0))),"")</f>
        <v/>
      </c>
      <c r="F30" s="14">
        <f>IF(AND(ISNUMBER(E30),ISNUMBER(Summary!$E$7)),E30-Summary!$E$7,"")</f>
        <v/>
      </c>
      <c r="G30" s="14">
        <f>IF(AND(ISNUMBER(E30),ISNUMBER(Summary!$G$7)),E30-Summary!$G$7,"")</f>
        <v/>
      </c>
      <c r="H30" s="7">
        <f>IFERROR(IF(INDEX(Data!$E$2:$E$45,MATCH($A30,Data!$A$2:$A$45,0))="","",INDEX(Data!$E$2:$E$45,MATCH($A30,Data!$A$2:$A$45,0))),"")</f>
        <v/>
      </c>
      <c r="I30" s="14">
        <f>IF(AND(ISNUMBER(H30),ISNUMBER(Summary!$E$8)),H30-Summary!$E$8,"")</f>
        <v/>
      </c>
      <c r="J30" s="14">
        <f>IF(AND(ISNUMBER(H30),ISNUMBER(Summary!$G$8)),H30-Summary!$G$8,"")</f>
        <v/>
      </c>
      <c r="K30" s="7">
        <f>IFERROR(IF(INDEX(Data!$F$2:$F$45,MATCH($A30,Data!$A$2:$A$45,0))="","",INDEX(Data!$F$2:$F$45,MATCH($A30,Data!$A$2:$A$45,0))),"")</f>
        <v/>
      </c>
      <c r="L30" s="14">
        <f>IF(AND(ISNUMBER(K30),ISNUMBER(Summary!$E$9)),K30-Summary!$E$9,"")</f>
        <v/>
      </c>
      <c r="M30" s="14">
        <f>IF(AND(ISNUMBER(K30),ISNUMBER(Summary!$G$9)),K30-Summary!$G$9,"")</f>
        <v/>
      </c>
      <c r="N30" s="7">
        <f>IFERROR(IF(INDEX(Data!$G$2:$G$45,MATCH($A30,Data!$A$2:$A$45,0))="","",INDEX(Data!$G$2:$G$45,MATCH($A30,Data!$A$2:$A$45,0))),"")</f>
        <v/>
      </c>
      <c r="O30" s="14">
        <f>IF(AND(ISNUMBER(N30),ISNUMBER(Summary!$E$10)),N30-Summary!$E$10,"")</f>
        <v/>
      </c>
      <c r="P30" s="14">
        <f>IF(AND(ISNUMBER(N30),ISNUMBER(Summary!$G$10)),N30-Summary!$G$10,"")</f>
        <v/>
      </c>
      <c r="Q30" s="7">
        <f>IFERROR(IF(INDEX(Data!$H$2:$H$45,MATCH($A30,Data!$A$2:$A$45,0))="","",INDEX(Data!$H$2:$H$45,MATCH($A30,Data!$A$2:$A$45,0))),"")</f>
        <v/>
      </c>
      <c r="R30" s="14">
        <f>IF(AND(ISNUMBER(Q30),ISNUMBER(Summary!$E$11)),Q30-Summary!$E$11,"")</f>
        <v/>
      </c>
      <c r="S30" s="14">
        <f>IF(AND(ISNUMBER(Q30),ISNUMBER(Summary!$G$11)),Q30-Summary!$G$11,"")</f>
        <v/>
      </c>
      <c r="T30" s="7">
        <f>IFERROR(IF(INDEX(Data!$I$2:$I$45,MATCH($A30,Data!$A$2:$A$45,0))="","",INDEX(Data!$I$2:$I$45,MATCH($A30,Data!$A$2:$A$45,0))),"")</f>
        <v/>
      </c>
      <c r="U30" s="14">
        <f>IF(AND(ISNUMBER(T30),ISNUMBER(Summary!$E$12)),T30-Summary!$E$12,"")</f>
        <v/>
      </c>
      <c r="V30" s="14">
        <f>IF(AND(ISNUMBER(T30),ISNUMBER(Summary!$G$12)),T30-Summary!$G$12,"")</f>
        <v/>
      </c>
      <c r="W30" s="7">
        <f>IFERROR(IF(INDEX(Data!$J$2:$J$45,MATCH($A30,Data!$A$2:$A$45,0))="","",INDEX(Data!$J$2:$J$45,MATCH($A30,Data!$A$2:$A$45,0))),"")</f>
        <v/>
      </c>
      <c r="X30" s="14">
        <f>IF(AND(ISNUMBER(W30),ISNUMBER(Summary!$E$13)),W30-Summary!$E$13,"")</f>
        <v/>
      </c>
      <c r="Y30" s="14">
        <f>IF(AND(ISNUMBER(W30),ISNUMBER(Summary!$G$13)),W30-Summary!$G$13,"")</f>
        <v/>
      </c>
      <c r="Z30" s="7">
        <f>IFERROR(IF(INDEX(Data!$K$2:$K$45,MATCH($A30,Data!$A$2:$A$45,0))="","",INDEX(Data!$K$2:$K$45,MATCH($A30,Data!$A$2:$A$45,0))),"")</f>
        <v/>
      </c>
      <c r="AA30" s="14">
        <f>IF(AND(ISNUMBER(Z30),ISNUMBER(Summary!$E$14)),Z30-Summary!$E$14,"")</f>
        <v/>
      </c>
      <c r="AB30" s="14">
        <f>IF(AND(ISNUMBER(Z30),ISNUMBER(Summary!$G$14)),Z30-Summary!$G$14,"")</f>
        <v/>
      </c>
      <c r="AC30" s="7">
        <f>IFERROR(IF(INDEX(Data!$L$2:$L$45,MATCH($A30,Data!$A$2:$A$45,0))="","",INDEX(Data!$L$2:$L$45,MATCH($A30,Data!$A$2:$A$45,0))),"")</f>
        <v/>
      </c>
      <c r="AD30" s="14">
        <f>IF(AND(ISNUMBER(AC30),ISNUMBER(Summary!$E$15)),AC30-Summary!$E$15,"")</f>
        <v/>
      </c>
      <c r="AE30" s="14">
        <f>IF(AND(ISNUMBER(AC30),ISNUMBER(Summary!$G$15)),AC30-Summary!$G$15,"")</f>
        <v/>
      </c>
      <c r="AF30" s="7">
        <f>IFERROR(IF(INDEX(Data!$M$2:$M$45,MATCH($A30,Data!$A$2:$A$45,0))="","",INDEX(Data!$M$2:$M$45,MATCH($A30,Data!$A$2:$A$45,0))),"")</f>
        <v/>
      </c>
      <c r="AG30" s="14">
        <f>IF(AND(ISNUMBER(AF30),ISNUMBER(Summary!$E$16)),AF30-Summary!$E$16,"")</f>
        <v/>
      </c>
      <c r="AH30" s="14">
        <f>IF(AND(ISNUMBER(AF30),ISNUMBER(Summary!$G$16)),AF30-Summary!$G$16,"")</f>
        <v/>
      </c>
      <c r="AI30" s="7">
        <f>IFERROR(IF(INDEX(Data!$N$2:$N$45,MATCH($A30,Data!$A$2:$A$45,0))="","",INDEX(Data!$N$2:$N$45,MATCH($A30,Data!$A$2:$A$45,0))),"")</f>
        <v/>
      </c>
      <c r="AJ30" s="14">
        <f>IF(AND(ISNUMBER(AI30),ISNUMBER(Summary!$E$17)),AI30-Summary!$E$17,"")</f>
        <v/>
      </c>
      <c r="AK30" s="14">
        <f>IF(AND(ISNUMBER(AI30),ISNUMBER(Summary!$G$17)),AI30-Summary!$G$17,"")</f>
        <v/>
      </c>
      <c r="AL30" s="7">
        <f>IFERROR(IF(INDEX(Data!$O$2:$O$45,MATCH($A30,Data!$A$2:$A$45,0))="","",INDEX(Data!$O$2:$O$45,MATCH($A30,Data!$A$2:$A$45,0))),"")</f>
        <v/>
      </c>
      <c r="AM30" s="14">
        <f>IF(AND(ISNUMBER(AL30),ISNUMBER(Summary!$E$18)),AL30-Summary!$E$18,"")</f>
        <v/>
      </c>
      <c r="AN30" s="14">
        <f>IF(AND(ISNUMBER(AL30),ISNUMBER(Summary!$G$18)),AL30-Summary!$G$18,"")</f>
        <v/>
      </c>
      <c r="AO30" s="7">
        <f>IFERROR(IF(INDEX(Data!$P$2:$P$45,MATCH($A30,Data!$A$2:$A$45,0))="","",INDEX(Data!$P$2:$P$45,MATCH($A30,Data!$A$2:$A$45,0))),"")</f>
        <v/>
      </c>
      <c r="AP30" s="14">
        <f>IF(AND(ISNUMBER(AO30),ISNUMBER(Summary!$E$19)),AO30-Summary!$E$19,"")</f>
        <v/>
      </c>
      <c r="AQ30" s="14">
        <f>IF(AND(ISNUMBER(AO30),ISNUMBER(Summary!$G$19)),AO30-Summary!$G$19,"")</f>
        <v/>
      </c>
      <c r="AR30" s="7">
        <f>IFERROR(IF(INDEX(Data!$Q$2:$Q$45,MATCH($A30,Data!$A$2:$A$45,0))="","",INDEX(Data!$Q$2:$Q$45,MATCH($A30,Data!$A$2:$A$45,0))),"")</f>
        <v/>
      </c>
      <c r="AS30" s="14">
        <f>IF(AND(ISNUMBER(AR30),ISNUMBER(Summary!$E$20)),AR30-Summary!$E$20,"")</f>
        <v/>
      </c>
      <c r="AT30" s="14">
        <f>IF(AND(ISNUMBER(AR30),ISNUMBER(Summary!$G$20)),AR30-Summary!$G$20,"")</f>
        <v/>
      </c>
      <c r="AU30" s="7">
        <f>IFERROR(IF(INDEX(Data!$R$2:$R$45,MATCH($A30,Data!$A$2:$A$45,0))="","",INDEX(Data!$R$2:$R$45,MATCH($A30,Data!$A$2:$A$45,0))),"")</f>
        <v/>
      </c>
      <c r="AV30" s="14">
        <f>IF(AND(ISNUMBER(AU30),ISNUMBER(Summary!$E$21)),AU30-Summary!$E$21,"")</f>
        <v/>
      </c>
      <c r="AW30" s="14">
        <f>IF(AND(ISNUMBER(AU30),ISNUMBER(Summary!$G$21)),AU30-Summary!$G$21,"")</f>
        <v/>
      </c>
      <c r="AX30" s="7">
        <f>IFERROR(IF(INDEX(Data!$S$2:$S$45,MATCH($A30,Data!$A$2:$A$45,0))="","",INDEX(Data!$S$2:$S$45,MATCH($A30,Data!$A$2:$A$45,0))),"")</f>
        <v/>
      </c>
      <c r="AY30" s="14">
        <f>IF(AND(ISNUMBER(AX30),ISNUMBER(Summary!$E$22)),AX30-Summary!$E$22,"")</f>
        <v/>
      </c>
      <c r="AZ30" s="14">
        <f>IF(AND(ISNUMBER(AX30),ISNUMBER(Summary!$G$22)),AX30-Summary!$G$22,"")</f>
        <v/>
      </c>
      <c r="BA30" s="7">
        <f>IFERROR(IF(INDEX(Data!$T$2:$T$45,MATCH($A30,Data!$A$2:$A$45,0))="","",INDEX(Data!$T$2:$T$45,MATCH($A30,Data!$A$2:$A$45,0))),"")</f>
        <v/>
      </c>
      <c r="BB30" s="14">
        <f>IF(AND(ISNUMBER(BA30),ISNUMBER(Summary!$E$23)),BA30-Summary!$E$23,"")</f>
        <v/>
      </c>
      <c r="BC30" s="14">
        <f>IF(AND(ISNUMBER(BA30),ISNUMBER(Summary!$G$23)),BA30-Summary!$G$23,"")</f>
        <v/>
      </c>
      <c r="BD30" s="7">
        <f>IFERROR(IF(INDEX(Data!$U$2:$U$45,MATCH($A30,Data!$A$2:$A$45,0))="","",INDEX(Data!$U$2:$U$45,MATCH($A30,Data!$A$2:$A$45,0))),"")</f>
        <v/>
      </c>
      <c r="BE30" s="14">
        <f>IF(AND(ISNUMBER(BD30),ISNUMBER(Summary!$E$24)),BD30-Summary!$E$24,"")</f>
        <v/>
      </c>
      <c r="BF30" s="14">
        <f>IF(AND(ISNUMBER(BD30),ISNUMBER(Summary!$G$24)),BD30-Summary!$G$24,"")</f>
        <v/>
      </c>
      <c r="BG30" s="7">
        <f>IFERROR(IF(INDEX(Data!$V$2:$V$45,MATCH($A30,Data!$A$2:$A$45,0))="","",INDEX(Data!$V$2:$V$45,MATCH($A30,Data!$A$2:$A$45,0))),"")</f>
        <v/>
      </c>
      <c r="BH30" s="14">
        <f>IF(AND(ISNUMBER(BG30),ISNUMBER(Summary!$E$25)),BG30-Summary!$E$25,"")</f>
        <v/>
      </c>
      <c r="BI30" s="14">
        <f>IF(AND(ISNUMBER(BG30),ISNUMBER(Summary!$G$25)),BG30-Summary!$G$25,"")</f>
        <v/>
      </c>
      <c r="BJ30" s="7">
        <f>IFERROR(IF(INDEX(Data!$W$2:$W$45,MATCH($A30,Data!$A$2:$A$45,0))="","",INDEX(Data!$W$2:$W$45,MATCH($A30,Data!$A$2:$A$45,0))),"")</f>
        <v/>
      </c>
      <c r="BK30" s="14">
        <f>IF(AND(ISNUMBER(BJ30),ISNUMBER(Summary!$E$26)),BJ30-Summary!$E$26,"")</f>
        <v/>
      </c>
      <c r="BL30" s="14">
        <f>IF(AND(ISNUMBER(BJ30),ISNUMBER(Summary!$G$26)),BJ30-Summary!$G$26,"")</f>
        <v/>
      </c>
      <c r="BM30" s="7">
        <f>IFERROR(IF(INDEX(Data!$X$2:$X$45,MATCH($A30,Data!$A$2:$A$45,0))="","",INDEX(Data!$X$2:$X$45,MATCH($A30,Data!$A$2:$A$45,0))),"")</f>
        <v/>
      </c>
      <c r="BN30" s="14">
        <f>IF(AND(ISNUMBER(BM30),ISNUMBER(Summary!$E$27)),BM30-Summary!$E$27,"")</f>
        <v/>
      </c>
      <c r="BO30" s="14">
        <f>IF(AND(ISNUMBER(BM30),ISNUMBER(Summary!$G$27)),BM30-Summary!$G$27,"")</f>
        <v/>
      </c>
      <c r="BP30" s="7">
        <f>IFERROR(IF(INDEX(Data!$Y$2:$Y$45,MATCH($A30,Data!$A$2:$A$45,0))="","",INDEX(Data!$Y$2:$Y$45,MATCH($A30,Data!$A$2:$A$45,0))),"")</f>
        <v/>
      </c>
      <c r="BQ30" s="14">
        <f>IF(AND(ISNUMBER(BP30),ISNUMBER(Summary!$E$28)),BP30-Summary!$E$28,"")</f>
        <v/>
      </c>
      <c r="BR30" s="14">
        <f>IF(AND(ISNUMBER(BP30),ISNUMBER(Summary!$G$28)),BP30-Summary!$G$28,"")</f>
        <v/>
      </c>
      <c r="BS30" s="7">
        <f>IFERROR(IF(INDEX(Data!$Z$2:$Z$45,MATCH($A30,Data!$A$2:$A$45,0))="","",INDEX(Data!$Z$2:$Z$45,MATCH($A30,Data!$A$2:$A$45,0))),"")</f>
        <v/>
      </c>
      <c r="BT30" s="14">
        <f>IF(AND(ISNUMBER(BS30),ISNUMBER(Summary!$E$29)),BS30-Summary!$E$29,"")</f>
        <v/>
      </c>
      <c r="BU30" s="14">
        <f>IF(AND(ISNUMBER(BS30),ISNUMBER(Summary!$G$29)),BS30-Summary!$G$29,"")</f>
        <v/>
      </c>
      <c r="BV30" s="7">
        <f>IFERROR(IF(INDEX(Data!$AA$2:$AA$45,MATCH($A30,Data!$A$2:$A$45,0))="","",INDEX(Data!$AA$2:$AA$45,MATCH($A30,Data!$A$2:$A$45,0))),"")</f>
        <v/>
      </c>
      <c r="BW30" s="14">
        <f>IF(AND(ISNUMBER(BV30),ISNUMBER(Summary!$E$30)),BV30-Summary!$E$30,"")</f>
        <v/>
      </c>
      <c r="BX30" s="14">
        <f>IF(AND(ISNUMBER(BV30),ISNUMBER(Summary!$G$30)),BV30-Summary!$G$30,"")</f>
        <v/>
      </c>
      <c r="BY30" s="7">
        <f>IFERROR(IF(INDEX(Data!$AB$2:$AB$45,MATCH($A30,Data!$A$2:$A$45,0))="","",INDEX(Data!$AB$2:$AB$45,MATCH($A30,Data!$A$2:$A$45,0))),"")</f>
        <v/>
      </c>
      <c r="BZ30" s="14">
        <f>IF(AND(ISNUMBER(BY30),ISNUMBER(Summary!$E$31)),BY30-Summary!$E$31,"")</f>
        <v/>
      </c>
      <c r="CA30" s="14">
        <f>IF(AND(ISNUMBER(BY30),ISNUMBER(Summary!$G$31)),BY30-Summary!$G$31,"")</f>
        <v/>
      </c>
      <c r="CB30" s="7">
        <f>IFERROR(IF(INDEX(Data!$AC$2:$AC$45,MATCH($A30,Data!$A$2:$A$45,0))="","",INDEX(Data!$AC$2:$AC$45,MATCH($A30,Data!$A$2:$A$45,0))),"")</f>
        <v/>
      </c>
      <c r="CC30" s="14">
        <f>IF(AND(ISNUMBER(CB30),ISNUMBER(Summary!$E$32)),CB30-Summary!$E$32,"")</f>
        <v/>
      </c>
      <c r="CD30" s="14">
        <f>IF(AND(ISNUMBER(CB30),ISNUMBER(Summary!$G$32)),CB30-Summary!$G$32,"")</f>
        <v/>
      </c>
      <c r="CE30" s="7">
        <f>IFERROR(IF(INDEX(Data!$AD$2:$AD$45,MATCH($A30,Data!$A$2:$A$45,0))="","",INDEX(Data!$AD$2:$AD$45,MATCH($A30,Data!$A$2:$A$45,0))),"")</f>
        <v/>
      </c>
      <c r="CF30" s="14">
        <f>IF(AND(ISNUMBER(CE30),ISNUMBER(Summary!$E$33)),CE30-Summary!$E$33,"")</f>
        <v/>
      </c>
      <c r="CG30" s="14">
        <f>IF(AND(ISNUMBER(CE30),ISNUMBER(Summary!$G$33)),CE30-Summary!$G$33,"")</f>
        <v/>
      </c>
      <c r="CH30" s="7">
        <f>IFERROR(IF(INDEX(Data!$AE$2:$AE$45,MATCH($A30,Data!$A$2:$A$45,0))="","",INDEX(Data!$AE$2:$AE$45,MATCH($A30,Data!$A$2:$A$45,0))),"")</f>
        <v/>
      </c>
      <c r="CI30" s="14">
        <f>IF(AND(ISNUMBER(CH30),ISNUMBER(Summary!$E$34)),CH30-Summary!$E$34,"")</f>
        <v/>
      </c>
      <c r="CJ30" s="14">
        <f>IF(AND(ISNUMBER(CH30),ISNUMBER(Summary!$G$34)),CH30-Summary!$G$34,"")</f>
        <v/>
      </c>
      <c r="CK30" s="7">
        <f>IFERROR(IF(INDEX(Data!$AF$2:$AF$45,MATCH($A30,Data!$A$2:$A$45,0))="","",INDEX(Data!$AF$2:$AF$45,MATCH($A30,Data!$A$2:$A$45,0))),"")</f>
        <v/>
      </c>
      <c r="CL30" s="14">
        <f>IF(AND(ISNUMBER(CK30),ISNUMBER(Summary!$E$35)),CK30-Summary!$E$35,"")</f>
        <v/>
      </c>
      <c r="CM30" s="14">
        <f>IF(AND(ISNUMBER(CK30),ISNUMBER(Summary!$G$35)),CK30-Summary!$G$35,"")</f>
        <v/>
      </c>
      <c r="CN30" s="7">
        <f>IFERROR(IF(INDEX(Data!$AG$2:$AG$45,MATCH($A30,Data!$A$2:$A$45,0))="","",INDEX(Data!$AG$2:$AG$45,MATCH($A30,Data!$A$2:$A$45,0))),"")</f>
        <v/>
      </c>
      <c r="CO30" s="14">
        <f>IF(AND(ISNUMBER(CN30),ISNUMBER(Summary!$E$36)),CN30-Summary!$E$36,"")</f>
        <v/>
      </c>
      <c r="CP30" s="14">
        <f>IF(AND(ISNUMBER(CN30),ISNUMBER(Summary!$G$36)),CN30-Summary!$G$36,"")</f>
        <v/>
      </c>
      <c r="CQ30" s="7">
        <f>IFERROR(IF(INDEX(Data!$AH$2:$AH$45,MATCH($A30,Data!$A$2:$A$45,0))="","",INDEX(Data!$AH$2:$AH$45,MATCH($A30,Data!$A$2:$A$45,0))),"")</f>
        <v/>
      </c>
      <c r="CR30" s="14">
        <f>IF(AND(ISNUMBER(CQ30),ISNUMBER(Summary!$E$37)),CQ30-Summary!$E$37,"")</f>
        <v/>
      </c>
      <c r="CS30" s="14">
        <f>IF(AND(ISNUMBER(CQ30),ISNUMBER(Summary!$G$37)),CQ30-Summary!$G$37,"")</f>
        <v/>
      </c>
      <c r="CT30" s="7">
        <f>IFERROR(IF(INDEX(Data!$AI$2:$AI$45,MATCH($A30,Data!$A$2:$A$45,0))="","",INDEX(Data!$AI$2:$AI$45,MATCH($A30,Data!$A$2:$A$45,0))),"")</f>
        <v/>
      </c>
      <c r="CU30" s="14">
        <f>IF(AND(ISNUMBER(CT30),ISNUMBER(Summary!$E$38)),CT30-Summary!$E$38,"")</f>
        <v/>
      </c>
      <c r="CV30" s="14">
        <f>IF(AND(ISNUMBER(CT30),ISNUMBER(Summary!$G$38)),CT30-Summary!$G$38,"")</f>
        <v/>
      </c>
    </row>
    <row r="31">
      <c r="A31" s="27" t="n">
        <v>46268</v>
      </c>
      <c r="B31" s="7">
        <f>IFERROR(IF(INDEX(Data!$C$2:$C$45,MATCH($A31,Data!$A$2:$A$45,0))="","",INDEX(Data!$C$2:$C$45,MATCH($A31,Data!$A$2:$A$45,0))),"")</f>
        <v/>
      </c>
      <c r="C31" s="14">
        <f>IF(AND(ISNUMBER(B31),ISNUMBER(Summary!$E$6)),B31-Summary!$E$6,"")</f>
        <v/>
      </c>
      <c r="D31" s="14">
        <f>IF(AND(ISNUMBER(B31),ISNUMBER(Summary!$G$6)),B31-Summary!$G$6,"")</f>
        <v/>
      </c>
      <c r="E31" s="7">
        <f>IFERROR(IF(INDEX(Data!$D$2:$D$45,MATCH($A31,Data!$A$2:$A$45,0))="","",INDEX(Data!$D$2:$D$45,MATCH($A31,Data!$A$2:$A$45,0))),"")</f>
        <v/>
      </c>
      <c r="F31" s="14">
        <f>IF(AND(ISNUMBER(E31),ISNUMBER(Summary!$E$7)),E31-Summary!$E$7,"")</f>
        <v/>
      </c>
      <c r="G31" s="14">
        <f>IF(AND(ISNUMBER(E31),ISNUMBER(Summary!$G$7)),E31-Summary!$G$7,"")</f>
        <v/>
      </c>
      <c r="H31" s="7">
        <f>IFERROR(IF(INDEX(Data!$E$2:$E$45,MATCH($A31,Data!$A$2:$A$45,0))="","",INDEX(Data!$E$2:$E$45,MATCH($A31,Data!$A$2:$A$45,0))),"")</f>
        <v/>
      </c>
      <c r="I31" s="14">
        <f>IF(AND(ISNUMBER(H31),ISNUMBER(Summary!$E$8)),H31-Summary!$E$8,"")</f>
        <v/>
      </c>
      <c r="J31" s="14">
        <f>IF(AND(ISNUMBER(H31),ISNUMBER(Summary!$G$8)),H31-Summary!$G$8,"")</f>
        <v/>
      </c>
      <c r="K31" s="7">
        <f>IFERROR(IF(INDEX(Data!$F$2:$F$45,MATCH($A31,Data!$A$2:$A$45,0))="","",INDEX(Data!$F$2:$F$45,MATCH($A31,Data!$A$2:$A$45,0))),"")</f>
        <v/>
      </c>
      <c r="L31" s="14">
        <f>IF(AND(ISNUMBER(K31),ISNUMBER(Summary!$E$9)),K31-Summary!$E$9,"")</f>
        <v/>
      </c>
      <c r="M31" s="14">
        <f>IF(AND(ISNUMBER(K31),ISNUMBER(Summary!$G$9)),K31-Summary!$G$9,"")</f>
        <v/>
      </c>
      <c r="N31" s="7">
        <f>IFERROR(IF(INDEX(Data!$G$2:$G$45,MATCH($A31,Data!$A$2:$A$45,0))="","",INDEX(Data!$G$2:$G$45,MATCH($A31,Data!$A$2:$A$45,0))),"")</f>
        <v/>
      </c>
      <c r="O31" s="14">
        <f>IF(AND(ISNUMBER(N31),ISNUMBER(Summary!$E$10)),N31-Summary!$E$10,"")</f>
        <v/>
      </c>
      <c r="P31" s="14">
        <f>IF(AND(ISNUMBER(N31),ISNUMBER(Summary!$G$10)),N31-Summary!$G$10,"")</f>
        <v/>
      </c>
      <c r="Q31" s="7">
        <f>IFERROR(IF(INDEX(Data!$H$2:$H$45,MATCH($A31,Data!$A$2:$A$45,0))="","",INDEX(Data!$H$2:$H$45,MATCH($A31,Data!$A$2:$A$45,0))),"")</f>
        <v/>
      </c>
      <c r="R31" s="14">
        <f>IF(AND(ISNUMBER(Q31),ISNUMBER(Summary!$E$11)),Q31-Summary!$E$11,"")</f>
        <v/>
      </c>
      <c r="S31" s="14">
        <f>IF(AND(ISNUMBER(Q31),ISNUMBER(Summary!$G$11)),Q31-Summary!$G$11,"")</f>
        <v/>
      </c>
      <c r="T31" s="7">
        <f>IFERROR(IF(INDEX(Data!$I$2:$I$45,MATCH($A31,Data!$A$2:$A$45,0))="","",INDEX(Data!$I$2:$I$45,MATCH($A31,Data!$A$2:$A$45,0))),"")</f>
        <v/>
      </c>
      <c r="U31" s="14">
        <f>IF(AND(ISNUMBER(T31),ISNUMBER(Summary!$E$12)),T31-Summary!$E$12,"")</f>
        <v/>
      </c>
      <c r="V31" s="14">
        <f>IF(AND(ISNUMBER(T31),ISNUMBER(Summary!$G$12)),T31-Summary!$G$12,"")</f>
        <v/>
      </c>
      <c r="W31" s="7">
        <f>IFERROR(IF(INDEX(Data!$J$2:$J$45,MATCH($A31,Data!$A$2:$A$45,0))="","",INDEX(Data!$J$2:$J$45,MATCH($A31,Data!$A$2:$A$45,0))),"")</f>
        <v/>
      </c>
      <c r="X31" s="14">
        <f>IF(AND(ISNUMBER(W31),ISNUMBER(Summary!$E$13)),W31-Summary!$E$13,"")</f>
        <v/>
      </c>
      <c r="Y31" s="14">
        <f>IF(AND(ISNUMBER(W31),ISNUMBER(Summary!$G$13)),W31-Summary!$G$13,"")</f>
        <v/>
      </c>
      <c r="Z31" s="7">
        <f>IFERROR(IF(INDEX(Data!$K$2:$K$45,MATCH($A31,Data!$A$2:$A$45,0))="","",INDEX(Data!$K$2:$K$45,MATCH($A31,Data!$A$2:$A$45,0))),"")</f>
        <v/>
      </c>
      <c r="AA31" s="14">
        <f>IF(AND(ISNUMBER(Z31),ISNUMBER(Summary!$E$14)),Z31-Summary!$E$14,"")</f>
        <v/>
      </c>
      <c r="AB31" s="14">
        <f>IF(AND(ISNUMBER(Z31),ISNUMBER(Summary!$G$14)),Z31-Summary!$G$14,"")</f>
        <v/>
      </c>
      <c r="AC31" s="7">
        <f>IFERROR(IF(INDEX(Data!$L$2:$L$45,MATCH($A31,Data!$A$2:$A$45,0))="","",INDEX(Data!$L$2:$L$45,MATCH($A31,Data!$A$2:$A$45,0))),"")</f>
        <v/>
      </c>
      <c r="AD31" s="14">
        <f>IF(AND(ISNUMBER(AC31),ISNUMBER(Summary!$E$15)),AC31-Summary!$E$15,"")</f>
        <v/>
      </c>
      <c r="AE31" s="14">
        <f>IF(AND(ISNUMBER(AC31),ISNUMBER(Summary!$G$15)),AC31-Summary!$G$15,"")</f>
        <v/>
      </c>
      <c r="AF31" s="7">
        <f>IFERROR(IF(INDEX(Data!$M$2:$M$45,MATCH($A31,Data!$A$2:$A$45,0))="","",INDEX(Data!$M$2:$M$45,MATCH($A31,Data!$A$2:$A$45,0))),"")</f>
        <v/>
      </c>
      <c r="AG31" s="14">
        <f>IF(AND(ISNUMBER(AF31),ISNUMBER(Summary!$E$16)),AF31-Summary!$E$16,"")</f>
        <v/>
      </c>
      <c r="AH31" s="14">
        <f>IF(AND(ISNUMBER(AF31),ISNUMBER(Summary!$G$16)),AF31-Summary!$G$16,"")</f>
        <v/>
      </c>
      <c r="AI31" s="7">
        <f>IFERROR(IF(INDEX(Data!$N$2:$N$45,MATCH($A31,Data!$A$2:$A$45,0))="","",INDEX(Data!$N$2:$N$45,MATCH($A31,Data!$A$2:$A$45,0))),"")</f>
        <v/>
      </c>
      <c r="AJ31" s="14">
        <f>IF(AND(ISNUMBER(AI31),ISNUMBER(Summary!$E$17)),AI31-Summary!$E$17,"")</f>
        <v/>
      </c>
      <c r="AK31" s="14">
        <f>IF(AND(ISNUMBER(AI31),ISNUMBER(Summary!$G$17)),AI31-Summary!$G$17,"")</f>
        <v/>
      </c>
      <c r="AL31" s="7">
        <f>IFERROR(IF(INDEX(Data!$O$2:$O$45,MATCH($A31,Data!$A$2:$A$45,0))="","",INDEX(Data!$O$2:$O$45,MATCH($A31,Data!$A$2:$A$45,0))),"")</f>
        <v/>
      </c>
      <c r="AM31" s="14">
        <f>IF(AND(ISNUMBER(AL31),ISNUMBER(Summary!$E$18)),AL31-Summary!$E$18,"")</f>
        <v/>
      </c>
      <c r="AN31" s="14">
        <f>IF(AND(ISNUMBER(AL31),ISNUMBER(Summary!$G$18)),AL31-Summary!$G$18,"")</f>
        <v/>
      </c>
      <c r="AO31" s="7">
        <f>IFERROR(IF(INDEX(Data!$P$2:$P$45,MATCH($A31,Data!$A$2:$A$45,0))="","",INDEX(Data!$P$2:$P$45,MATCH($A31,Data!$A$2:$A$45,0))),"")</f>
        <v/>
      </c>
      <c r="AP31" s="14">
        <f>IF(AND(ISNUMBER(AO31),ISNUMBER(Summary!$E$19)),AO31-Summary!$E$19,"")</f>
        <v/>
      </c>
      <c r="AQ31" s="14">
        <f>IF(AND(ISNUMBER(AO31),ISNUMBER(Summary!$G$19)),AO31-Summary!$G$19,"")</f>
        <v/>
      </c>
      <c r="AR31" s="7">
        <f>IFERROR(IF(INDEX(Data!$Q$2:$Q$45,MATCH($A31,Data!$A$2:$A$45,0))="","",INDEX(Data!$Q$2:$Q$45,MATCH($A31,Data!$A$2:$A$45,0))),"")</f>
        <v/>
      </c>
      <c r="AS31" s="14">
        <f>IF(AND(ISNUMBER(AR31),ISNUMBER(Summary!$E$20)),AR31-Summary!$E$20,"")</f>
        <v/>
      </c>
      <c r="AT31" s="14">
        <f>IF(AND(ISNUMBER(AR31),ISNUMBER(Summary!$G$20)),AR31-Summary!$G$20,"")</f>
        <v/>
      </c>
      <c r="AU31" s="7">
        <f>IFERROR(IF(INDEX(Data!$R$2:$R$45,MATCH($A31,Data!$A$2:$A$45,0))="","",INDEX(Data!$R$2:$R$45,MATCH($A31,Data!$A$2:$A$45,0))),"")</f>
        <v/>
      </c>
      <c r="AV31" s="14">
        <f>IF(AND(ISNUMBER(AU31),ISNUMBER(Summary!$E$21)),AU31-Summary!$E$21,"")</f>
        <v/>
      </c>
      <c r="AW31" s="14">
        <f>IF(AND(ISNUMBER(AU31),ISNUMBER(Summary!$G$21)),AU31-Summary!$G$21,"")</f>
        <v/>
      </c>
      <c r="AX31" s="7">
        <f>IFERROR(IF(INDEX(Data!$S$2:$S$45,MATCH($A31,Data!$A$2:$A$45,0))="","",INDEX(Data!$S$2:$S$45,MATCH($A31,Data!$A$2:$A$45,0))),"")</f>
        <v/>
      </c>
      <c r="AY31" s="14">
        <f>IF(AND(ISNUMBER(AX31),ISNUMBER(Summary!$E$22)),AX31-Summary!$E$22,"")</f>
        <v/>
      </c>
      <c r="AZ31" s="14">
        <f>IF(AND(ISNUMBER(AX31),ISNUMBER(Summary!$G$22)),AX31-Summary!$G$22,"")</f>
        <v/>
      </c>
      <c r="BA31" s="7">
        <f>IFERROR(IF(INDEX(Data!$T$2:$T$45,MATCH($A31,Data!$A$2:$A$45,0))="","",INDEX(Data!$T$2:$T$45,MATCH($A31,Data!$A$2:$A$45,0))),"")</f>
        <v/>
      </c>
      <c r="BB31" s="14">
        <f>IF(AND(ISNUMBER(BA31),ISNUMBER(Summary!$E$23)),BA31-Summary!$E$23,"")</f>
        <v/>
      </c>
      <c r="BC31" s="14">
        <f>IF(AND(ISNUMBER(BA31),ISNUMBER(Summary!$G$23)),BA31-Summary!$G$23,"")</f>
        <v/>
      </c>
      <c r="BD31" s="7">
        <f>IFERROR(IF(INDEX(Data!$U$2:$U$45,MATCH($A31,Data!$A$2:$A$45,0))="","",INDEX(Data!$U$2:$U$45,MATCH($A31,Data!$A$2:$A$45,0))),"")</f>
        <v/>
      </c>
      <c r="BE31" s="14">
        <f>IF(AND(ISNUMBER(BD31),ISNUMBER(Summary!$E$24)),BD31-Summary!$E$24,"")</f>
        <v/>
      </c>
      <c r="BF31" s="14">
        <f>IF(AND(ISNUMBER(BD31),ISNUMBER(Summary!$G$24)),BD31-Summary!$G$24,"")</f>
        <v/>
      </c>
      <c r="BG31" s="7">
        <f>IFERROR(IF(INDEX(Data!$V$2:$V$45,MATCH($A31,Data!$A$2:$A$45,0))="","",INDEX(Data!$V$2:$V$45,MATCH($A31,Data!$A$2:$A$45,0))),"")</f>
        <v/>
      </c>
      <c r="BH31" s="14">
        <f>IF(AND(ISNUMBER(BG31),ISNUMBER(Summary!$E$25)),BG31-Summary!$E$25,"")</f>
        <v/>
      </c>
      <c r="BI31" s="14">
        <f>IF(AND(ISNUMBER(BG31),ISNUMBER(Summary!$G$25)),BG31-Summary!$G$25,"")</f>
        <v/>
      </c>
      <c r="BJ31" s="7">
        <f>IFERROR(IF(INDEX(Data!$W$2:$W$45,MATCH($A31,Data!$A$2:$A$45,0))="","",INDEX(Data!$W$2:$W$45,MATCH($A31,Data!$A$2:$A$45,0))),"")</f>
        <v/>
      </c>
      <c r="BK31" s="14">
        <f>IF(AND(ISNUMBER(BJ31),ISNUMBER(Summary!$E$26)),BJ31-Summary!$E$26,"")</f>
        <v/>
      </c>
      <c r="BL31" s="14">
        <f>IF(AND(ISNUMBER(BJ31),ISNUMBER(Summary!$G$26)),BJ31-Summary!$G$26,"")</f>
        <v/>
      </c>
      <c r="BM31" s="7">
        <f>IFERROR(IF(INDEX(Data!$X$2:$X$45,MATCH($A31,Data!$A$2:$A$45,0))="","",INDEX(Data!$X$2:$X$45,MATCH($A31,Data!$A$2:$A$45,0))),"")</f>
        <v/>
      </c>
      <c r="BN31" s="14">
        <f>IF(AND(ISNUMBER(BM31),ISNUMBER(Summary!$E$27)),BM31-Summary!$E$27,"")</f>
        <v/>
      </c>
      <c r="BO31" s="14">
        <f>IF(AND(ISNUMBER(BM31),ISNUMBER(Summary!$G$27)),BM31-Summary!$G$27,"")</f>
        <v/>
      </c>
      <c r="BP31" s="7">
        <f>IFERROR(IF(INDEX(Data!$Y$2:$Y$45,MATCH($A31,Data!$A$2:$A$45,0))="","",INDEX(Data!$Y$2:$Y$45,MATCH($A31,Data!$A$2:$A$45,0))),"")</f>
        <v/>
      </c>
      <c r="BQ31" s="14">
        <f>IF(AND(ISNUMBER(BP31),ISNUMBER(Summary!$E$28)),BP31-Summary!$E$28,"")</f>
        <v/>
      </c>
      <c r="BR31" s="14">
        <f>IF(AND(ISNUMBER(BP31),ISNUMBER(Summary!$G$28)),BP31-Summary!$G$28,"")</f>
        <v/>
      </c>
      <c r="BS31" s="7">
        <f>IFERROR(IF(INDEX(Data!$Z$2:$Z$45,MATCH($A31,Data!$A$2:$A$45,0))="","",INDEX(Data!$Z$2:$Z$45,MATCH($A31,Data!$A$2:$A$45,0))),"")</f>
        <v/>
      </c>
      <c r="BT31" s="14">
        <f>IF(AND(ISNUMBER(BS31),ISNUMBER(Summary!$E$29)),BS31-Summary!$E$29,"")</f>
        <v/>
      </c>
      <c r="BU31" s="14">
        <f>IF(AND(ISNUMBER(BS31),ISNUMBER(Summary!$G$29)),BS31-Summary!$G$29,"")</f>
        <v/>
      </c>
      <c r="BV31" s="7">
        <f>IFERROR(IF(INDEX(Data!$AA$2:$AA$45,MATCH($A31,Data!$A$2:$A$45,0))="","",INDEX(Data!$AA$2:$AA$45,MATCH($A31,Data!$A$2:$A$45,0))),"")</f>
        <v/>
      </c>
      <c r="BW31" s="14">
        <f>IF(AND(ISNUMBER(BV31),ISNUMBER(Summary!$E$30)),BV31-Summary!$E$30,"")</f>
        <v/>
      </c>
      <c r="BX31" s="14">
        <f>IF(AND(ISNUMBER(BV31),ISNUMBER(Summary!$G$30)),BV31-Summary!$G$30,"")</f>
        <v/>
      </c>
      <c r="BY31" s="7">
        <f>IFERROR(IF(INDEX(Data!$AB$2:$AB$45,MATCH($A31,Data!$A$2:$A$45,0))="","",INDEX(Data!$AB$2:$AB$45,MATCH($A31,Data!$A$2:$A$45,0))),"")</f>
        <v/>
      </c>
      <c r="BZ31" s="14">
        <f>IF(AND(ISNUMBER(BY31),ISNUMBER(Summary!$E$31)),BY31-Summary!$E$31,"")</f>
        <v/>
      </c>
      <c r="CA31" s="14">
        <f>IF(AND(ISNUMBER(BY31),ISNUMBER(Summary!$G$31)),BY31-Summary!$G$31,"")</f>
        <v/>
      </c>
      <c r="CB31" s="7">
        <f>IFERROR(IF(INDEX(Data!$AC$2:$AC$45,MATCH($A31,Data!$A$2:$A$45,0))="","",INDEX(Data!$AC$2:$AC$45,MATCH($A31,Data!$A$2:$A$45,0))),"")</f>
        <v/>
      </c>
      <c r="CC31" s="14">
        <f>IF(AND(ISNUMBER(CB31),ISNUMBER(Summary!$E$32)),CB31-Summary!$E$32,"")</f>
        <v/>
      </c>
      <c r="CD31" s="14">
        <f>IF(AND(ISNUMBER(CB31),ISNUMBER(Summary!$G$32)),CB31-Summary!$G$32,"")</f>
        <v/>
      </c>
      <c r="CE31" s="7">
        <f>IFERROR(IF(INDEX(Data!$AD$2:$AD$45,MATCH($A31,Data!$A$2:$A$45,0))="","",INDEX(Data!$AD$2:$AD$45,MATCH($A31,Data!$A$2:$A$45,0))),"")</f>
        <v/>
      </c>
      <c r="CF31" s="14">
        <f>IF(AND(ISNUMBER(CE31),ISNUMBER(Summary!$E$33)),CE31-Summary!$E$33,"")</f>
        <v/>
      </c>
      <c r="CG31" s="14">
        <f>IF(AND(ISNUMBER(CE31),ISNUMBER(Summary!$G$33)),CE31-Summary!$G$33,"")</f>
        <v/>
      </c>
      <c r="CH31" s="7">
        <f>IFERROR(IF(INDEX(Data!$AE$2:$AE$45,MATCH($A31,Data!$A$2:$A$45,0))="","",INDEX(Data!$AE$2:$AE$45,MATCH($A31,Data!$A$2:$A$45,0))),"")</f>
        <v/>
      </c>
      <c r="CI31" s="14">
        <f>IF(AND(ISNUMBER(CH31),ISNUMBER(Summary!$E$34)),CH31-Summary!$E$34,"")</f>
        <v/>
      </c>
      <c r="CJ31" s="14">
        <f>IF(AND(ISNUMBER(CH31),ISNUMBER(Summary!$G$34)),CH31-Summary!$G$34,"")</f>
        <v/>
      </c>
      <c r="CK31" s="7">
        <f>IFERROR(IF(INDEX(Data!$AF$2:$AF$45,MATCH($A31,Data!$A$2:$A$45,0))="","",INDEX(Data!$AF$2:$AF$45,MATCH($A31,Data!$A$2:$A$45,0))),"")</f>
        <v/>
      </c>
      <c r="CL31" s="14">
        <f>IF(AND(ISNUMBER(CK31),ISNUMBER(Summary!$E$35)),CK31-Summary!$E$35,"")</f>
        <v/>
      </c>
      <c r="CM31" s="14">
        <f>IF(AND(ISNUMBER(CK31),ISNUMBER(Summary!$G$35)),CK31-Summary!$G$35,"")</f>
        <v/>
      </c>
      <c r="CN31" s="7">
        <f>IFERROR(IF(INDEX(Data!$AG$2:$AG$45,MATCH($A31,Data!$A$2:$A$45,0))="","",INDEX(Data!$AG$2:$AG$45,MATCH($A31,Data!$A$2:$A$45,0))),"")</f>
        <v/>
      </c>
      <c r="CO31" s="14">
        <f>IF(AND(ISNUMBER(CN31),ISNUMBER(Summary!$E$36)),CN31-Summary!$E$36,"")</f>
        <v/>
      </c>
      <c r="CP31" s="14">
        <f>IF(AND(ISNUMBER(CN31),ISNUMBER(Summary!$G$36)),CN31-Summary!$G$36,"")</f>
        <v/>
      </c>
      <c r="CQ31" s="7">
        <f>IFERROR(IF(INDEX(Data!$AH$2:$AH$45,MATCH($A31,Data!$A$2:$A$45,0))="","",INDEX(Data!$AH$2:$AH$45,MATCH($A31,Data!$A$2:$A$45,0))),"")</f>
        <v/>
      </c>
      <c r="CR31" s="14">
        <f>IF(AND(ISNUMBER(CQ31),ISNUMBER(Summary!$E$37)),CQ31-Summary!$E$37,"")</f>
        <v/>
      </c>
      <c r="CS31" s="14">
        <f>IF(AND(ISNUMBER(CQ31),ISNUMBER(Summary!$G$37)),CQ31-Summary!$G$37,"")</f>
        <v/>
      </c>
      <c r="CT31" s="7">
        <f>IFERROR(IF(INDEX(Data!$AI$2:$AI$45,MATCH($A31,Data!$A$2:$A$45,0))="","",INDEX(Data!$AI$2:$AI$45,MATCH($A31,Data!$A$2:$A$45,0))),"")</f>
        <v/>
      </c>
      <c r="CU31" s="14">
        <f>IF(AND(ISNUMBER(CT31),ISNUMBER(Summary!$E$38)),CT31-Summary!$E$38,"")</f>
        <v/>
      </c>
      <c r="CV31" s="14">
        <f>IF(AND(ISNUMBER(CT31),ISNUMBER(Summary!$G$38)),CT31-Summary!$G$38,"")</f>
        <v/>
      </c>
    </row>
    <row r="32">
      <c r="A32" s="27" t="n">
        <v>46267</v>
      </c>
      <c r="B32" s="7">
        <f>IFERROR(IF(INDEX(Data!$C$2:$C$45,MATCH($A32,Data!$A$2:$A$45,0))="","",INDEX(Data!$C$2:$C$45,MATCH($A32,Data!$A$2:$A$45,0))),"")</f>
        <v/>
      </c>
      <c r="C32" s="14">
        <f>IF(AND(ISNUMBER(B32),ISNUMBER(Summary!$E$6)),B32-Summary!$E$6,"")</f>
        <v/>
      </c>
      <c r="D32" s="14">
        <f>IF(AND(ISNUMBER(B32),ISNUMBER(Summary!$G$6)),B32-Summary!$G$6,"")</f>
        <v/>
      </c>
      <c r="E32" s="7">
        <f>IFERROR(IF(INDEX(Data!$D$2:$D$45,MATCH($A32,Data!$A$2:$A$45,0))="","",INDEX(Data!$D$2:$D$45,MATCH($A32,Data!$A$2:$A$45,0))),"")</f>
        <v/>
      </c>
      <c r="F32" s="14">
        <f>IF(AND(ISNUMBER(E32),ISNUMBER(Summary!$E$7)),E32-Summary!$E$7,"")</f>
        <v/>
      </c>
      <c r="G32" s="14">
        <f>IF(AND(ISNUMBER(E32),ISNUMBER(Summary!$G$7)),E32-Summary!$G$7,"")</f>
        <v/>
      </c>
      <c r="H32" s="7">
        <f>IFERROR(IF(INDEX(Data!$E$2:$E$45,MATCH($A32,Data!$A$2:$A$45,0))="","",INDEX(Data!$E$2:$E$45,MATCH($A32,Data!$A$2:$A$45,0))),"")</f>
        <v/>
      </c>
      <c r="I32" s="14">
        <f>IF(AND(ISNUMBER(H32),ISNUMBER(Summary!$E$8)),H32-Summary!$E$8,"")</f>
        <v/>
      </c>
      <c r="J32" s="14">
        <f>IF(AND(ISNUMBER(H32),ISNUMBER(Summary!$G$8)),H32-Summary!$G$8,"")</f>
        <v/>
      </c>
      <c r="K32" s="7">
        <f>IFERROR(IF(INDEX(Data!$F$2:$F$45,MATCH($A32,Data!$A$2:$A$45,0))="","",INDEX(Data!$F$2:$F$45,MATCH($A32,Data!$A$2:$A$45,0))),"")</f>
        <v/>
      </c>
      <c r="L32" s="14">
        <f>IF(AND(ISNUMBER(K32),ISNUMBER(Summary!$E$9)),K32-Summary!$E$9,"")</f>
        <v/>
      </c>
      <c r="M32" s="14">
        <f>IF(AND(ISNUMBER(K32),ISNUMBER(Summary!$G$9)),K32-Summary!$G$9,"")</f>
        <v/>
      </c>
      <c r="N32" s="7">
        <f>IFERROR(IF(INDEX(Data!$G$2:$G$45,MATCH($A32,Data!$A$2:$A$45,0))="","",INDEX(Data!$G$2:$G$45,MATCH($A32,Data!$A$2:$A$45,0))),"")</f>
        <v/>
      </c>
      <c r="O32" s="14">
        <f>IF(AND(ISNUMBER(N32),ISNUMBER(Summary!$E$10)),N32-Summary!$E$10,"")</f>
        <v/>
      </c>
      <c r="P32" s="14">
        <f>IF(AND(ISNUMBER(N32),ISNUMBER(Summary!$G$10)),N32-Summary!$G$10,"")</f>
        <v/>
      </c>
      <c r="Q32" s="7">
        <f>IFERROR(IF(INDEX(Data!$H$2:$H$45,MATCH($A32,Data!$A$2:$A$45,0))="","",INDEX(Data!$H$2:$H$45,MATCH($A32,Data!$A$2:$A$45,0))),"")</f>
        <v/>
      </c>
      <c r="R32" s="14">
        <f>IF(AND(ISNUMBER(Q32),ISNUMBER(Summary!$E$11)),Q32-Summary!$E$11,"")</f>
        <v/>
      </c>
      <c r="S32" s="14">
        <f>IF(AND(ISNUMBER(Q32),ISNUMBER(Summary!$G$11)),Q32-Summary!$G$11,"")</f>
        <v/>
      </c>
      <c r="T32" s="7">
        <f>IFERROR(IF(INDEX(Data!$I$2:$I$45,MATCH($A32,Data!$A$2:$A$45,0))="","",INDEX(Data!$I$2:$I$45,MATCH($A32,Data!$A$2:$A$45,0))),"")</f>
        <v/>
      </c>
      <c r="U32" s="14">
        <f>IF(AND(ISNUMBER(T32),ISNUMBER(Summary!$E$12)),T32-Summary!$E$12,"")</f>
        <v/>
      </c>
      <c r="V32" s="14">
        <f>IF(AND(ISNUMBER(T32),ISNUMBER(Summary!$G$12)),T32-Summary!$G$12,"")</f>
        <v/>
      </c>
      <c r="W32" s="7">
        <f>IFERROR(IF(INDEX(Data!$J$2:$J$45,MATCH($A32,Data!$A$2:$A$45,0))="","",INDEX(Data!$J$2:$J$45,MATCH($A32,Data!$A$2:$A$45,0))),"")</f>
        <v/>
      </c>
      <c r="X32" s="14">
        <f>IF(AND(ISNUMBER(W32),ISNUMBER(Summary!$E$13)),W32-Summary!$E$13,"")</f>
        <v/>
      </c>
      <c r="Y32" s="14">
        <f>IF(AND(ISNUMBER(W32),ISNUMBER(Summary!$G$13)),W32-Summary!$G$13,"")</f>
        <v/>
      </c>
      <c r="Z32" s="7">
        <f>IFERROR(IF(INDEX(Data!$K$2:$K$45,MATCH($A32,Data!$A$2:$A$45,0))="","",INDEX(Data!$K$2:$K$45,MATCH($A32,Data!$A$2:$A$45,0))),"")</f>
        <v/>
      </c>
      <c r="AA32" s="14">
        <f>IF(AND(ISNUMBER(Z32),ISNUMBER(Summary!$E$14)),Z32-Summary!$E$14,"")</f>
        <v/>
      </c>
      <c r="AB32" s="14">
        <f>IF(AND(ISNUMBER(Z32),ISNUMBER(Summary!$G$14)),Z32-Summary!$G$14,"")</f>
        <v/>
      </c>
      <c r="AC32" s="7">
        <f>IFERROR(IF(INDEX(Data!$L$2:$L$45,MATCH($A32,Data!$A$2:$A$45,0))="","",INDEX(Data!$L$2:$L$45,MATCH($A32,Data!$A$2:$A$45,0))),"")</f>
        <v/>
      </c>
      <c r="AD32" s="14">
        <f>IF(AND(ISNUMBER(AC32),ISNUMBER(Summary!$E$15)),AC32-Summary!$E$15,"")</f>
        <v/>
      </c>
      <c r="AE32" s="14">
        <f>IF(AND(ISNUMBER(AC32),ISNUMBER(Summary!$G$15)),AC32-Summary!$G$15,"")</f>
        <v/>
      </c>
      <c r="AF32" s="7">
        <f>IFERROR(IF(INDEX(Data!$M$2:$M$45,MATCH($A32,Data!$A$2:$A$45,0))="","",INDEX(Data!$M$2:$M$45,MATCH($A32,Data!$A$2:$A$45,0))),"")</f>
        <v/>
      </c>
      <c r="AG32" s="14">
        <f>IF(AND(ISNUMBER(AF32),ISNUMBER(Summary!$E$16)),AF32-Summary!$E$16,"")</f>
        <v/>
      </c>
      <c r="AH32" s="14">
        <f>IF(AND(ISNUMBER(AF32),ISNUMBER(Summary!$G$16)),AF32-Summary!$G$16,"")</f>
        <v/>
      </c>
      <c r="AI32" s="7">
        <f>IFERROR(IF(INDEX(Data!$N$2:$N$45,MATCH($A32,Data!$A$2:$A$45,0))="","",INDEX(Data!$N$2:$N$45,MATCH($A32,Data!$A$2:$A$45,0))),"")</f>
        <v/>
      </c>
      <c r="AJ32" s="14">
        <f>IF(AND(ISNUMBER(AI32),ISNUMBER(Summary!$E$17)),AI32-Summary!$E$17,"")</f>
        <v/>
      </c>
      <c r="AK32" s="14">
        <f>IF(AND(ISNUMBER(AI32),ISNUMBER(Summary!$G$17)),AI32-Summary!$G$17,"")</f>
        <v/>
      </c>
      <c r="AL32" s="7">
        <f>IFERROR(IF(INDEX(Data!$O$2:$O$45,MATCH($A32,Data!$A$2:$A$45,0))="","",INDEX(Data!$O$2:$O$45,MATCH($A32,Data!$A$2:$A$45,0))),"")</f>
        <v/>
      </c>
      <c r="AM32" s="14">
        <f>IF(AND(ISNUMBER(AL32),ISNUMBER(Summary!$E$18)),AL32-Summary!$E$18,"")</f>
        <v/>
      </c>
      <c r="AN32" s="14">
        <f>IF(AND(ISNUMBER(AL32),ISNUMBER(Summary!$G$18)),AL32-Summary!$G$18,"")</f>
        <v/>
      </c>
      <c r="AO32" s="7">
        <f>IFERROR(IF(INDEX(Data!$P$2:$P$45,MATCH($A32,Data!$A$2:$A$45,0))="","",INDEX(Data!$P$2:$P$45,MATCH($A32,Data!$A$2:$A$45,0))),"")</f>
        <v/>
      </c>
      <c r="AP32" s="14">
        <f>IF(AND(ISNUMBER(AO32),ISNUMBER(Summary!$E$19)),AO32-Summary!$E$19,"")</f>
        <v/>
      </c>
      <c r="AQ32" s="14">
        <f>IF(AND(ISNUMBER(AO32),ISNUMBER(Summary!$G$19)),AO32-Summary!$G$19,"")</f>
        <v/>
      </c>
      <c r="AR32" s="7">
        <f>IFERROR(IF(INDEX(Data!$Q$2:$Q$45,MATCH($A32,Data!$A$2:$A$45,0))="","",INDEX(Data!$Q$2:$Q$45,MATCH($A32,Data!$A$2:$A$45,0))),"")</f>
        <v/>
      </c>
      <c r="AS32" s="14">
        <f>IF(AND(ISNUMBER(AR32),ISNUMBER(Summary!$E$20)),AR32-Summary!$E$20,"")</f>
        <v/>
      </c>
      <c r="AT32" s="14">
        <f>IF(AND(ISNUMBER(AR32),ISNUMBER(Summary!$G$20)),AR32-Summary!$G$20,"")</f>
        <v/>
      </c>
      <c r="AU32" s="7">
        <f>IFERROR(IF(INDEX(Data!$R$2:$R$45,MATCH($A32,Data!$A$2:$A$45,0))="","",INDEX(Data!$R$2:$R$45,MATCH($A32,Data!$A$2:$A$45,0))),"")</f>
        <v/>
      </c>
      <c r="AV32" s="14">
        <f>IF(AND(ISNUMBER(AU32),ISNUMBER(Summary!$E$21)),AU32-Summary!$E$21,"")</f>
        <v/>
      </c>
      <c r="AW32" s="14">
        <f>IF(AND(ISNUMBER(AU32),ISNUMBER(Summary!$G$21)),AU32-Summary!$G$21,"")</f>
        <v/>
      </c>
      <c r="AX32" s="7">
        <f>IFERROR(IF(INDEX(Data!$S$2:$S$45,MATCH($A32,Data!$A$2:$A$45,0))="","",INDEX(Data!$S$2:$S$45,MATCH($A32,Data!$A$2:$A$45,0))),"")</f>
        <v/>
      </c>
      <c r="AY32" s="14">
        <f>IF(AND(ISNUMBER(AX32),ISNUMBER(Summary!$E$22)),AX32-Summary!$E$22,"")</f>
        <v/>
      </c>
      <c r="AZ32" s="14">
        <f>IF(AND(ISNUMBER(AX32),ISNUMBER(Summary!$G$22)),AX32-Summary!$G$22,"")</f>
        <v/>
      </c>
      <c r="BA32" s="7">
        <f>IFERROR(IF(INDEX(Data!$T$2:$T$45,MATCH($A32,Data!$A$2:$A$45,0))="","",INDEX(Data!$T$2:$T$45,MATCH($A32,Data!$A$2:$A$45,0))),"")</f>
        <v/>
      </c>
      <c r="BB32" s="14">
        <f>IF(AND(ISNUMBER(BA32),ISNUMBER(Summary!$E$23)),BA32-Summary!$E$23,"")</f>
        <v/>
      </c>
      <c r="BC32" s="14">
        <f>IF(AND(ISNUMBER(BA32),ISNUMBER(Summary!$G$23)),BA32-Summary!$G$23,"")</f>
        <v/>
      </c>
      <c r="BD32" s="7">
        <f>IFERROR(IF(INDEX(Data!$U$2:$U$45,MATCH($A32,Data!$A$2:$A$45,0))="","",INDEX(Data!$U$2:$U$45,MATCH($A32,Data!$A$2:$A$45,0))),"")</f>
        <v/>
      </c>
      <c r="BE32" s="14">
        <f>IF(AND(ISNUMBER(BD32),ISNUMBER(Summary!$E$24)),BD32-Summary!$E$24,"")</f>
        <v/>
      </c>
      <c r="BF32" s="14">
        <f>IF(AND(ISNUMBER(BD32),ISNUMBER(Summary!$G$24)),BD32-Summary!$G$24,"")</f>
        <v/>
      </c>
      <c r="BG32" s="7">
        <f>IFERROR(IF(INDEX(Data!$V$2:$V$45,MATCH($A32,Data!$A$2:$A$45,0))="","",INDEX(Data!$V$2:$V$45,MATCH($A32,Data!$A$2:$A$45,0))),"")</f>
        <v/>
      </c>
      <c r="BH32" s="14">
        <f>IF(AND(ISNUMBER(BG32),ISNUMBER(Summary!$E$25)),BG32-Summary!$E$25,"")</f>
        <v/>
      </c>
      <c r="BI32" s="14">
        <f>IF(AND(ISNUMBER(BG32),ISNUMBER(Summary!$G$25)),BG32-Summary!$G$25,"")</f>
        <v/>
      </c>
      <c r="BJ32" s="7">
        <f>IFERROR(IF(INDEX(Data!$W$2:$W$45,MATCH($A32,Data!$A$2:$A$45,0))="","",INDEX(Data!$W$2:$W$45,MATCH($A32,Data!$A$2:$A$45,0))),"")</f>
        <v/>
      </c>
      <c r="BK32" s="14">
        <f>IF(AND(ISNUMBER(BJ32),ISNUMBER(Summary!$E$26)),BJ32-Summary!$E$26,"")</f>
        <v/>
      </c>
      <c r="BL32" s="14">
        <f>IF(AND(ISNUMBER(BJ32),ISNUMBER(Summary!$G$26)),BJ32-Summary!$G$26,"")</f>
        <v/>
      </c>
      <c r="BM32" s="7">
        <f>IFERROR(IF(INDEX(Data!$X$2:$X$45,MATCH($A32,Data!$A$2:$A$45,0))="","",INDEX(Data!$X$2:$X$45,MATCH($A32,Data!$A$2:$A$45,0))),"")</f>
        <v/>
      </c>
      <c r="BN32" s="14">
        <f>IF(AND(ISNUMBER(BM32),ISNUMBER(Summary!$E$27)),BM32-Summary!$E$27,"")</f>
        <v/>
      </c>
      <c r="BO32" s="14">
        <f>IF(AND(ISNUMBER(BM32),ISNUMBER(Summary!$G$27)),BM32-Summary!$G$27,"")</f>
        <v/>
      </c>
      <c r="BP32" s="7">
        <f>IFERROR(IF(INDEX(Data!$Y$2:$Y$45,MATCH($A32,Data!$A$2:$A$45,0))="","",INDEX(Data!$Y$2:$Y$45,MATCH($A32,Data!$A$2:$A$45,0))),"")</f>
        <v/>
      </c>
      <c r="BQ32" s="14">
        <f>IF(AND(ISNUMBER(BP32),ISNUMBER(Summary!$E$28)),BP32-Summary!$E$28,"")</f>
        <v/>
      </c>
      <c r="BR32" s="14">
        <f>IF(AND(ISNUMBER(BP32),ISNUMBER(Summary!$G$28)),BP32-Summary!$G$28,"")</f>
        <v/>
      </c>
      <c r="BS32" s="7">
        <f>IFERROR(IF(INDEX(Data!$Z$2:$Z$45,MATCH($A32,Data!$A$2:$A$45,0))="","",INDEX(Data!$Z$2:$Z$45,MATCH($A32,Data!$A$2:$A$45,0))),"")</f>
        <v/>
      </c>
      <c r="BT32" s="14">
        <f>IF(AND(ISNUMBER(BS32),ISNUMBER(Summary!$E$29)),BS32-Summary!$E$29,"")</f>
        <v/>
      </c>
      <c r="BU32" s="14">
        <f>IF(AND(ISNUMBER(BS32),ISNUMBER(Summary!$G$29)),BS32-Summary!$G$29,"")</f>
        <v/>
      </c>
      <c r="BV32" s="7">
        <f>IFERROR(IF(INDEX(Data!$AA$2:$AA$45,MATCH($A32,Data!$A$2:$A$45,0))="","",INDEX(Data!$AA$2:$AA$45,MATCH($A32,Data!$A$2:$A$45,0))),"")</f>
        <v/>
      </c>
      <c r="BW32" s="14">
        <f>IF(AND(ISNUMBER(BV32),ISNUMBER(Summary!$E$30)),BV32-Summary!$E$30,"")</f>
        <v/>
      </c>
      <c r="BX32" s="14">
        <f>IF(AND(ISNUMBER(BV32),ISNUMBER(Summary!$G$30)),BV32-Summary!$G$30,"")</f>
        <v/>
      </c>
      <c r="BY32" s="7">
        <f>IFERROR(IF(INDEX(Data!$AB$2:$AB$45,MATCH($A32,Data!$A$2:$A$45,0))="","",INDEX(Data!$AB$2:$AB$45,MATCH($A32,Data!$A$2:$A$45,0))),"")</f>
        <v/>
      </c>
      <c r="BZ32" s="14">
        <f>IF(AND(ISNUMBER(BY32),ISNUMBER(Summary!$E$31)),BY32-Summary!$E$31,"")</f>
        <v/>
      </c>
      <c r="CA32" s="14">
        <f>IF(AND(ISNUMBER(BY32),ISNUMBER(Summary!$G$31)),BY32-Summary!$G$31,"")</f>
        <v/>
      </c>
      <c r="CB32" s="7">
        <f>IFERROR(IF(INDEX(Data!$AC$2:$AC$45,MATCH($A32,Data!$A$2:$A$45,0))="","",INDEX(Data!$AC$2:$AC$45,MATCH($A32,Data!$A$2:$A$45,0))),"")</f>
        <v/>
      </c>
      <c r="CC32" s="14">
        <f>IF(AND(ISNUMBER(CB32),ISNUMBER(Summary!$E$32)),CB32-Summary!$E$32,"")</f>
        <v/>
      </c>
      <c r="CD32" s="14">
        <f>IF(AND(ISNUMBER(CB32),ISNUMBER(Summary!$G$32)),CB32-Summary!$G$32,"")</f>
        <v/>
      </c>
      <c r="CE32" s="7">
        <f>IFERROR(IF(INDEX(Data!$AD$2:$AD$45,MATCH($A32,Data!$A$2:$A$45,0))="","",INDEX(Data!$AD$2:$AD$45,MATCH($A32,Data!$A$2:$A$45,0))),"")</f>
        <v/>
      </c>
      <c r="CF32" s="14">
        <f>IF(AND(ISNUMBER(CE32),ISNUMBER(Summary!$E$33)),CE32-Summary!$E$33,"")</f>
        <v/>
      </c>
      <c r="CG32" s="14">
        <f>IF(AND(ISNUMBER(CE32),ISNUMBER(Summary!$G$33)),CE32-Summary!$G$33,"")</f>
        <v/>
      </c>
      <c r="CH32" s="7">
        <f>IFERROR(IF(INDEX(Data!$AE$2:$AE$45,MATCH($A32,Data!$A$2:$A$45,0))="","",INDEX(Data!$AE$2:$AE$45,MATCH($A32,Data!$A$2:$A$45,0))),"")</f>
        <v/>
      </c>
      <c r="CI32" s="14">
        <f>IF(AND(ISNUMBER(CH32),ISNUMBER(Summary!$E$34)),CH32-Summary!$E$34,"")</f>
        <v/>
      </c>
      <c r="CJ32" s="14">
        <f>IF(AND(ISNUMBER(CH32),ISNUMBER(Summary!$G$34)),CH32-Summary!$G$34,"")</f>
        <v/>
      </c>
      <c r="CK32" s="7">
        <f>IFERROR(IF(INDEX(Data!$AF$2:$AF$45,MATCH($A32,Data!$A$2:$A$45,0))="","",INDEX(Data!$AF$2:$AF$45,MATCH($A32,Data!$A$2:$A$45,0))),"")</f>
        <v/>
      </c>
      <c r="CL32" s="14">
        <f>IF(AND(ISNUMBER(CK32),ISNUMBER(Summary!$E$35)),CK32-Summary!$E$35,"")</f>
        <v/>
      </c>
      <c r="CM32" s="14">
        <f>IF(AND(ISNUMBER(CK32),ISNUMBER(Summary!$G$35)),CK32-Summary!$G$35,"")</f>
        <v/>
      </c>
      <c r="CN32" s="7">
        <f>IFERROR(IF(INDEX(Data!$AG$2:$AG$45,MATCH($A32,Data!$A$2:$A$45,0))="","",INDEX(Data!$AG$2:$AG$45,MATCH($A32,Data!$A$2:$A$45,0))),"")</f>
        <v/>
      </c>
      <c r="CO32" s="14">
        <f>IF(AND(ISNUMBER(CN32),ISNUMBER(Summary!$E$36)),CN32-Summary!$E$36,"")</f>
        <v/>
      </c>
      <c r="CP32" s="14">
        <f>IF(AND(ISNUMBER(CN32),ISNUMBER(Summary!$G$36)),CN32-Summary!$G$36,"")</f>
        <v/>
      </c>
      <c r="CQ32" s="7">
        <f>IFERROR(IF(INDEX(Data!$AH$2:$AH$45,MATCH($A32,Data!$A$2:$A$45,0))="","",INDEX(Data!$AH$2:$AH$45,MATCH($A32,Data!$A$2:$A$45,0))),"")</f>
        <v/>
      </c>
      <c r="CR32" s="14">
        <f>IF(AND(ISNUMBER(CQ32),ISNUMBER(Summary!$E$37)),CQ32-Summary!$E$37,"")</f>
        <v/>
      </c>
      <c r="CS32" s="14">
        <f>IF(AND(ISNUMBER(CQ32),ISNUMBER(Summary!$G$37)),CQ32-Summary!$G$37,"")</f>
        <v/>
      </c>
      <c r="CT32" s="7">
        <f>IFERROR(IF(INDEX(Data!$AI$2:$AI$45,MATCH($A32,Data!$A$2:$A$45,0))="","",INDEX(Data!$AI$2:$AI$45,MATCH($A32,Data!$A$2:$A$45,0))),"")</f>
        <v/>
      </c>
      <c r="CU32" s="14">
        <f>IF(AND(ISNUMBER(CT32),ISNUMBER(Summary!$E$38)),CT32-Summary!$E$38,"")</f>
        <v/>
      </c>
      <c r="CV32" s="14">
        <f>IF(AND(ISNUMBER(CT32),ISNUMBER(Summary!$G$38)),CT32-Summary!$G$38,"")</f>
        <v/>
      </c>
    </row>
    <row r="33">
      <c r="A33" s="27" t="n">
        <v>46266</v>
      </c>
      <c r="B33" s="7">
        <f>IFERROR(IF(INDEX(Data!$C$2:$C$45,MATCH($A33,Data!$A$2:$A$45,0))="","",INDEX(Data!$C$2:$C$45,MATCH($A33,Data!$A$2:$A$45,0))),"")</f>
        <v/>
      </c>
      <c r="C33" s="14">
        <f>IF(AND(ISNUMBER(B33),ISNUMBER(Summary!$E$6)),B33-Summary!$E$6,"")</f>
        <v/>
      </c>
      <c r="D33" s="14">
        <f>IF(AND(ISNUMBER(B33),ISNUMBER(Summary!$G$6)),B33-Summary!$G$6,"")</f>
        <v/>
      </c>
      <c r="E33" s="7">
        <f>IFERROR(IF(INDEX(Data!$D$2:$D$45,MATCH($A33,Data!$A$2:$A$45,0))="","",INDEX(Data!$D$2:$D$45,MATCH($A33,Data!$A$2:$A$45,0))),"")</f>
        <v/>
      </c>
      <c r="F33" s="14">
        <f>IF(AND(ISNUMBER(E33),ISNUMBER(Summary!$E$7)),E33-Summary!$E$7,"")</f>
        <v/>
      </c>
      <c r="G33" s="14">
        <f>IF(AND(ISNUMBER(E33),ISNUMBER(Summary!$G$7)),E33-Summary!$G$7,"")</f>
        <v/>
      </c>
      <c r="H33" s="7">
        <f>IFERROR(IF(INDEX(Data!$E$2:$E$45,MATCH($A33,Data!$A$2:$A$45,0))="","",INDEX(Data!$E$2:$E$45,MATCH($A33,Data!$A$2:$A$45,0))),"")</f>
        <v/>
      </c>
      <c r="I33" s="14">
        <f>IF(AND(ISNUMBER(H33),ISNUMBER(Summary!$E$8)),H33-Summary!$E$8,"")</f>
        <v/>
      </c>
      <c r="J33" s="14">
        <f>IF(AND(ISNUMBER(H33),ISNUMBER(Summary!$G$8)),H33-Summary!$G$8,"")</f>
        <v/>
      </c>
      <c r="K33" s="7">
        <f>IFERROR(IF(INDEX(Data!$F$2:$F$45,MATCH($A33,Data!$A$2:$A$45,0))="","",INDEX(Data!$F$2:$F$45,MATCH($A33,Data!$A$2:$A$45,0))),"")</f>
        <v/>
      </c>
      <c r="L33" s="14">
        <f>IF(AND(ISNUMBER(K33),ISNUMBER(Summary!$E$9)),K33-Summary!$E$9,"")</f>
        <v/>
      </c>
      <c r="M33" s="14">
        <f>IF(AND(ISNUMBER(K33),ISNUMBER(Summary!$G$9)),K33-Summary!$G$9,"")</f>
        <v/>
      </c>
      <c r="N33" s="7">
        <f>IFERROR(IF(INDEX(Data!$G$2:$G$45,MATCH($A33,Data!$A$2:$A$45,0))="","",INDEX(Data!$G$2:$G$45,MATCH($A33,Data!$A$2:$A$45,0))),"")</f>
        <v/>
      </c>
      <c r="O33" s="14">
        <f>IF(AND(ISNUMBER(N33),ISNUMBER(Summary!$E$10)),N33-Summary!$E$10,"")</f>
        <v/>
      </c>
      <c r="P33" s="14">
        <f>IF(AND(ISNUMBER(N33),ISNUMBER(Summary!$G$10)),N33-Summary!$G$10,"")</f>
        <v/>
      </c>
      <c r="Q33" s="7">
        <f>IFERROR(IF(INDEX(Data!$H$2:$H$45,MATCH($A33,Data!$A$2:$A$45,0))="","",INDEX(Data!$H$2:$H$45,MATCH($A33,Data!$A$2:$A$45,0))),"")</f>
        <v/>
      </c>
      <c r="R33" s="14">
        <f>IF(AND(ISNUMBER(Q33),ISNUMBER(Summary!$E$11)),Q33-Summary!$E$11,"")</f>
        <v/>
      </c>
      <c r="S33" s="14">
        <f>IF(AND(ISNUMBER(Q33),ISNUMBER(Summary!$G$11)),Q33-Summary!$G$11,"")</f>
        <v/>
      </c>
      <c r="T33" s="7">
        <f>IFERROR(IF(INDEX(Data!$I$2:$I$45,MATCH($A33,Data!$A$2:$A$45,0))="","",INDEX(Data!$I$2:$I$45,MATCH($A33,Data!$A$2:$A$45,0))),"")</f>
        <v/>
      </c>
      <c r="U33" s="14">
        <f>IF(AND(ISNUMBER(T33),ISNUMBER(Summary!$E$12)),T33-Summary!$E$12,"")</f>
        <v/>
      </c>
      <c r="V33" s="14">
        <f>IF(AND(ISNUMBER(T33),ISNUMBER(Summary!$G$12)),T33-Summary!$G$12,"")</f>
        <v/>
      </c>
      <c r="W33" s="7">
        <f>IFERROR(IF(INDEX(Data!$J$2:$J$45,MATCH($A33,Data!$A$2:$A$45,0))="","",INDEX(Data!$J$2:$J$45,MATCH($A33,Data!$A$2:$A$45,0))),"")</f>
        <v/>
      </c>
      <c r="X33" s="14">
        <f>IF(AND(ISNUMBER(W33),ISNUMBER(Summary!$E$13)),W33-Summary!$E$13,"")</f>
        <v/>
      </c>
      <c r="Y33" s="14">
        <f>IF(AND(ISNUMBER(W33),ISNUMBER(Summary!$G$13)),W33-Summary!$G$13,"")</f>
        <v/>
      </c>
      <c r="Z33" s="7">
        <f>IFERROR(IF(INDEX(Data!$K$2:$K$45,MATCH($A33,Data!$A$2:$A$45,0))="","",INDEX(Data!$K$2:$K$45,MATCH($A33,Data!$A$2:$A$45,0))),"")</f>
        <v/>
      </c>
      <c r="AA33" s="14">
        <f>IF(AND(ISNUMBER(Z33),ISNUMBER(Summary!$E$14)),Z33-Summary!$E$14,"")</f>
        <v/>
      </c>
      <c r="AB33" s="14">
        <f>IF(AND(ISNUMBER(Z33),ISNUMBER(Summary!$G$14)),Z33-Summary!$G$14,"")</f>
        <v/>
      </c>
      <c r="AC33" s="7">
        <f>IFERROR(IF(INDEX(Data!$L$2:$L$45,MATCH($A33,Data!$A$2:$A$45,0))="","",INDEX(Data!$L$2:$L$45,MATCH($A33,Data!$A$2:$A$45,0))),"")</f>
        <v/>
      </c>
      <c r="AD33" s="14">
        <f>IF(AND(ISNUMBER(AC33),ISNUMBER(Summary!$E$15)),AC33-Summary!$E$15,"")</f>
        <v/>
      </c>
      <c r="AE33" s="14">
        <f>IF(AND(ISNUMBER(AC33),ISNUMBER(Summary!$G$15)),AC33-Summary!$G$15,"")</f>
        <v/>
      </c>
      <c r="AF33" s="7">
        <f>IFERROR(IF(INDEX(Data!$M$2:$M$45,MATCH($A33,Data!$A$2:$A$45,0))="","",INDEX(Data!$M$2:$M$45,MATCH($A33,Data!$A$2:$A$45,0))),"")</f>
        <v/>
      </c>
      <c r="AG33" s="14">
        <f>IF(AND(ISNUMBER(AF33),ISNUMBER(Summary!$E$16)),AF33-Summary!$E$16,"")</f>
        <v/>
      </c>
      <c r="AH33" s="14">
        <f>IF(AND(ISNUMBER(AF33),ISNUMBER(Summary!$G$16)),AF33-Summary!$G$16,"")</f>
        <v/>
      </c>
      <c r="AI33" s="7">
        <f>IFERROR(IF(INDEX(Data!$N$2:$N$45,MATCH($A33,Data!$A$2:$A$45,0))="","",INDEX(Data!$N$2:$N$45,MATCH($A33,Data!$A$2:$A$45,0))),"")</f>
        <v/>
      </c>
      <c r="AJ33" s="14">
        <f>IF(AND(ISNUMBER(AI33),ISNUMBER(Summary!$E$17)),AI33-Summary!$E$17,"")</f>
        <v/>
      </c>
      <c r="AK33" s="14">
        <f>IF(AND(ISNUMBER(AI33),ISNUMBER(Summary!$G$17)),AI33-Summary!$G$17,"")</f>
        <v/>
      </c>
      <c r="AL33" s="7">
        <f>IFERROR(IF(INDEX(Data!$O$2:$O$45,MATCH($A33,Data!$A$2:$A$45,0))="","",INDEX(Data!$O$2:$O$45,MATCH($A33,Data!$A$2:$A$45,0))),"")</f>
        <v/>
      </c>
      <c r="AM33" s="14">
        <f>IF(AND(ISNUMBER(AL33),ISNUMBER(Summary!$E$18)),AL33-Summary!$E$18,"")</f>
        <v/>
      </c>
      <c r="AN33" s="14">
        <f>IF(AND(ISNUMBER(AL33),ISNUMBER(Summary!$G$18)),AL33-Summary!$G$18,"")</f>
        <v/>
      </c>
      <c r="AO33" s="7">
        <f>IFERROR(IF(INDEX(Data!$P$2:$P$45,MATCH($A33,Data!$A$2:$A$45,0))="","",INDEX(Data!$P$2:$P$45,MATCH($A33,Data!$A$2:$A$45,0))),"")</f>
        <v/>
      </c>
      <c r="AP33" s="14">
        <f>IF(AND(ISNUMBER(AO33),ISNUMBER(Summary!$E$19)),AO33-Summary!$E$19,"")</f>
        <v/>
      </c>
      <c r="AQ33" s="14">
        <f>IF(AND(ISNUMBER(AO33),ISNUMBER(Summary!$G$19)),AO33-Summary!$G$19,"")</f>
        <v/>
      </c>
      <c r="AR33" s="7">
        <f>IFERROR(IF(INDEX(Data!$Q$2:$Q$45,MATCH($A33,Data!$A$2:$A$45,0))="","",INDEX(Data!$Q$2:$Q$45,MATCH($A33,Data!$A$2:$A$45,0))),"")</f>
        <v/>
      </c>
      <c r="AS33" s="14">
        <f>IF(AND(ISNUMBER(AR33),ISNUMBER(Summary!$E$20)),AR33-Summary!$E$20,"")</f>
        <v/>
      </c>
      <c r="AT33" s="14">
        <f>IF(AND(ISNUMBER(AR33),ISNUMBER(Summary!$G$20)),AR33-Summary!$G$20,"")</f>
        <v/>
      </c>
      <c r="AU33" s="7">
        <f>IFERROR(IF(INDEX(Data!$R$2:$R$45,MATCH($A33,Data!$A$2:$A$45,0))="","",INDEX(Data!$R$2:$R$45,MATCH($A33,Data!$A$2:$A$45,0))),"")</f>
        <v/>
      </c>
      <c r="AV33" s="14">
        <f>IF(AND(ISNUMBER(AU33),ISNUMBER(Summary!$E$21)),AU33-Summary!$E$21,"")</f>
        <v/>
      </c>
      <c r="AW33" s="14">
        <f>IF(AND(ISNUMBER(AU33),ISNUMBER(Summary!$G$21)),AU33-Summary!$G$21,"")</f>
        <v/>
      </c>
      <c r="AX33" s="7">
        <f>IFERROR(IF(INDEX(Data!$S$2:$S$45,MATCH($A33,Data!$A$2:$A$45,0))="","",INDEX(Data!$S$2:$S$45,MATCH($A33,Data!$A$2:$A$45,0))),"")</f>
        <v/>
      </c>
      <c r="AY33" s="14">
        <f>IF(AND(ISNUMBER(AX33),ISNUMBER(Summary!$E$22)),AX33-Summary!$E$22,"")</f>
        <v/>
      </c>
      <c r="AZ33" s="14">
        <f>IF(AND(ISNUMBER(AX33),ISNUMBER(Summary!$G$22)),AX33-Summary!$G$22,"")</f>
        <v/>
      </c>
      <c r="BA33" s="7">
        <f>IFERROR(IF(INDEX(Data!$T$2:$T$45,MATCH($A33,Data!$A$2:$A$45,0))="","",INDEX(Data!$T$2:$T$45,MATCH($A33,Data!$A$2:$A$45,0))),"")</f>
        <v/>
      </c>
      <c r="BB33" s="14">
        <f>IF(AND(ISNUMBER(BA33),ISNUMBER(Summary!$E$23)),BA33-Summary!$E$23,"")</f>
        <v/>
      </c>
      <c r="BC33" s="14">
        <f>IF(AND(ISNUMBER(BA33),ISNUMBER(Summary!$G$23)),BA33-Summary!$G$23,"")</f>
        <v/>
      </c>
      <c r="BD33" s="7">
        <f>IFERROR(IF(INDEX(Data!$U$2:$U$45,MATCH($A33,Data!$A$2:$A$45,0))="","",INDEX(Data!$U$2:$U$45,MATCH($A33,Data!$A$2:$A$45,0))),"")</f>
        <v/>
      </c>
      <c r="BE33" s="14">
        <f>IF(AND(ISNUMBER(BD33),ISNUMBER(Summary!$E$24)),BD33-Summary!$E$24,"")</f>
        <v/>
      </c>
      <c r="BF33" s="14">
        <f>IF(AND(ISNUMBER(BD33),ISNUMBER(Summary!$G$24)),BD33-Summary!$G$24,"")</f>
        <v/>
      </c>
      <c r="BG33" s="7">
        <f>IFERROR(IF(INDEX(Data!$V$2:$V$45,MATCH($A33,Data!$A$2:$A$45,0))="","",INDEX(Data!$V$2:$V$45,MATCH($A33,Data!$A$2:$A$45,0))),"")</f>
        <v/>
      </c>
      <c r="BH33" s="14">
        <f>IF(AND(ISNUMBER(BG33),ISNUMBER(Summary!$E$25)),BG33-Summary!$E$25,"")</f>
        <v/>
      </c>
      <c r="BI33" s="14">
        <f>IF(AND(ISNUMBER(BG33),ISNUMBER(Summary!$G$25)),BG33-Summary!$G$25,"")</f>
        <v/>
      </c>
      <c r="BJ33" s="7">
        <f>IFERROR(IF(INDEX(Data!$W$2:$W$45,MATCH($A33,Data!$A$2:$A$45,0))="","",INDEX(Data!$W$2:$W$45,MATCH($A33,Data!$A$2:$A$45,0))),"")</f>
        <v/>
      </c>
      <c r="BK33" s="14">
        <f>IF(AND(ISNUMBER(BJ33),ISNUMBER(Summary!$E$26)),BJ33-Summary!$E$26,"")</f>
        <v/>
      </c>
      <c r="BL33" s="14">
        <f>IF(AND(ISNUMBER(BJ33),ISNUMBER(Summary!$G$26)),BJ33-Summary!$G$26,"")</f>
        <v/>
      </c>
      <c r="BM33" s="7">
        <f>IFERROR(IF(INDEX(Data!$X$2:$X$45,MATCH($A33,Data!$A$2:$A$45,0))="","",INDEX(Data!$X$2:$X$45,MATCH($A33,Data!$A$2:$A$45,0))),"")</f>
        <v/>
      </c>
      <c r="BN33" s="14">
        <f>IF(AND(ISNUMBER(BM33),ISNUMBER(Summary!$E$27)),BM33-Summary!$E$27,"")</f>
        <v/>
      </c>
      <c r="BO33" s="14">
        <f>IF(AND(ISNUMBER(BM33),ISNUMBER(Summary!$G$27)),BM33-Summary!$G$27,"")</f>
        <v/>
      </c>
      <c r="BP33" s="7">
        <f>IFERROR(IF(INDEX(Data!$Y$2:$Y$45,MATCH($A33,Data!$A$2:$A$45,0))="","",INDEX(Data!$Y$2:$Y$45,MATCH($A33,Data!$A$2:$A$45,0))),"")</f>
        <v/>
      </c>
      <c r="BQ33" s="14">
        <f>IF(AND(ISNUMBER(BP33),ISNUMBER(Summary!$E$28)),BP33-Summary!$E$28,"")</f>
        <v/>
      </c>
      <c r="BR33" s="14">
        <f>IF(AND(ISNUMBER(BP33),ISNUMBER(Summary!$G$28)),BP33-Summary!$G$28,"")</f>
        <v/>
      </c>
      <c r="BS33" s="7">
        <f>IFERROR(IF(INDEX(Data!$Z$2:$Z$45,MATCH($A33,Data!$A$2:$A$45,0))="","",INDEX(Data!$Z$2:$Z$45,MATCH($A33,Data!$A$2:$A$45,0))),"")</f>
        <v/>
      </c>
      <c r="BT33" s="14">
        <f>IF(AND(ISNUMBER(BS33),ISNUMBER(Summary!$E$29)),BS33-Summary!$E$29,"")</f>
        <v/>
      </c>
      <c r="BU33" s="14">
        <f>IF(AND(ISNUMBER(BS33),ISNUMBER(Summary!$G$29)),BS33-Summary!$G$29,"")</f>
        <v/>
      </c>
      <c r="BV33" s="7">
        <f>IFERROR(IF(INDEX(Data!$AA$2:$AA$45,MATCH($A33,Data!$A$2:$A$45,0))="","",INDEX(Data!$AA$2:$AA$45,MATCH($A33,Data!$A$2:$A$45,0))),"")</f>
        <v/>
      </c>
      <c r="BW33" s="14">
        <f>IF(AND(ISNUMBER(BV33),ISNUMBER(Summary!$E$30)),BV33-Summary!$E$30,"")</f>
        <v/>
      </c>
      <c r="BX33" s="14">
        <f>IF(AND(ISNUMBER(BV33),ISNUMBER(Summary!$G$30)),BV33-Summary!$G$30,"")</f>
        <v/>
      </c>
      <c r="BY33" s="7">
        <f>IFERROR(IF(INDEX(Data!$AB$2:$AB$45,MATCH($A33,Data!$A$2:$A$45,0))="","",INDEX(Data!$AB$2:$AB$45,MATCH($A33,Data!$A$2:$A$45,0))),"")</f>
        <v/>
      </c>
      <c r="BZ33" s="14">
        <f>IF(AND(ISNUMBER(BY33),ISNUMBER(Summary!$E$31)),BY33-Summary!$E$31,"")</f>
        <v/>
      </c>
      <c r="CA33" s="14">
        <f>IF(AND(ISNUMBER(BY33),ISNUMBER(Summary!$G$31)),BY33-Summary!$G$31,"")</f>
        <v/>
      </c>
      <c r="CB33" s="7">
        <f>IFERROR(IF(INDEX(Data!$AC$2:$AC$45,MATCH($A33,Data!$A$2:$A$45,0))="","",INDEX(Data!$AC$2:$AC$45,MATCH($A33,Data!$A$2:$A$45,0))),"")</f>
        <v/>
      </c>
      <c r="CC33" s="14">
        <f>IF(AND(ISNUMBER(CB33),ISNUMBER(Summary!$E$32)),CB33-Summary!$E$32,"")</f>
        <v/>
      </c>
      <c r="CD33" s="14">
        <f>IF(AND(ISNUMBER(CB33),ISNUMBER(Summary!$G$32)),CB33-Summary!$G$32,"")</f>
        <v/>
      </c>
      <c r="CE33" s="7">
        <f>IFERROR(IF(INDEX(Data!$AD$2:$AD$45,MATCH($A33,Data!$A$2:$A$45,0))="","",INDEX(Data!$AD$2:$AD$45,MATCH($A33,Data!$A$2:$A$45,0))),"")</f>
        <v/>
      </c>
      <c r="CF33" s="14">
        <f>IF(AND(ISNUMBER(CE33),ISNUMBER(Summary!$E$33)),CE33-Summary!$E$33,"")</f>
        <v/>
      </c>
      <c r="CG33" s="14">
        <f>IF(AND(ISNUMBER(CE33),ISNUMBER(Summary!$G$33)),CE33-Summary!$G$33,"")</f>
        <v/>
      </c>
      <c r="CH33" s="7">
        <f>IFERROR(IF(INDEX(Data!$AE$2:$AE$45,MATCH($A33,Data!$A$2:$A$45,0))="","",INDEX(Data!$AE$2:$AE$45,MATCH($A33,Data!$A$2:$A$45,0))),"")</f>
        <v/>
      </c>
      <c r="CI33" s="14">
        <f>IF(AND(ISNUMBER(CH33),ISNUMBER(Summary!$E$34)),CH33-Summary!$E$34,"")</f>
        <v/>
      </c>
      <c r="CJ33" s="14">
        <f>IF(AND(ISNUMBER(CH33),ISNUMBER(Summary!$G$34)),CH33-Summary!$G$34,"")</f>
        <v/>
      </c>
      <c r="CK33" s="7">
        <f>IFERROR(IF(INDEX(Data!$AF$2:$AF$45,MATCH($A33,Data!$A$2:$A$45,0))="","",INDEX(Data!$AF$2:$AF$45,MATCH($A33,Data!$A$2:$A$45,0))),"")</f>
        <v/>
      </c>
      <c r="CL33" s="14">
        <f>IF(AND(ISNUMBER(CK33),ISNUMBER(Summary!$E$35)),CK33-Summary!$E$35,"")</f>
        <v/>
      </c>
      <c r="CM33" s="14">
        <f>IF(AND(ISNUMBER(CK33),ISNUMBER(Summary!$G$35)),CK33-Summary!$G$35,"")</f>
        <v/>
      </c>
      <c r="CN33" s="7">
        <f>IFERROR(IF(INDEX(Data!$AG$2:$AG$45,MATCH($A33,Data!$A$2:$A$45,0))="","",INDEX(Data!$AG$2:$AG$45,MATCH($A33,Data!$A$2:$A$45,0))),"")</f>
        <v/>
      </c>
      <c r="CO33" s="14">
        <f>IF(AND(ISNUMBER(CN33),ISNUMBER(Summary!$E$36)),CN33-Summary!$E$36,"")</f>
        <v/>
      </c>
      <c r="CP33" s="14">
        <f>IF(AND(ISNUMBER(CN33),ISNUMBER(Summary!$G$36)),CN33-Summary!$G$36,"")</f>
        <v/>
      </c>
      <c r="CQ33" s="7">
        <f>IFERROR(IF(INDEX(Data!$AH$2:$AH$45,MATCH($A33,Data!$A$2:$A$45,0))="","",INDEX(Data!$AH$2:$AH$45,MATCH($A33,Data!$A$2:$A$45,0))),"")</f>
        <v/>
      </c>
      <c r="CR33" s="14">
        <f>IF(AND(ISNUMBER(CQ33),ISNUMBER(Summary!$E$37)),CQ33-Summary!$E$37,"")</f>
        <v/>
      </c>
      <c r="CS33" s="14">
        <f>IF(AND(ISNUMBER(CQ33),ISNUMBER(Summary!$G$37)),CQ33-Summary!$G$37,"")</f>
        <v/>
      </c>
      <c r="CT33" s="7">
        <f>IFERROR(IF(INDEX(Data!$AI$2:$AI$45,MATCH($A33,Data!$A$2:$A$45,0))="","",INDEX(Data!$AI$2:$AI$45,MATCH($A33,Data!$A$2:$A$45,0))),"")</f>
        <v/>
      </c>
      <c r="CU33" s="14">
        <f>IF(AND(ISNUMBER(CT33),ISNUMBER(Summary!$E$38)),CT33-Summary!$E$38,"")</f>
        <v/>
      </c>
      <c r="CV33" s="14">
        <f>IF(AND(ISNUMBER(CT33),ISNUMBER(Summary!$G$38)),CT33-Summary!$G$38,"")</f>
        <v/>
      </c>
    </row>
    <row r="34">
      <c r="A34" s="27" t="n">
        <v>46265</v>
      </c>
      <c r="B34" s="7">
        <f>IFERROR(IF(INDEX(Data!$C$2:$C$45,MATCH($A34,Data!$A$2:$A$45,0))="","",INDEX(Data!$C$2:$C$45,MATCH($A34,Data!$A$2:$A$45,0))),"")</f>
        <v/>
      </c>
      <c r="C34" s="14">
        <f>IF(AND(ISNUMBER(B34),ISNUMBER(Summary!$E$6)),B34-Summary!$E$6,"")</f>
        <v/>
      </c>
      <c r="D34" s="14">
        <f>IF(AND(ISNUMBER(B34),ISNUMBER(Summary!$G$6)),B34-Summary!$G$6,"")</f>
        <v/>
      </c>
      <c r="E34" s="7">
        <f>IFERROR(IF(INDEX(Data!$D$2:$D$45,MATCH($A34,Data!$A$2:$A$45,0))="","",INDEX(Data!$D$2:$D$45,MATCH($A34,Data!$A$2:$A$45,0))),"")</f>
        <v/>
      </c>
      <c r="F34" s="14">
        <f>IF(AND(ISNUMBER(E34),ISNUMBER(Summary!$E$7)),E34-Summary!$E$7,"")</f>
        <v/>
      </c>
      <c r="G34" s="14">
        <f>IF(AND(ISNUMBER(E34),ISNUMBER(Summary!$G$7)),E34-Summary!$G$7,"")</f>
        <v/>
      </c>
      <c r="H34" s="7">
        <f>IFERROR(IF(INDEX(Data!$E$2:$E$45,MATCH($A34,Data!$A$2:$A$45,0))="","",INDEX(Data!$E$2:$E$45,MATCH($A34,Data!$A$2:$A$45,0))),"")</f>
        <v/>
      </c>
      <c r="I34" s="14">
        <f>IF(AND(ISNUMBER(H34),ISNUMBER(Summary!$E$8)),H34-Summary!$E$8,"")</f>
        <v/>
      </c>
      <c r="J34" s="14">
        <f>IF(AND(ISNUMBER(H34),ISNUMBER(Summary!$G$8)),H34-Summary!$G$8,"")</f>
        <v/>
      </c>
      <c r="K34" s="7">
        <f>IFERROR(IF(INDEX(Data!$F$2:$F$45,MATCH($A34,Data!$A$2:$A$45,0))="","",INDEX(Data!$F$2:$F$45,MATCH($A34,Data!$A$2:$A$45,0))),"")</f>
        <v/>
      </c>
      <c r="L34" s="14">
        <f>IF(AND(ISNUMBER(K34),ISNUMBER(Summary!$E$9)),K34-Summary!$E$9,"")</f>
        <v/>
      </c>
      <c r="M34" s="14">
        <f>IF(AND(ISNUMBER(K34),ISNUMBER(Summary!$G$9)),K34-Summary!$G$9,"")</f>
        <v/>
      </c>
      <c r="N34" s="7">
        <f>IFERROR(IF(INDEX(Data!$G$2:$G$45,MATCH($A34,Data!$A$2:$A$45,0))="","",INDEX(Data!$G$2:$G$45,MATCH($A34,Data!$A$2:$A$45,0))),"")</f>
        <v/>
      </c>
      <c r="O34" s="14">
        <f>IF(AND(ISNUMBER(N34),ISNUMBER(Summary!$E$10)),N34-Summary!$E$10,"")</f>
        <v/>
      </c>
      <c r="P34" s="14">
        <f>IF(AND(ISNUMBER(N34),ISNUMBER(Summary!$G$10)),N34-Summary!$G$10,"")</f>
        <v/>
      </c>
      <c r="Q34" s="7">
        <f>IFERROR(IF(INDEX(Data!$H$2:$H$45,MATCH($A34,Data!$A$2:$A$45,0))="","",INDEX(Data!$H$2:$H$45,MATCH($A34,Data!$A$2:$A$45,0))),"")</f>
        <v/>
      </c>
      <c r="R34" s="14">
        <f>IF(AND(ISNUMBER(Q34),ISNUMBER(Summary!$E$11)),Q34-Summary!$E$11,"")</f>
        <v/>
      </c>
      <c r="S34" s="14">
        <f>IF(AND(ISNUMBER(Q34),ISNUMBER(Summary!$G$11)),Q34-Summary!$G$11,"")</f>
        <v/>
      </c>
      <c r="T34" s="7">
        <f>IFERROR(IF(INDEX(Data!$I$2:$I$45,MATCH($A34,Data!$A$2:$A$45,0))="","",INDEX(Data!$I$2:$I$45,MATCH($A34,Data!$A$2:$A$45,0))),"")</f>
        <v/>
      </c>
      <c r="U34" s="14">
        <f>IF(AND(ISNUMBER(T34),ISNUMBER(Summary!$E$12)),T34-Summary!$E$12,"")</f>
        <v/>
      </c>
      <c r="V34" s="14">
        <f>IF(AND(ISNUMBER(T34),ISNUMBER(Summary!$G$12)),T34-Summary!$G$12,"")</f>
        <v/>
      </c>
      <c r="W34" s="7">
        <f>IFERROR(IF(INDEX(Data!$J$2:$J$45,MATCH($A34,Data!$A$2:$A$45,0))="","",INDEX(Data!$J$2:$J$45,MATCH($A34,Data!$A$2:$A$45,0))),"")</f>
        <v/>
      </c>
      <c r="X34" s="14">
        <f>IF(AND(ISNUMBER(W34),ISNUMBER(Summary!$E$13)),W34-Summary!$E$13,"")</f>
        <v/>
      </c>
      <c r="Y34" s="14">
        <f>IF(AND(ISNUMBER(W34),ISNUMBER(Summary!$G$13)),W34-Summary!$G$13,"")</f>
        <v/>
      </c>
      <c r="Z34" s="7">
        <f>IFERROR(IF(INDEX(Data!$K$2:$K$45,MATCH($A34,Data!$A$2:$A$45,0))="","",INDEX(Data!$K$2:$K$45,MATCH($A34,Data!$A$2:$A$45,0))),"")</f>
        <v/>
      </c>
      <c r="AA34" s="14">
        <f>IF(AND(ISNUMBER(Z34),ISNUMBER(Summary!$E$14)),Z34-Summary!$E$14,"")</f>
        <v/>
      </c>
      <c r="AB34" s="14">
        <f>IF(AND(ISNUMBER(Z34),ISNUMBER(Summary!$G$14)),Z34-Summary!$G$14,"")</f>
        <v/>
      </c>
      <c r="AC34" s="7">
        <f>IFERROR(IF(INDEX(Data!$L$2:$L$45,MATCH($A34,Data!$A$2:$A$45,0))="","",INDEX(Data!$L$2:$L$45,MATCH($A34,Data!$A$2:$A$45,0))),"")</f>
        <v/>
      </c>
      <c r="AD34" s="14">
        <f>IF(AND(ISNUMBER(AC34),ISNUMBER(Summary!$E$15)),AC34-Summary!$E$15,"")</f>
        <v/>
      </c>
      <c r="AE34" s="14">
        <f>IF(AND(ISNUMBER(AC34),ISNUMBER(Summary!$G$15)),AC34-Summary!$G$15,"")</f>
        <v/>
      </c>
      <c r="AF34" s="7">
        <f>IFERROR(IF(INDEX(Data!$M$2:$M$45,MATCH($A34,Data!$A$2:$A$45,0))="","",INDEX(Data!$M$2:$M$45,MATCH($A34,Data!$A$2:$A$45,0))),"")</f>
        <v/>
      </c>
      <c r="AG34" s="14">
        <f>IF(AND(ISNUMBER(AF34),ISNUMBER(Summary!$E$16)),AF34-Summary!$E$16,"")</f>
        <v/>
      </c>
      <c r="AH34" s="14">
        <f>IF(AND(ISNUMBER(AF34),ISNUMBER(Summary!$G$16)),AF34-Summary!$G$16,"")</f>
        <v/>
      </c>
      <c r="AI34" s="7">
        <f>IFERROR(IF(INDEX(Data!$N$2:$N$45,MATCH($A34,Data!$A$2:$A$45,0))="","",INDEX(Data!$N$2:$N$45,MATCH($A34,Data!$A$2:$A$45,0))),"")</f>
        <v/>
      </c>
      <c r="AJ34" s="14">
        <f>IF(AND(ISNUMBER(AI34),ISNUMBER(Summary!$E$17)),AI34-Summary!$E$17,"")</f>
        <v/>
      </c>
      <c r="AK34" s="14">
        <f>IF(AND(ISNUMBER(AI34),ISNUMBER(Summary!$G$17)),AI34-Summary!$G$17,"")</f>
        <v/>
      </c>
      <c r="AL34" s="7">
        <f>IFERROR(IF(INDEX(Data!$O$2:$O$45,MATCH($A34,Data!$A$2:$A$45,0))="","",INDEX(Data!$O$2:$O$45,MATCH($A34,Data!$A$2:$A$45,0))),"")</f>
        <v/>
      </c>
      <c r="AM34" s="14">
        <f>IF(AND(ISNUMBER(AL34),ISNUMBER(Summary!$E$18)),AL34-Summary!$E$18,"")</f>
        <v/>
      </c>
      <c r="AN34" s="14">
        <f>IF(AND(ISNUMBER(AL34),ISNUMBER(Summary!$G$18)),AL34-Summary!$G$18,"")</f>
        <v/>
      </c>
      <c r="AO34" s="7">
        <f>IFERROR(IF(INDEX(Data!$P$2:$P$45,MATCH($A34,Data!$A$2:$A$45,0))="","",INDEX(Data!$P$2:$P$45,MATCH($A34,Data!$A$2:$A$45,0))),"")</f>
        <v/>
      </c>
      <c r="AP34" s="14">
        <f>IF(AND(ISNUMBER(AO34),ISNUMBER(Summary!$E$19)),AO34-Summary!$E$19,"")</f>
        <v/>
      </c>
      <c r="AQ34" s="14">
        <f>IF(AND(ISNUMBER(AO34),ISNUMBER(Summary!$G$19)),AO34-Summary!$G$19,"")</f>
        <v/>
      </c>
      <c r="AR34" s="7">
        <f>IFERROR(IF(INDEX(Data!$Q$2:$Q$45,MATCH($A34,Data!$A$2:$A$45,0))="","",INDEX(Data!$Q$2:$Q$45,MATCH($A34,Data!$A$2:$A$45,0))),"")</f>
        <v/>
      </c>
      <c r="AS34" s="14">
        <f>IF(AND(ISNUMBER(AR34),ISNUMBER(Summary!$E$20)),AR34-Summary!$E$20,"")</f>
        <v/>
      </c>
      <c r="AT34" s="14">
        <f>IF(AND(ISNUMBER(AR34),ISNUMBER(Summary!$G$20)),AR34-Summary!$G$20,"")</f>
        <v/>
      </c>
      <c r="AU34" s="7">
        <f>IFERROR(IF(INDEX(Data!$R$2:$R$45,MATCH($A34,Data!$A$2:$A$45,0))="","",INDEX(Data!$R$2:$R$45,MATCH($A34,Data!$A$2:$A$45,0))),"")</f>
        <v/>
      </c>
      <c r="AV34" s="14">
        <f>IF(AND(ISNUMBER(AU34),ISNUMBER(Summary!$E$21)),AU34-Summary!$E$21,"")</f>
        <v/>
      </c>
      <c r="AW34" s="14">
        <f>IF(AND(ISNUMBER(AU34),ISNUMBER(Summary!$G$21)),AU34-Summary!$G$21,"")</f>
        <v/>
      </c>
      <c r="AX34" s="7">
        <f>IFERROR(IF(INDEX(Data!$S$2:$S$45,MATCH($A34,Data!$A$2:$A$45,0))="","",INDEX(Data!$S$2:$S$45,MATCH($A34,Data!$A$2:$A$45,0))),"")</f>
        <v/>
      </c>
      <c r="AY34" s="14">
        <f>IF(AND(ISNUMBER(AX34),ISNUMBER(Summary!$E$22)),AX34-Summary!$E$22,"")</f>
        <v/>
      </c>
      <c r="AZ34" s="14">
        <f>IF(AND(ISNUMBER(AX34),ISNUMBER(Summary!$G$22)),AX34-Summary!$G$22,"")</f>
        <v/>
      </c>
      <c r="BA34" s="7">
        <f>IFERROR(IF(INDEX(Data!$T$2:$T$45,MATCH($A34,Data!$A$2:$A$45,0))="","",INDEX(Data!$T$2:$T$45,MATCH($A34,Data!$A$2:$A$45,0))),"")</f>
        <v/>
      </c>
      <c r="BB34" s="14">
        <f>IF(AND(ISNUMBER(BA34),ISNUMBER(Summary!$E$23)),BA34-Summary!$E$23,"")</f>
        <v/>
      </c>
      <c r="BC34" s="14">
        <f>IF(AND(ISNUMBER(BA34),ISNUMBER(Summary!$G$23)),BA34-Summary!$G$23,"")</f>
        <v/>
      </c>
      <c r="BD34" s="7">
        <f>IFERROR(IF(INDEX(Data!$U$2:$U$45,MATCH($A34,Data!$A$2:$A$45,0))="","",INDEX(Data!$U$2:$U$45,MATCH($A34,Data!$A$2:$A$45,0))),"")</f>
        <v/>
      </c>
      <c r="BE34" s="14">
        <f>IF(AND(ISNUMBER(BD34),ISNUMBER(Summary!$E$24)),BD34-Summary!$E$24,"")</f>
        <v/>
      </c>
      <c r="BF34" s="14">
        <f>IF(AND(ISNUMBER(BD34),ISNUMBER(Summary!$G$24)),BD34-Summary!$G$24,"")</f>
        <v/>
      </c>
      <c r="BG34" s="7">
        <f>IFERROR(IF(INDEX(Data!$V$2:$V$45,MATCH($A34,Data!$A$2:$A$45,0))="","",INDEX(Data!$V$2:$V$45,MATCH($A34,Data!$A$2:$A$45,0))),"")</f>
        <v/>
      </c>
      <c r="BH34" s="14">
        <f>IF(AND(ISNUMBER(BG34),ISNUMBER(Summary!$E$25)),BG34-Summary!$E$25,"")</f>
        <v/>
      </c>
      <c r="BI34" s="14">
        <f>IF(AND(ISNUMBER(BG34),ISNUMBER(Summary!$G$25)),BG34-Summary!$G$25,"")</f>
        <v/>
      </c>
      <c r="BJ34" s="7">
        <f>IFERROR(IF(INDEX(Data!$W$2:$W$45,MATCH($A34,Data!$A$2:$A$45,0))="","",INDEX(Data!$W$2:$W$45,MATCH($A34,Data!$A$2:$A$45,0))),"")</f>
        <v/>
      </c>
      <c r="BK34" s="14">
        <f>IF(AND(ISNUMBER(BJ34),ISNUMBER(Summary!$E$26)),BJ34-Summary!$E$26,"")</f>
        <v/>
      </c>
      <c r="BL34" s="14">
        <f>IF(AND(ISNUMBER(BJ34),ISNUMBER(Summary!$G$26)),BJ34-Summary!$G$26,"")</f>
        <v/>
      </c>
      <c r="BM34" s="7">
        <f>IFERROR(IF(INDEX(Data!$X$2:$X$45,MATCH($A34,Data!$A$2:$A$45,0))="","",INDEX(Data!$X$2:$X$45,MATCH($A34,Data!$A$2:$A$45,0))),"")</f>
        <v/>
      </c>
      <c r="BN34" s="14">
        <f>IF(AND(ISNUMBER(BM34),ISNUMBER(Summary!$E$27)),BM34-Summary!$E$27,"")</f>
        <v/>
      </c>
      <c r="BO34" s="14">
        <f>IF(AND(ISNUMBER(BM34),ISNUMBER(Summary!$G$27)),BM34-Summary!$G$27,"")</f>
        <v/>
      </c>
      <c r="BP34" s="7">
        <f>IFERROR(IF(INDEX(Data!$Y$2:$Y$45,MATCH($A34,Data!$A$2:$A$45,0))="","",INDEX(Data!$Y$2:$Y$45,MATCH($A34,Data!$A$2:$A$45,0))),"")</f>
        <v/>
      </c>
      <c r="BQ34" s="14">
        <f>IF(AND(ISNUMBER(BP34),ISNUMBER(Summary!$E$28)),BP34-Summary!$E$28,"")</f>
        <v/>
      </c>
      <c r="BR34" s="14">
        <f>IF(AND(ISNUMBER(BP34),ISNUMBER(Summary!$G$28)),BP34-Summary!$G$28,"")</f>
        <v/>
      </c>
      <c r="BS34" s="7">
        <f>IFERROR(IF(INDEX(Data!$Z$2:$Z$45,MATCH($A34,Data!$A$2:$A$45,0))="","",INDEX(Data!$Z$2:$Z$45,MATCH($A34,Data!$A$2:$A$45,0))),"")</f>
        <v/>
      </c>
      <c r="BT34" s="14">
        <f>IF(AND(ISNUMBER(BS34),ISNUMBER(Summary!$E$29)),BS34-Summary!$E$29,"")</f>
        <v/>
      </c>
      <c r="BU34" s="14">
        <f>IF(AND(ISNUMBER(BS34),ISNUMBER(Summary!$G$29)),BS34-Summary!$G$29,"")</f>
        <v/>
      </c>
      <c r="BV34" s="7">
        <f>IFERROR(IF(INDEX(Data!$AA$2:$AA$45,MATCH($A34,Data!$A$2:$A$45,0))="","",INDEX(Data!$AA$2:$AA$45,MATCH($A34,Data!$A$2:$A$45,0))),"")</f>
        <v/>
      </c>
      <c r="BW34" s="14">
        <f>IF(AND(ISNUMBER(BV34),ISNUMBER(Summary!$E$30)),BV34-Summary!$E$30,"")</f>
        <v/>
      </c>
      <c r="BX34" s="14">
        <f>IF(AND(ISNUMBER(BV34),ISNUMBER(Summary!$G$30)),BV34-Summary!$G$30,"")</f>
        <v/>
      </c>
      <c r="BY34" s="7">
        <f>IFERROR(IF(INDEX(Data!$AB$2:$AB$45,MATCH($A34,Data!$A$2:$A$45,0))="","",INDEX(Data!$AB$2:$AB$45,MATCH($A34,Data!$A$2:$A$45,0))),"")</f>
        <v/>
      </c>
      <c r="BZ34" s="14">
        <f>IF(AND(ISNUMBER(BY34),ISNUMBER(Summary!$E$31)),BY34-Summary!$E$31,"")</f>
        <v/>
      </c>
      <c r="CA34" s="14">
        <f>IF(AND(ISNUMBER(BY34),ISNUMBER(Summary!$G$31)),BY34-Summary!$G$31,"")</f>
        <v/>
      </c>
      <c r="CB34" s="7">
        <f>IFERROR(IF(INDEX(Data!$AC$2:$AC$45,MATCH($A34,Data!$A$2:$A$45,0))="","",INDEX(Data!$AC$2:$AC$45,MATCH($A34,Data!$A$2:$A$45,0))),"")</f>
        <v/>
      </c>
      <c r="CC34" s="14">
        <f>IF(AND(ISNUMBER(CB34),ISNUMBER(Summary!$E$32)),CB34-Summary!$E$32,"")</f>
        <v/>
      </c>
      <c r="CD34" s="14">
        <f>IF(AND(ISNUMBER(CB34),ISNUMBER(Summary!$G$32)),CB34-Summary!$G$32,"")</f>
        <v/>
      </c>
      <c r="CE34" s="7">
        <f>IFERROR(IF(INDEX(Data!$AD$2:$AD$45,MATCH($A34,Data!$A$2:$A$45,0))="","",INDEX(Data!$AD$2:$AD$45,MATCH($A34,Data!$A$2:$A$45,0))),"")</f>
        <v/>
      </c>
      <c r="CF34" s="14">
        <f>IF(AND(ISNUMBER(CE34),ISNUMBER(Summary!$E$33)),CE34-Summary!$E$33,"")</f>
        <v/>
      </c>
      <c r="CG34" s="14">
        <f>IF(AND(ISNUMBER(CE34),ISNUMBER(Summary!$G$33)),CE34-Summary!$G$33,"")</f>
        <v/>
      </c>
      <c r="CH34" s="7">
        <f>IFERROR(IF(INDEX(Data!$AE$2:$AE$45,MATCH($A34,Data!$A$2:$A$45,0))="","",INDEX(Data!$AE$2:$AE$45,MATCH($A34,Data!$A$2:$A$45,0))),"")</f>
        <v/>
      </c>
      <c r="CI34" s="14">
        <f>IF(AND(ISNUMBER(CH34),ISNUMBER(Summary!$E$34)),CH34-Summary!$E$34,"")</f>
        <v/>
      </c>
      <c r="CJ34" s="14">
        <f>IF(AND(ISNUMBER(CH34),ISNUMBER(Summary!$G$34)),CH34-Summary!$G$34,"")</f>
        <v/>
      </c>
      <c r="CK34" s="7">
        <f>IFERROR(IF(INDEX(Data!$AF$2:$AF$45,MATCH($A34,Data!$A$2:$A$45,0))="","",INDEX(Data!$AF$2:$AF$45,MATCH($A34,Data!$A$2:$A$45,0))),"")</f>
        <v/>
      </c>
      <c r="CL34" s="14">
        <f>IF(AND(ISNUMBER(CK34),ISNUMBER(Summary!$E$35)),CK34-Summary!$E$35,"")</f>
        <v/>
      </c>
      <c r="CM34" s="14">
        <f>IF(AND(ISNUMBER(CK34),ISNUMBER(Summary!$G$35)),CK34-Summary!$G$35,"")</f>
        <v/>
      </c>
      <c r="CN34" s="7">
        <f>IFERROR(IF(INDEX(Data!$AG$2:$AG$45,MATCH($A34,Data!$A$2:$A$45,0))="","",INDEX(Data!$AG$2:$AG$45,MATCH($A34,Data!$A$2:$A$45,0))),"")</f>
        <v/>
      </c>
      <c r="CO34" s="14">
        <f>IF(AND(ISNUMBER(CN34),ISNUMBER(Summary!$E$36)),CN34-Summary!$E$36,"")</f>
        <v/>
      </c>
      <c r="CP34" s="14">
        <f>IF(AND(ISNUMBER(CN34),ISNUMBER(Summary!$G$36)),CN34-Summary!$G$36,"")</f>
        <v/>
      </c>
      <c r="CQ34" s="7">
        <f>IFERROR(IF(INDEX(Data!$AH$2:$AH$45,MATCH($A34,Data!$A$2:$A$45,0))="","",INDEX(Data!$AH$2:$AH$45,MATCH($A34,Data!$A$2:$A$45,0))),"")</f>
        <v/>
      </c>
      <c r="CR34" s="14">
        <f>IF(AND(ISNUMBER(CQ34),ISNUMBER(Summary!$E$37)),CQ34-Summary!$E$37,"")</f>
        <v/>
      </c>
      <c r="CS34" s="14">
        <f>IF(AND(ISNUMBER(CQ34),ISNUMBER(Summary!$G$37)),CQ34-Summary!$G$37,"")</f>
        <v/>
      </c>
      <c r="CT34" s="7">
        <f>IFERROR(IF(INDEX(Data!$AI$2:$AI$45,MATCH($A34,Data!$A$2:$A$45,0))="","",INDEX(Data!$AI$2:$AI$45,MATCH($A34,Data!$A$2:$A$45,0))),"")</f>
        <v/>
      </c>
      <c r="CU34" s="14">
        <f>IF(AND(ISNUMBER(CT34),ISNUMBER(Summary!$E$38)),CT34-Summary!$E$38,"")</f>
        <v/>
      </c>
      <c r="CV34" s="14">
        <f>IF(AND(ISNUMBER(CT34),ISNUMBER(Summary!$G$38)),CT34-Summary!$G$38,"")</f>
        <v/>
      </c>
    </row>
  </sheetData>
  <conditionalFormatting sqref="D5:D34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34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34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34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34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34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34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34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34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34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34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34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34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34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34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34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34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34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34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34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34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34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34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34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34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34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34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34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34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34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34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34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34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736"/>
  <sheetViews>
    <sheetView workbookViewId="0">
      <pane xSplit="4" ySplit="15" topLeftCell="E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8" customWidth="1" min="4" max="4"/>
    <col width="13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>
      <c r="A1" s="1" t="inlineStr">
        <is>
          <t>Historical: every settled day, the fundamentals as the model sees them, and what the pool did</t>
        </is>
      </c>
    </row>
    <row r="2">
      <c r="A2" s="4" t="inlineStr">
        <is>
          <t>Same feeds and definitions as the Data tab. Blue = written by the script. Change the yellow cells to pull the days that looked like the one you are trading; the Match column marks them (filter on it).</t>
        </is>
      </c>
    </row>
    <row r="3">
      <c r="F3" s="3" t="inlineStr">
        <is>
          <t>Days that matched</t>
        </is>
      </c>
      <c r="I3" s="3" t="inlineStr">
        <is>
          <t>The days it matched (newest first)</t>
        </is>
      </c>
    </row>
    <row r="4">
      <c r="A4" s="2" t="inlineStr">
        <is>
          <t>Cushion, tightest HE8-23 (MW)</t>
        </is>
      </c>
      <c r="C4" s="10">
        <f>Summary!D19</f>
        <v/>
      </c>
      <c r="D4" s="9" t="inlineStr">
        <is>
          <t>defaults to tomorrow from Summary; overwrite</t>
        </is>
      </c>
      <c r="F4" s="2" t="inlineStr">
        <is>
          <t>Days</t>
        </is>
      </c>
      <c r="G4" s="28">
        <f>COUNTIF($C$16:$C$736,1)</f>
        <v/>
      </c>
      <c r="I4" s="26" t="inlineStr">
        <is>
          <t>#</t>
        </is>
      </c>
      <c r="J4" s="26" t="inlineStr">
        <is>
          <t>Date</t>
        </is>
      </c>
      <c r="K4" s="26" t="inlineStr">
        <is>
          <t>Avg price</t>
        </is>
      </c>
      <c r="L4" s="26" t="inlineStr">
        <is>
          <t>HL</t>
        </is>
      </c>
      <c r="M4" s="26" t="inlineStr">
        <is>
          <t>LL</t>
        </is>
      </c>
      <c r="N4" s="26" t="inlineStr">
        <is>
          <t>Cushion tightest</t>
        </is>
      </c>
      <c r="O4" s="26" t="inlineStr">
        <is>
          <t>Max temp</t>
        </is>
      </c>
      <c r="P4" s="26" t="inlineStr">
        <is>
          <t>Wind CF %</t>
        </is>
      </c>
      <c r="Q4" s="26" t="inlineStr">
        <is>
          <t>Calm / Windy</t>
        </is>
      </c>
    </row>
    <row r="5">
      <c r="A5" s="2" t="inlineStr">
        <is>
          <t>Cushion band, +/- (MW)</t>
        </is>
      </c>
      <c r="C5" s="10" t="n">
        <v>300</v>
      </c>
      <c r="D5" s="9" t="inlineStr"/>
      <c r="F5" s="2" t="inlineStr">
        <is>
          <t>Avg price 7x24</t>
        </is>
      </c>
      <c r="G5" s="8">
        <f>IFERROR(AVERAGEIFS($E$16:$E$736,$C$16:$C$736,1),"")</f>
        <v/>
      </c>
      <c r="I5" s="29" t="n">
        <v>1</v>
      </c>
      <c r="J5" s="27">
        <f>IFERROR(INDEX($A$16:$A$736,MATCH(I5,$D$16:$D$736,0)),"")</f>
        <v/>
      </c>
      <c r="K5" s="14">
        <f>IFERROR(INDEX($E$16:$E$736,MATCH($I5,$D$16:$D$736,0)),"")</f>
        <v/>
      </c>
      <c r="L5" s="14">
        <f>IFERROR(INDEX($F$16:$F$736,MATCH($I5,$D$16:$D$736,0)),"")</f>
        <v/>
      </c>
      <c r="M5" s="14">
        <f>IFERROR(INDEX($G$16:$G$736,MATCH($I5,$D$16:$D$736,0)),"")</f>
        <v/>
      </c>
      <c r="N5" s="14">
        <f>IFERROR(INDEX($W$16:$W$736,MATCH($I5,$D$16:$D$736,0)),"")</f>
        <v/>
      </c>
      <c r="O5" s="14">
        <f>IFERROR(INDEX($H$16:$H$736,MATCH($I5,$D$16:$D$736,0)),"")</f>
        <v/>
      </c>
      <c r="P5" s="14">
        <f>IFERROR(INDEX($O$16:$O$736,MATCH($I5,$D$16:$D$736,0)),"")</f>
        <v/>
      </c>
      <c r="Q5" s="30">
        <f>IFERROR(INDEX($P$16:$P$736,MATCH($I5,$D$16:$D$736,0)),"")</f>
        <v/>
      </c>
    </row>
    <row r="6">
      <c r="A6" s="2" t="inlineStr">
        <is>
          <t>Month (1-12)</t>
        </is>
      </c>
      <c r="C6" s="10">
        <f>MONTH(Summary!$D$2)</f>
        <v/>
      </c>
      <c r="D6" s="9" t="inlineStr">
        <is>
          <t>defaults to tomorrow</t>
        </is>
      </c>
      <c r="F6" s="2" t="inlineStr">
        <is>
          <t>Avg HL</t>
        </is>
      </c>
      <c r="G6" s="8">
        <f>IFERROR(AVERAGEIFS($F$16:$F$736,$C$16:$C$736,1),"")</f>
        <v/>
      </c>
      <c r="I6" s="29" t="n">
        <v>2</v>
      </c>
      <c r="J6" s="27">
        <f>IFERROR(INDEX($A$16:$A$736,MATCH(I6,$D$16:$D$736,0)),"")</f>
        <v/>
      </c>
      <c r="K6" s="14">
        <f>IFERROR(INDEX($E$16:$E$736,MATCH($I6,$D$16:$D$736,0)),"")</f>
        <v/>
      </c>
      <c r="L6" s="14">
        <f>IFERROR(INDEX($F$16:$F$736,MATCH($I6,$D$16:$D$736,0)),"")</f>
        <v/>
      </c>
      <c r="M6" s="14">
        <f>IFERROR(INDEX($G$16:$G$736,MATCH($I6,$D$16:$D$736,0)),"")</f>
        <v/>
      </c>
      <c r="N6" s="14">
        <f>IFERROR(INDEX($W$16:$W$736,MATCH($I6,$D$16:$D$736,0)),"")</f>
        <v/>
      </c>
      <c r="O6" s="14">
        <f>IFERROR(INDEX($H$16:$H$736,MATCH($I6,$D$16:$D$736,0)),"")</f>
        <v/>
      </c>
      <c r="P6" s="14">
        <f>IFERROR(INDEX($O$16:$O$736,MATCH($I6,$D$16:$D$736,0)),"")</f>
        <v/>
      </c>
      <c r="Q6" s="30">
        <f>IFERROR(INDEX($P$16:$P$736,MATCH($I6,$D$16:$D$736,0)),"")</f>
        <v/>
      </c>
    </row>
    <row r="7">
      <c r="A7" s="2" t="inlineStr">
        <is>
          <t>Months either side</t>
        </is>
      </c>
      <c r="C7" s="10" t="n">
        <v>1</v>
      </c>
      <c r="D7" s="9" t="inlineStr">
        <is>
          <t>0 = same month only</t>
        </is>
      </c>
      <c r="F7" s="2" t="inlineStr">
        <is>
          <t>Avg LL</t>
        </is>
      </c>
      <c r="G7" s="8">
        <f>IFERROR(AVERAGEIFS($G$16:$G$736,$C$16:$C$736,1),"")</f>
        <v/>
      </c>
      <c r="I7" s="29" t="n">
        <v>3</v>
      </c>
      <c r="J7" s="27">
        <f>IFERROR(INDEX($A$16:$A$736,MATCH(I7,$D$16:$D$736,0)),"")</f>
        <v/>
      </c>
      <c r="K7" s="14">
        <f>IFERROR(INDEX($E$16:$E$736,MATCH($I7,$D$16:$D$736,0)),"")</f>
        <v/>
      </c>
      <c r="L7" s="14">
        <f>IFERROR(INDEX($F$16:$F$736,MATCH($I7,$D$16:$D$736,0)),"")</f>
        <v/>
      </c>
      <c r="M7" s="14">
        <f>IFERROR(INDEX($G$16:$G$736,MATCH($I7,$D$16:$D$736,0)),"")</f>
        <v/>
      </c>
      <c r="N7" s="14">
        <f>IFERROR(INDEX($W$16:$W$736,MATCH($I7,$D$16:$D$736,0)),"")</f>
        <v/>
      </c>
      <c r="O7" s="14">
        <f>IFERROR(INDEX($H$16:$H$736,MATCH($I7,$D$16:$D$736,0)),"")</f>
        <v/>
      </c>
      <c r="P7" s="14">
        <f>IFERROR(INDEX($O$16:$O$736,MATCH($I7,$D$16:$D$736,0)),"")</f>
        <v/>
      </c>
      <c r="Q7" s="30">
        <f>IFERROR(INDEX($P$16:$P$736,MATCH($I7,$D$16:$D$736,0)),"")</f>
        <v/>
      </c>
    </row>
    <row r="8">
      <c r="A8" s="2" t="inlineStr">
        <is>
          <t>Wind (Any / Calm / Windy)</t>
        </is>
      </c>
      <c r="C8" s="10" t="inlineStr">
        <is>
          <t>Any</t>
        </is>
      </c>
      <c r="D8" s="9" t="inlineStr">
        <is>
          <t>Calm = capacity factor below 16%</t>
        </is>
      </c>
      <c r="F8" s="2" t="inlineStr">
        <is>
          <t>Highest avg price</t>
        </is>
      </c>
      <c r="G8" s="8">
        <f>IFERROR(_xlfn.MAXIFS($E$16:$E$736,$C$16:$C$736,1),"")</f>
        <v/>
      </c>
      <c r="I8" s="29" t="n">
        <v>4</v>
      </c>
      <c r="J8" s="27">
        <f>IFERROR(INDEX($A$16:$A$736,MATCH(I8,$D$16:$D$736,0)),"")</f>
        <v/>
      </c>
      <c r="K8" s="14">
        <f>IFERROR(INDEX($E$16:$E$736,MATCH($I8,$D$16:$D$736,0)),"")</f>
        <v/>
      </c>
      <c r="L8" s="14">
        <f>IFERROR(INDEX($F$16:$F$736,MATCH($I8,$D$16:$D$736,0)),"")</f>
        <v/>
      </c>
      <c r="M8" s="14">
        <f>IFERROR(INDEX($G$16:$G$736,MATCH($I8,$D$16:$D$736,0)),"")</f>
        <v/>
      </c>
      <c r="N8" s="14">
        <f>IFERROR(INDEX($W$16:$W$736,MATCH($I8,$D$16:$D$736,0)),"")</f>
        <v/>
      </c>
      <c r="O8" s="14">
        <f>IFERROR(INDEX($H$16:$H$736,MATCH($I8,$D$16:$D$736,0)),"")</f>
        <v/>
      </c>
      <c r="P8" s="14">
        <f>IFERROR(INDEX($O$16:$O$736,MATCH($I8,$D$16:$D$736,0)),"")</f>
        <v/>
      </c>
      <c r="Q8" s="30">
        <f>IFERROR(INDEX($P$16:$P$736,MATCH($I8,$D$16:$D$736,0)),"")</f>
        <v/>
      </c>
    </row>
    <row r="9">
      <c r="F9" s="2" t="inlineStr">
        <is>
          <t>Lowest avg price</t>
        </is>
      </c>
      <c r="G9" s="8">
        <f>IFERROR(_xlfn.MINIFS($E$16:$E$736,$C$16:$C$736,1),"")</f>
        <v/>
      </c>
      <c r="I9" s="29" t="n">
        <v>5</v>
      </c>
      <c r="J9" s="27">
        <f>IFERROR(INDEX($A$16:$A$736,MATCH(I9,$D$16:$D$736,0)),"")</f>
        <v/>
      </c>
      <c r="K9" s="14">
        <f>IFERROR(INDEX($E$16:$E$736,MATCH($I9,$D$16:$D$736,0)),"")</f>
        <v/>
      </c>
      <c r="L9" s="14">
        <f>IFERROR(INDEX($F$16:$F$736,MATCH($I9,$D$16:$D$736,0)),"")</f>
        <v/>
      </c>
      <c r="M9" s="14">
        <f>IFERROR(INDEX($G$16:$G$736,MATCH($I9,$D$16:$D$736,0)),"")</f>
        <v/>
      </c>
      <c r="N9" s="14">
        <f>IFERROR(INDEX($W$16:$W$736,MATCH($I9,$D$16:$D$736,0)),"")</f>
        <v/>
      </c>
      <c r="O9" s="14">
        <f>IFERROR(INDEX($H$16:$H$736,MATCH($I9,$D$16:$D$736,0)),"")</f>
        <v/>
      </c>
      <c r="P9" s="14">
        <f>IFERROR(INDEX($O$16:$O$736,MATCH($I9,$D$16:$D$736,0)),"")</f>
        <v/>
      </c>
      <c r="Q9" s="30">
        <f>IFERROR(INDEX($P$16:$P$736,MATCH($I9,$D$16:$D$736,0)),"")</f>
        <v/>
      </c>
    </row>
    <row r="10">
      <c r="F10" s="2" t="inlineStr">
        <is>
          <t>Avg cushion, tightest</t>
        </is>
      </c>
      <c r="G10" s="31">
        <f>IFERROR(AVERAGEIFS($W$16:$W$736,$C$16:$C$736,1),"")</f>
        <v/>
      </c>
      <c r="I10" s="29" t="n">
        <v>6</v>
      </c>
      <c r="J10" s="27">
        <f>IFERROR(INDEX($A$16:$A$736,MATCH(I10,$D$16:$D$736,0)),"")</f>
        <v/>
      </c>
      <c r="K10" s="14">
        <f>IFERROR(INDEX($E$16:$E$736,MATCH($I10,$D$16:$D$736,0)),"")</f>
        <v/>
      </c>
      <c r="L10" s="14">
        <f>IFERROR(INDEX($F$16:$F$736,MATCH($I10,$D$16:$D$736,0)),"")</f>
        <v/>
      </c>
      <c r="M10" s="14">
        <f>IFERROR(INDEX($G$16:$G$736,MATCH($I10,$D$16:$D$736,0)),"")</f>
        <v/>
      </c>
      <c r="N10" s="14">
        <f>IFERROR(INDEX($W$16:$W$736,MATCH($I10,$D$16:$D$736,0)),"")</f>
        <v/>
      </c>
      <c r="O10" s="14">
        <f>IFERROR(INDEX($H$16:$H$736,MATCH($I10,$D$16:$D$736,0)),"")</f>
        <v/>
      </c>
      <c r="P10" s="14">
        <f>IFERROR(INDEX($O$16:$O$736,MATCH($I10,$D$16:$D$736,0)),"")</f>
        <v/>
      </c>
      <c r="Q10" s="30">
        <f>IFERROR(INDEX($P$16:$P$736,MATCH($I10,$D$16:$D$736,0)),"")</f>
        <v/>
      </c>
    </row>
    <row r="11">
      <c r="F11" s="2" t="inlineStr">
        <is>
          <t>Avg max temp</t>
        </is>
      </c>
      <c r="G11" s="32">
        <f>IFERROR(AVERAGEIFS($H$16:$H$736,$C$16:$C$736,1),"")</f>
        <v/>
      </c>
      <c r="I11" s="29" t="n">
        <v>7</v>
      </c>
      <c r="J11" s="27">
        <f>IFERROR(INDEX($A$16:$A$736,MATCH(I11,$D$16:$D$736,0)),"")</f>
        <v/>
      </c>
      <c r="K11" s="14">
        <f>IFERROR(INDEX($E$16:$E$736,MATCH($I11,$D$16:$D$736,0)),"")</f>
        <v/>
      </c>
      <c r="L11" s="14">
        <f>IFERROR(INDEX($F$16:$F$736,MATCH($I11,$D$16:$D$736,0)),"")</f>
        <v/>
      </c>
      <c r="M11" s="14">
        <f>IFERROR(INDEX($G$16:$G$736,MATCH($I11,$D$16:$D$736,0)),"")</f>
        <v/>
      </c>
      <c r="N11" s="14">
        <f>IFERROR(INDEX($W$16:$W$736,MATCH($I11,$D$16:$D$736,0)),"")</f>
        <v/>
      </c>
      <c r="O11" s="14">
        <f>IFERROR(INDEX($H$16:$H$736,MATCH($I11,$D$16:$D$736,0)),"")</f>
        <v/>
      </c>
      <c r="P11" s="14">
        <f>IFERROR(INDEX($O$16:$O$736,MATCH($I11,$D$16:$D$736,0)),"")</f>
        <v/>
      </c>
      <c r="Q11" s="30">
        <f>IFERROR(INDEX($P$16:$P$736,MATCH($I11,$D$16:$D$736,0)),"")</f>
        <v/>
      </c>
    </row>
    <row r="12">
      <c r="I12" s="29" t="n">
        <v>8</v>
      </c>
      <c r="J12" s="27">
        <f>IFERROR(INDEX($A$16:$A$736,MATCH(I12,$D$16:$D$736,0)),"")</f>
        <v/>
      </c>
      <c r="K12" s="14">
        <f>IFERROR(INDEX($E$16:$E$736,MATCH($I12,$D$16:$D$736,0)),"")</f>
        <v/>
      </c>
      <c r="L12" s="14">
        <f>IFERROR(INDEX($F$16:$F$736,MATCH($I12,$D$16:$D$736,0)),"")</f>
        <v/>
      </c>
      <c r="M12" s="14">
        <f>IFERROR(INDEX($G$16:$G$736,MATCH($I12,$D$16:$D$736,0)),"")</f>
        <v/>
      </c>
      <c r="N12" s="14">
        <f>IFERROR(INDEX($W$16:$W$736,MATCH($I12,$D$16:$D$736,0)),"")</f>
        <v/>
      </c>
      <c r="O12" s="14">
        <f>IFERROR(INDEX($H$16:$H$736,MATCH($I12,$D$16:$D$736,0)),"")</f>
        <v/>
      </c>
      <c r="P12" s="14">
        <f>IFERROR(INDEX($O$16:$O$736,MATCH($I12,$D$16:$D$736,0)),"")</f>
        <v/>
      </c>
      <c r="Q12" s="30">
        <f>IFERROR(INDEX($P$16:$P$736,MATCH($I12,$D$16:$D$736,0)),"")</f>
        <v/>
      </c>
    </row>
    <row r="13">
      <c r="A13" s="9" t="inlineStr">
        <is>
          <t>Analog avg = the average 7x24 price of the other days in the same calendar month with a tightest cushion within the band above. Anomaly = this day minus that.</t>
        </is>
      </c>
      <c r="I13" s="29" t="n">
        <v>9</v>
      </c>
      <c r="J13" s="27">
        <f>IFERROR(INDEX($A$16:$A$736,MATCH(I13,$D$16:$D$736,0)),"")</f>
        <v/>
      </c>
      <c r="K13" s="14">
        <f>IFERROR(INDEX($E$16:$E$736,MATCH($I13,$D$16:$D$736,0)),"")</f>
        <v/>
      </c>
      <c r="L13" s="14">
        <f>IFERROR(INDEX($F$16:$F$736,MATCH($I13,$D$16:$D$736,0)),"")</f>
        <v/>
      </c>
      <c r="M13" s="14">
        <f>IFERROR(INDEX($G$16:$G$736,MATCH($I13,$D$16:$D$736,0)),"")</f>
        <v/>
      </c>
      <c r="N13" s="14">
        <f>IFERROR(INDEX($W$16:$W$736,MATCH($I13,$D$16:$D$736,0)),"")</f>
        <v/>
      </c>
      <c r="O13" s="14">
        <f>IFERROR(INDEX($H$16:$H$736,MATCH($I13,$D$16:$D$736,0)),"")</f>
        <v/>
      </c>
      <c r="P13" s="14">
        <f>IFERROR(INDEX($O$16:$O$736,MATCH($I13,$D$16:$D$736,0)),"")</f>
        <v/>
      </c>
      <c r="Q13" s="30">
        <f>IFERROR(INDEX($P$16:$P$736,MATCH($I13,$D$16:$D$736,0)),"")</f>
        <v/>
      </c>
    </row>
    <row r="14">
      <c r="I14" s="29" t="n">
        <v>10</v>
      </c>
      <c r="J14" s="27">
        <f>IFERROR(INDEX($A$16:$A$736,MATCH(I14,$D$16:$D$736,0)),"")</f>
        <v/>
      </c>
      <c r="K14" s="14">
        <f>IFERROR(INDEX($E$16:$E$736,MATCH($I14,$D$16:$D$736,0)),"")</f>
        <v/>
      </c>
      <c r="L14" s="14">
        <f>IFERROR(INDEX($F$16:$F$736,MATCH($I14,$D$16:$D$736,0)),"")</f>
        <v/>
      </c>
      <c r="M14" s="14">
        <f>IFERROR(INDEX($G$16:$G$736,MATCH($I14,$D$16:$D$736,0)),"")</f>
        <v/>
      </c>
      <c r="N14" s="14">
        <f>IFERROR(INDEX($W$16:$W$736,MATCH($I14,$D$16:$D$736,0)),"")</f>
        <v/>
      </c>
      <c r="O14" s="14">
        <f>IFERROR(INDEX($H$16:$H$736,MATCH($I14,$D$16:$D$736,0)),"")</f>
        <v/>
      </c>
      <c r="P14" s="14">
        <f>IFERROR(INDEX($O$16:$O$736,MATCH($I14,$D$16:$D$736,0)),"")</f>
        <v/>
      </c>
      <c r="Q14" s="30">
        <f>IFERROR(INDEX($P$16:$P$736,MATCH($I14,$D$16:$D$736,0)),"")</f>
        <v/>
      </c>
    </row>
    <row r="15" ht="60" customHeight="1">
      <c r="A15" s="33" t="inlineStr">
        <is>
          <t>Date</t>
        </is>
      </c>
      <c r="B15" s="33" t="inlineStr">
        <is>
          <t>Month</t>
        </is>
      </c>
      <c r="C15" s="33" t="inlineStr">
        <is>
          <t>Match</t>
        </is>
      </c>
      <c r="D15" s="33" t="inlineStr">
        <is>
          <t>Match #</t>
        </is>
      </c>
      <c r="E15" s="33" t="inlineStr">
        <is>
          <t>Avg price 7x24 ($/MWh)</t>
        </is>
      </c>
      <c r="F15" s="33" t="inlineStr">
        <is>
          <t>HL price HE8-23 ($/MWh)</t>
        </is>
      </c>
      <c r="G15" s="33" t="inlineStr">
        <is>
          <t>LL price HE1-7, 24 ($/MWh)</t>
        </is>
      </c>
      <c r="H15" s="33" t="inlineStr">
        <is>
          <t>Max temp, province avg (C)</t>
        </is>
      </c>
      <c r="I15" s="34" t="inlineStr">
        <is>
          <t>Mean temp, province avg (C)</t>
        </is>
      </c>
      <c r="J15" s="35" t="inlineStr">
        <is>
          <t>Load peak (MW)</t>
        </is>
      </c>
      <c r="K15" s="36" t="inlineStr">
        <is>
          <t>Load HE8-23 avg (MW)</t>
        </is>
      </c>
      <c r="L15" s="36" t="inlineStr">
        <is>
          <t>Wind HE8-23 avg (MW)</t>
        </is>
      </c>
      <c r="M15" s="36" t="inlineStr">
        <is>
          <t>Wind daily avg (MW)</t>
        </is>
      </c>
      <c r="N15" s="36" t="inlineStr">
        <is>
          <t>Wind capacity, rolling max (MW)</t>
        </is>
      </c>
      <c r="O15" s="36" t="inlineStr">
        <is>
          <t>Wind capacity factor (%)</t>
        </is>
      </c>
      <c r="P15" s="36" t="inlineStr">
        <is>
          <t>Calm / Windy</t>
        </is>
      </c>
      <c r="Q15" s="37" t="inlineStr">
        <is>
          <t>Solar daily max (MW)</t>
        </is>
      </c>
      <c r="R15" s="33" t="inlineStr">
        <is>
          <t>Hydro daily avg (MW)</t>
        </is>
      </c>
      <c r="S15" s="33" t="inlineStr">
        <is>
          <t>Net imports daily avg (MW)</t>
        </is>
      </c>
      <c r="T15" s="33" t="inlineStr">
        <is>
          <t>Baseload gas available HE8-23 (MW)</t>
        </is>
      </c>
      <c r="U15" s="33" t="inlineStr">
        <is>
          <t>Simple cycle available HE8-23 (MW)</t>
        </is>
      </c>
      <c r="V15" s="33" t="inlineStr">
        <is>
          <t>Largest hourly drop in baseload gas (MW)</t>
        </is>
      </c>
      <c r="W15" s="33" t="inlineStr">
        <is>
          <t>Cushion, tightest HE8-23 (MW)</t>
        </is>
      </c>
      <c r="X15" s="33" t="inlineStr">
        <is>
          <t>Cushion HE8-23 avg (MW)</t>
        </is>
      </c>
      <c r="Y15" s="33" t="inlineStr">
        <is>
          <t>Thermal remaining, tightest HE8-23 (MW)</t>
        </is>
      </c>
      <c r="Z15" s="33" t="inlineStr">
        <is>
          <t>AB-NIT gas ($/GJ)</t>
        </is>
      </c>
      <c r="AA15" s="33" t="inlineStr">
        <is>
          <t>Mid-C (USD/MWh)</t>
        </is>
      </c>
      <c r="AB15" s="33" t="inlineStr">
        <is>
          <t>Wind at 100 m HE8-23 (km/h)</t>
        </is>
      </c>
      <c r="AC15" s="33" t="inlineStr">
        <is>
          <t>Analog avg 7x24 ($/MWh)</t>
        </is>
      </c>
      <c r="AD15" s="33" t="inlineStr">
        <is>
          <t>Anomaly vs analogs ($/MWh)</t>
        </is>
      </c>
    </row>
    <row r="16">
      <c r="A16" s="17" t="n">
        <v>46293</v>
      </c>
      <c r="B16" s="29">
        <f>MONTH(A16)</f>
        <v/>
      </c>
      <c r="C16" s="29">
        <f>IF(AND(ISNUMBER(W16),ISNUMBER($C$4),ABS(W16-$C$4)&lt;=$C$5,ABS(MOD(B16-$C$6+6,12)-6)&lt;=$C$7,OR($C$8="Any",P16=$C$8)),1,0)</f>
        <v/>
      </c>
      <c r="D16" s="29">
        <f>IF(C16=1,COUNTIF($C$16:C16,1),"")</f>
        <v/>
      </c>
      <c r="E16" s="18" t="n">
        <v>32.04</v>
      </c>
      <c r="F16" s="18" t="n">
        <v>30.09</v>
      </c>
      <c r="G16" s="18" t="n">
        <v>35.93</v>
      </c>
      <c r="H16" s="38" t="n">
        <v>17.9</v>
      </c>
      <c r="I16" s="38" t="n">
        <v>9.52</v>
      </c>
      <c r="J16" s="13" t="n">
        <v>10565</v>
      </c>
      <c r="K16" s="13" t="n">
        <v>10256.62</v>
      </c>
      <c r="L16" s="13" t="n">
        <v>1971.56</v>
      </c>
      <c r="M16" s="13" t="n">
        <v>1804.21</v>
      </c>
      <c r="N16" s="13" t="n">
        <v>4437</v>
      </c>
      <c r="O16" s="38" t="n">
        <v>40.66</v>
      </c>
      <c r="P16" s="39" t="inlineStr">
        <is>
          <t>Windy</t>
        </is>
      </c>
      <c r="Q16" s="13" t="n">
        <v>1635</v>
      </c>
      <c r="R16" s="13" t="n">
        <v>813.16</v>
      </c>
      <c r="S16" s="13" t="n">
        <v>-346.75</v>
      </c>
      <c r="T16" s="13" t="n">
        <v>8828.41</v>
      </c>
      <c r="U16" s="13" t="n">
        <v>718.23</v>
      </c>
      <c r="V16" s="13" t="n">
        <v>44.36</v>
      </c>
      <c r="W16" s="13" t="n">
        <v>879.91</v>
      </c>
      <c r="X16" s="13" t="n">
        <v>1917.06</v>
      </c>
      <c r="Y16" s="13" t="n">
        <v>1186.92</v>
      </c>
      <c r="Z16" s="19" t="n"/>
      <c r="AA16" s="18" t="n"/>
      <c r="AB16" s="38" t="n">
        <v>22.13</v>
      </c>
      <c r="AC16" s="14">
        <f>IFERROR(AVERAGEIFS($E$16:$E$736,$W$16:$W$736,"&gt;="&amp;W16-$C$5,$W$16:$W$736,"&lt;="&amp;W16+$C$5,$B$16:$B$736,B16,$A$16:$A$736,"&lt;&gt;"&amp;A16),"")</f>
        <v/>
      </c>
      <c r="AD16" s="14">
        <f>IF(AND(ISNUMBER(E16),ISNUMBER(AC16)),E16-AC16,"")</f>
        <v/>
      </c>
    </row>
    <row r="17">
      <c r="A17" s="17" t="n">
        <v>46292</v>
      </c>
      <c r="B17" s="29">
        <f>MONTH(A17)</f>
        <v/>
      </c>
      <c r="C17" s="29">
        <f>IF(AND(ISNUMBER(W17),ISNUMBER($C$4),ABS(W17-$C$4)&lt;=$C$5,ABS(MOD(B17-$C$6+6,12)-6)&lt;=$C$7,OR($C$8="Any",P17=$C$8)),1,0)</f>
        <v/>
      </c>
      <c r="D17" s="29">
        <f>IF(C17=1,COUNTIF($C$16:C17,1),"")</f>
        <v/>
      </c>
      <c r="E17" s="18" t="n">
        <v>28.11</v>
      </c>
      <c r="F17" s="18" t="n">
        <v>27.64</v>
      </c>
      <c r="G17" s="18" t="n">
        <v>29.04</v>
      </c>
      <c r="H17" s="38" t="n">
        <v>14.7</v>
      </c>
      <c r="I17" s="38" t="n">
        <v>6.69</v>
      </c>
      <c r="J17" s="13" t="n">
        <v>10215</v>
      </c>
      <c r="K17" s="13" t="n">
        <v>9818.25</v>
      </c>
      <c r="L17" s="13" t="n">
        <v>1284.31</v>
      </c>
      <c r="M17" s="13" t="n">
        <v>1285.54</v>
      </c>
      <c r="N17" s="13" t="n">
        <v>4437</v>
      </c>
      <c r="O17" s="38" t="n">
        <v>28.97</v>
      </c>
      <c r="P17" s="39" t="inlineStr">
        <is>
          <t>Windy</t>
        </is>
      </c>
      <c r="Q17" s="13" t="n">
        <v>1648</v>
      </c>
      <c r="R17" s="13" t="n">
        <v>784.45</v>
      </c>
      <c r="S17" s="13" t="n">
        <v>-106.17</v>
      </c>
      <c r="T17" s="13" t="n">
        <v>9105.209999999999</v>
      </c>
      <c r="U17" s="13" t="n">
        <v>788.1900000000001</v>
      </c>
      <c r="V17" s="13" t="n">
        <v>73.45999999999999</v>
      </c>
      <c r="W17" s="13" t="n">
        <v>804.91</v>
      </c>
      <c r="X17" s="13" t="n">
        <v>2315.03</v>
      </c>
      <c r="Y17" s="13" t="n">
        <v>1179.61</v>
      </c>
      <c r="Z17" s="19" t="n"/>
      <c r="AA17" s="18" t="n"/>
      <c r="AB17" s="38" t="n">
        <v>16.6</v>
      </c>
      <c r="AC17" s="14">
        <f>IFERROR(AVERAGEIFS($E$16:$E$736,$W$16:$W$736,"&gt;="&amp;W17-$C$5,$W$16:$W$736,"&lt;="&amp;W17+$C$5,$B$16:$B$736,B17,$A$16:$A$736,"&lt;&gt;"&amp;A17),"")</f>
        <v/>
      </c>
      <c r="AD17" s="14">
        <f>IF(AND(ISNUMBER(E17),ISNUMBER(AC17)),E17-AC17,"")</f>
        <v/>
      </c>
    </row>
    <row r="18">
      <c r="A18" s="17" t="n">
        <v>46291</v>
      </c>
      <c r="B18" s="29">
        <f>MONTH(A18)</f>
        <v/>
      </c>
      <c r="C18" s="29">
        <f>IF(AND(ISNUMBER(W18),ISNUMBER($C$4),ABS(W18-$C$4)&lt;=$C$5,ABS(MOD(B18-$C$6+6,12)-6)&lt;=$C$7,OR($C$8="Any",P18=$C$8)),1,0)</f>
        <v/>
      </c>
      <c r="D18" s="29">
        <f>IF(C18=1,COUNTIF($C$16:C18,1),"")</f>
        <v/>
      </c>
      <c r="E18" s="18" t="n">
        <v>13.97</v>
      </c>
      <c r="F18" s="18" t="n">
        <v>15.37</v>
      </c>
      <c r="G18" s="18" t="n">
        <v>11.17</v>
      </c>
      <c r="H18" s="38" t="n">
        <v>9.869999999999999</v>
      </c>
      <c r="I18" s="38" t="n">
        <v>7.5</v>
      </c>
      <c r="J18" s="13" t="n">
        <v>10167</v>
      </c>
      <c r="K18" s="13" t="n">
        <v>9959</v>
      </c>
      <c r="L18" s="13" t="n">
        <v>2830.69</v>
      </c>
      <c r="M18" s="13" t="n">
        <v>2973.71</v>
      </c>
      <c r="N18" s="13" t="n">
        <v>4437</v>
      </c>
      <c r="O18" s="38" t="n">
        <v>67.02</v>
      </c>
      <c r="P18" s="39" t="inlineStr">
        <is>
          <t>Windy</t>
        </is>
      </c>
      <c r="Q18" s="13" t="n">
        <v>1186</v>
      </c>
      <c r="R18" s="13" t="n">
        <v>813.38</v>
      </c>
      <c r="S18" s="13" t="n">
        <v>-688.96</v>
      </c>
      <c r="T18" s="13" t="n">
        <v>9152.969999999999</v>
      </c>
      <c r="U18" s="13" t="n">
        <v>803.53</v>
      </c>
      <c r="V18" s="13" t="n">
        <v>37.59</v>
      </c>
      <c r="W18" s="13" t="n">
        <v>1486.68</v>
      </c>
      <c r="X18" s="13" t="n">
        <v>2893.31</v>
      </c>
      <c r="Y18" s="13" t="n">
        <v>1762.01</v>
      </c>
      <c r="Z18" s="19" t="n"/>
      <c r="AA18" s="18" t="n"/>
      <c r="AB18" s="38" t="n">
        <v>30.84</v>
      </c>
      <c r="AC18" s="14">
        <f>IFERROR(AVERAGEIFS($E$16:$E$736,$W$16:$W$736,"&gt;="&amp;W18-$C$5,$W$16:$W$736,"&lt;="&amp;W18+$C$5,$B$16:$B$736,B18,$A$16:$A$736,"&lt;&gt;"&amp;A18),"")</f>
        <v/>
      </c>
      <c r="AD18" s="14">
        <f>IF(AND(ISNUMBER(E18),ISNUMBER(AC18)),E18-AC18,"")</f>
        <v/>
      </c>
    </row>
    <row r="19">
      <c r="A19" s="17" t="n">
        <v>46290</v>
      </c>
      <c r="B19" s="29">
        <f>MONTH(A19)</f>
        <v/>
      </c>
      <c r="C19" s="29">
        <f>IF(AND(ISNUMBER(W19),ISNUMBER($C$4),ABS(W19-$C$4)&lt;=$C$5,ABS(MOD(B19-$C$6+6,12)-6)&lt;=$C$7,OR($C$8="Any",P19=$C$8)),1,0)</f>
        <v/>
      </c>
      <c r="D19" s="29">
        <f>IF(C19=1,COUNTIF($C$16:C19,1),"")</f>
        <v/>
      </c>
      <c r="E19" s="18" t="n">
        <v>18.83</v>
      </c>
      <c r="F19" s="18" t="n">
        <v>17.72</v>
      </c>
      <c r="G19" s="18" t="n">
        <v>21.04</v>
      </c>
      <c r="H19" s="38" t="n">
        <v>20.77</v>
      </c>
      <c r="I19" s="38" t="n">
        <v>12.54</v>
      </c>
      <c r="J19" s="13" t="n">
        <v>10799</v>
      </c>
      <c r="K19" s="13" t="n">
        <v>10464.88</v>
      </c>
      <c r="L19" s="13" t="n">
        <v>3416.94</v>
      </c>
      <c r="M19" s="13" t="n">
        <v>3090.54</v>
      </c>
      <c r="N19" s="13" t="n">
        <v>4437</v>
      </c>
      <c r="O19" s="38" t="n">
        <v>69.65000000000001</v>
      </c>
      <c r="P19" s="39" t="inlineStr">
        <is>
          <t>Windy</t>
        </is>
      </c>
      <c r="Q19" s="13" t="n">
        <v>980</v>
      </c>
      <c r="R19" s="13" t="n">
        <v>809.98</v>
      </c>
      <c r="S19" s="13" t="n">
        <v>-715.5</v>
      </c>
      <c r="T19" s="13" t="n">
        <v>9082.799999999999</v>
      </c>
      <c r="U19" s="13" t="n">
        <v>762.21</v>
      </c>
      <c r="V19" s="13" t="n">
        <v>55.64</v>
      </c>
      <c r="W19" s="13" t="n">
        <v>1991.25</v>
      </c>
      <c r="X19" s="13" t="n">
        <v>2716.42</v>
      </c>
      <c r="Y19" s="13" t="n">
        <v>2344.11</v>
      </c>
      <c r="Z19" s="19" t="n"/>
      <c r="AA19" s="18" t="n"/>
      <c r="AB19" s="38" t="n">
        <v>28.91</v>
      </c>
      <c r="AC19" s="14">
        <f>IFERROR(AVERAGEIFS($E$16:$E$736,$W$16:$W$736,"&gt;="&amp;W19-$C$5,$W$16:$W$736,"&lt;="&amp;W19+$C$5,$B$16:$B$736,B19,$A$16:$A$736,"&lt;&gt;"&amp;A19),"")</f>
        <v/>
      </c>
      <c r="AD19" s="14">
        <f>IF(AND(ISNUMBER(E19),ISNUMBER(AC19)),E19-AC19,"")</f>
        <v/>
      </c>
    </row>
    <row r="20">
      <c r="A20" s="17" t="n">
        <v>46289</v>
      </c>
      <c r="B20" s="29">
        <f>MONTH(A20)</f>
        <v/>
      </c>
      <c r="C20" s="29">
        <f>IF(AND(ISNUMBER(W20),ISNUMBER($C$4),ABS(W20-$C$4)&lt;=$C$5,ABS(MOD(B20-$C$6+6,12)-6)&lt;=$C$7,OR($C$8="Any",P20=$C$8)),1,0)</f>
        <v/>
      </c>
      <c r="D20" s="29">
        <f>IF(C20=1,COUNTIF($C$16:C20,1),"")</f>
        <v/>
      </c>
      <c r="E20" s="18" t="n">
        <v>48.12</v>
      </c>
      <c r="F20" s="18" t="n">
        <v>51.45</v>
      </c>
      <c r="G20" s="18" t="n">
        <v>41.47</v>
      </c>
      <c r="H20" s="38" t="n">
        <v>18</v>
      </c>
      <c r="I20" s="38" t="n">
        <v>11.17</v>
      </c>
      <c r="J20" s="13" t="n">
        <v>10528</v>
      </c>
      <c r="K20" s="13" t="n">
        <v>10205.56</v>
      </c>
      <c r="L20" s="13" t="n">
        <v>742.12</v>
      </c>
      <c r="M20" s="13" t="n">
        <v>834.17</v>
      </c>
      <c r="N20" s="13" t="n">
        <v>4437</v>
      </c>
      <c r="O20" s="38" t="n">
        <v>18.8</v>
      </c>
      <c r="P20" s="39" t="inlineStr">
        <is>
          <t>Windy</t>
        </is>
      </c>
      <c r="Q20" s="13" t="n">
        <v>1425</v>
      </c>
      <c r="R20" s="13" t="n">
        <v>808.64</v>
      </c>
      <c r="S20" s="13" t="n">
        <v>-107.92</v>
      </c>
      <c r="T20" s="13" t="n">
        <v>9058.16</v>
      </c>
      <c r="U20" s="13" t="n">
        <v>706.4400000000001</v>
      </c>
      <c r="V20" s="13" t="n">
        <v>32.44</v>
      </c>
      <c r="W20" s="13" t="n">
        <v>533.45</v>
      </c>
      <c r="X20" s="13" t="n">
        <v>1174.23</v>
      </c>
      <c r="Y20" s="13" t="n">
        <v>813.3099999999999</v>
      </c>
      <c r="Z20" s="19" t="n"/>
      <c r="AA20" s="18" t="n"/>
      <c r="AB20" s="38" t="n">
        <v>13.49</v>
      </c>
      <c r="AC20" s="14">
        <f>IFERROR(AVERAGEIFS($E$16:$E$736,$W$16:$W$736,"&gt;="&amp;W20-$C$5,$W$16:$W$736,"&lt;="&amp;W20+$C$5,$B$16:$B$736,B20,$A$16:$A$736,"&lt;&gt;"&amp;A20),"")</f>
        <v/>
      </c>
      <c r="AD20" s="14">
        <f>IF(AND(ISNUMBER(E20),ISNUMBER(AC20)),E20-AC20,"")</f>
        <v/>
      </c>
    </row>
    <row r="21">
      <c r="A21" s="17" t="n">
        <v>46288</v>
      </c>
      <c r="B21" s="29">
        <f>MONTH(A21)</f>
        <v/>
      </c>
      <c r="C21" s="29">
        <f>IF(AND(ISNUMBER(W21),ISNUMBER($C$4),ABS(W21-$C$4)&lt;=$C$5,ABS(MOD(B21-$C$6+6,12)-6)&lt;=$C$7,OR($C$8="Any",P21=$C$8)),1,0)</f>
        <v/>
      </c>
      <c r="D21" s="29">
        <f>IF(C21=1,COUNTIF($C$16:C21,1),"")</f>
        <v/>
      </c>
      <c r="E21" s="18" t="n">
        <v>39.72</v>
      </c>
      <c r="F21" s="18" t="n">
        <v>40.35</v>
      </c>
      <c r="G21" s="18" t="n">
        <v>38.46</v>
      </c>
      <c r="H21" s="38" t="n">
        <v>19.7</v>
      </c>
      <c r="I21" s="38" t="n">
        <v>12.3</v>
      </c>
      <c r="J21" s="13" t="n">
        <v>10420</v>
      </c>
      <c r="K21" s="13" t="n">
        <v>10173.81</v>
      </c>
      <c r="L21" s="13" t="n">
        <v>1301.88</v>
      </c>
      <c r="M21" s="13" t="n">
        <v>1140.12</v>
      </c>
      <c r="N21" s="13" t="n">
        <v>4437</v>
      </c>
      <c r="O21" s="38" t="n">
        <v>25.7</v>
      </c>
      <c r="P21" s="39" t="inlineStr">
        <is>
          <t>Windy</t>
        </is>
      </c>
      <c r="Q21" s="13" t="n">
        <v>1349</v>
      </c>
      <c r="R21" s="13" t="n">
        <v>785.9</v>
      </c>
      <c r="S21" s="13" t="n">
        <v>-245.88</v>
      </c>
      <c r="T21" s="13" t="n">
        <v>9088.030000000001</v>
      </c>
      <c r="U21" s="13" t="n">
        <v>744.91</v>
      </c>
      <c r="V21" s="13" t="n">
        <v>119.86</v>
      </c>
      <c r="W21" s="13" t="n">
        <v>989.5700000000001</v>
      </c>
      <c r="X21" s="13" t="n">
        <v>1548.54</v>
      </c>
      <c r="Y21" s="13" t="n">
        <v>1269.29</v>
      </c>
      <c r="Z21" s="19" t="n"/>
      <c r="AA21" s="18" t="n"/>
      <c r="AB21" s="38" t="n">
        <v>18.01</v>
      </c>
      <c r="AC21" s="14">
        <f>IFERROR(AVERAGEIFS($E$16:$E$736,$W$16:$W$736,"&gt;="&amp;W21-$C$5,$W$16:$W$736,"&lt;="&amp;W21+$C$5,$B$16:$B$736,B21,$A$16:$A$736,"&lt;&gt;"&amp;A21),"")</f>
        <v/>
      </c>
      <c r="AD21" s="14">
        <f>IF(AND(ISNUMBER(E21),ISNUMBER(AC21)),E21-AC21,"")</f>
        <v/>
      </c>
    </row>
    <row r="22">
      <c r="A22" s="17" t="n">
        <v>46287</v>
      </c>
      <c r="B22" s="29">
        <f>MONTH(A22)</f>
        <v/>
      </c>
      <c r="C22" s="29">
        <f>IF(AND(ISNUMBER(W22),ISNUMBER($C$4),ABS(W22-$C$4)&lt;=$C$5,ABS(MOD(B22-$C$6+6,12)-6)&lt;=$C$7,OR($C$8="Any",P22=$C$8)),1,0)</f>
        <v/>
      </c>
      <c r="D22" s="29">
        <f>IF(C22=1,COUNTIF($C$16:C22,1),"")</f>
        <v/>
      </c>
      <c r="E22" s="18" t="n">
        <v>20.97</v>
      </c>
      <c r="F22" s="18" t="n">
        <v>26.38</v>
      </c>
      <c r="G22" s="18" t="n">
        <v>10.14</v>
      </c>
      <c r="H22" s="38" t="n">
        <v>20.57</v>
      </c>
      <c r="I22" s="38" t="n">
        <v>14.78</v>
      </c>
      <c r="J22" s="13" t="n">
        <v>10501</v>
      </c>
      <c r="K22" s="13" t="n">
        <v>10098.06</v>
      </c>
      <c r="L22" s="13" t="n">
        <v>1260.38</v>
      </c>
      <c r="M22" s="13" t="n">
        <v>1773.75</v>
      </c>
      <c r="N22" s="13" t="n">
        <v>4437</v>
      </c>
      <c r="O22" s="38" t="n">
        <v>39.98</v>
      </c>
      <c r="P22" s="39" t="inlineStr">
        <is>
          <t>Windy</t>
        </is>
      </c>
      <c r="Q22" s="13" t="n">
        <v>1416</v>
      </c>
      <c r="R22" s="13" t="n">
        <v>801.36</v>
      </c>
      <c r="S22" s="13" t="n">
        <v>-245.54</v>
      </c>
      <c r="T22" s="13" t="n">
        <v>9090.219999999999</v>
      </c>
      <c r="U22" s="13" t="n">
        <v>719.4299999999999</v>
      </c>
      <c r="V22" s="13" t="n">
        <v>51.98</v>
      </c>
      <c r="W22" s="13" t="n">
        <v>686.1900000000001</v>
      </c>
      <c r="X22" s="13" t="n">
        <v>1859.98</v>
      </c>
      <c r="Y22" s="13" t="n">
        <v>1058.2</v>
      </c>
      <c r="Z22" s="19" t="n"/>
      <c r="AA22" s="18" t="n"/>
      <c r="AB22" s="38" t="n">
        <v>20.19</v>
      </c>
      <c r="AC22" s="14">
        <f>IFERROR(AVERAGEIFS($E$16:$E$736,$W$16:$W$736,"&gt;="&amp;W22-$C$5,$W$16:$W$736,"&lt;="&amp;W22+$C$5,$B$16:$B$736,B22,$A$16:$A$736,"&lt;&gt;"&amp;A22),"")</f>
        <v/>
      </c>
      <c r="AD22" s="14">
        <f>IF(AND(ISNUMBER(E22),ISNUMBER(AC22)),E22-AC22,"")</f>
        <v/>
      </c>
    </row>
    <row r="23">
      <c r="A23" s="17" t="n">
        <v>46286</v>
      </c>
      <c r="B23" s="29">
        <f>MONTH(A23)</f>
        <v/>
      </c>
      <c r="C23" s="29">
        <f>IF(AND(ISNUMBER(W23),ISNUMBER($C$4),ABS(W23-$C$4)&lt;=$C$5,ABS(MOD(B23-$C$6+6,12)-6)&lt;=$C$7,OR($C$8="Any",P23=$C$8)),1,0)</f>
        <v/>
      </c>
      <c r="D23" s="29">
        <f>IF(C23=1,COUNTIF($C$16:C23,1),"")</f>
        <v/>
      </c>
      <c r="E23" s="18" t="n">
        <v>9.460000000000001</v>
      </c>
      <c r="F23" s="18" t="n">
        <v>10.17</v>
      </c>
      <c r="G23" s="18" t="n">
        <v>8.029999999999999</v>
      </c>
      <c r="H23" s="38" t="n">
        <v>26.17</v>
      </c>
      <c r="I23" s="38" t="n">
        <v>16.29</v>
      </c>
      <c r="J23" s="13" t="n">
        <v>10838</v>
      </c>
      <c r="K23" s="13" t="n">
        <v>10364.81</v>
      </c>
      <c r="L23" s="13" t="n">
        <v>2816.19</v>
      </c>
      <c r="M23" s="13" t="n">
        <v>2780.5</v>
      </c>
      <c r="N23" s="13" t="n">
        <v>4437</v>
      </c>
      <c r="O23" s="38" t="n">
        <v>62.67</v>
      </c>
      <c r="P23" s="39" t="inlineStr">
        <is>
          <t>Windy</t>
        </is>
      </c>
      <c r="Q23" s="13" t="n">
        <v>1574</v>
      </c>
      <c r="R23" s="13" t="n">
        <v>812.67</v>
      </c>
      <c r="S23" s="13" t="n">
        <v>-552.67</v>
      </c>
      <c r="T23" s="13" t="n">
        <v>9058.02</v>
      </c>
      <c r="U23" s="13" t="n">
        <v>724.95</v>
      </c>
      <c r="V23" s="13" t="n">
        <v>105.9</v>
      </c>
      <c r="W23" s="13" t="n">
        <v>1759.06</v>
      </c>
      <c r="X23" s="13" t="n">
        <v>2796.34</v>
      </c>
      <c r="Y23" s="13" t="n">
        <v>2125.77</v>
      </c>
      <c r="Z23" s="19" t="n"/>
      <c r="AA23" s="18" t="n"/>
      <c r="AB23" s="38" t="n">
        <v>17.55</v>
      </c>
      <c r="AC23" s="14">
        <f>IFERROR(AVERAGEIFS($E$16:$E$736,$W$16:$W$736,"&gt;="&amp;W23-$C$5,$W$16:$W$736,"&lt;="&amp;W23+$C$5,$B$16:$B$736,B23,$A$16:$A$736,"&lt;&gt;"&amp;A23),"")</f>
        <v/>
      </c>
      <c r="AD23" s="14">
        <f>IF(AND(ISNUMBER(E23),ISNUMBER(AC23)),E23-AC23,"")</f>
        <v/>
      </c>
    </row>
    <row r="24">
      <c r="A24" s="17" t="n">
        <v>46285</v>
      </c>
      <c r="B24" s="29">
        <f>MONTH(A24)</f>
        <v/>
      </c>
      <c r="C24" s="29">
        <f>IF(AND(ISNUMBER(W24),ISNUMBER($C$4),ABS(W24-$C$4)&lt;=$C$5,ABS(MOD(B24-$C$6+6,12)-6)&lt;=$C$7,OR($C$8="Any",P24=$C$8)),1,0)</f>
        <v/>
      </c>
      <c r="D24" s="29">
        <f>IF(C24=1,COUNTIF($C$16:C24,1),"")</f>
        <v/>
      </c>
      <c r="E24" s="18" t="n">
        <v>13.27</v>
      </c>
      <c r="F24" s="18" t="n">
        <v>19.21</v>
      </c>
      <c r="G24" s="18" t="n">
        <v>1.4</v>
      </c>
      <c r="H24" s="38" t="n">
        <v>24.2</v>
      </c>
      <c r="I24" s="38" t="n">
        <v>14.78</v>
      </c>
      <c r="J24" s="13" t="n">
        <v>10529</v>
      </c>
      <c r="K24" s="13" t="n">
        <v>9886.190000000001</v>
      </c>
      <c r="L24" s="13" t="n">
        <v>1822.88</v>
      </c>
      <c r="M24" s="13" t="n">
        <v>2284.79</v>
      </c>
      <c r="N24" s="13" t="n">
        <v>4437</v>
      </c>
      <c r="O24" s="38" t="n">
        <v>51.49</v>
      </c>
      <c r="P24" s="39" t="inlineStr">
        <is>
          <t>Windy</t>
        </is>
      </c>
      <c r="Q24" s="13" t="n">
        <v>1645</v>
      </c>
      <c r="R24" s="13" t="n">
        <v>809.39</v>
      </c>
      <c r="S24" s="13" t="n">
        <v>-430.83</v>
      </c>
      <c r="T24" s="13" t="n">
        <v>9030.139999999999</v>
      </c>
      <c r="U24" s="13" t="n">
        <v>714.8099999999999</v>
      </c>
      <c r="V24" s="13" t="n">
        <v>106.22</v>
      </c>
      <c r="W24" s="13" t="n">
        <v>1024.08</v>
      </c>
      <c r="X24" s="13" t="n">
        <v>2429.14</v>
      </c>
      <c r="Y24" s="13" t="n">
        <v>1396</v>
      </c>
      <c r="Z24" s="19" t="n"/>
      <c r="AA24" s="18" t="n"/>
      <c r="AB24" s="38" t="n">
        <v>14.8</v>
      </c>
      <c r="AC24" s="14">
        <f>IFERROR(AVERAGEIFS($E$16:$E$736,$W$16:$W$736,"&gt;="&amp;W24-$C$5,$W$16:$W$736,"&lt;="&amp;W24+$C$5,$B$16:$B$736,B24,$A$16:$A$736,"&lt;&gt;"&amp;A24),"")</f>
        <v/>
      </c>
      <c r="AD24" s="14">
        <f>IF(AND(ISNUMBER(E24),ISNUMBER(AC24)),E24-AC24,"")</f>
        <v/>
      </c>
    </row>
    <row r="25">
      <c r="A25" s="17" t="n">
        <v>46284</v>
      </c>
      <c r="B25" s="29">
        <f>MONTH(A25)</f>
        <v/>
      </c>
      <c r="C25" s="29">
        <f>IF(AND(ISNUMBER(W25),ISNUMBER($C$4),ABS(W25-$C$4)&lt;=$C$5,ABS(MOD(B25-$C$6+6,12)-6)&lt;=$C$7,OR($C$8="Any",P25=$C$8)),1,0)</f>
        <v/>
      </c>
      <c r="D25" s="29">
        <f>IF(C25=1,COUNTIF($C$16:C25,1),"")</f>
        <v/>
      </c>
      <c r="E25" s="18" t="n">
        <v>16.56</v>
      </c>
      <c r="F25" s="18" t="n">
        <v>14.91</v>
      </c>
      <c r="G25" s="18" t="n">
        <v>19.86</v>
      </c>
      <c r="H25" s="38" t="n">
        <v>21.37</v>
      </c>
      <c r="I25" s="38" t="n">
        <v>13.84</v>
      </c>
      <c r="J25" s="13" t="n">
        <v>10209</v>
      </c>
      <c r="K25" s="13" t="n">
        <v>9822.879999999999</v>
      </c>
      <c r="L25" s="13" t="n">
        <v>1960.5</v>
      </c>
      <c r="M25" s="13" t="n">
        <v>1760.5</v>
      </c>
      <c r="N25" s="13" t="n">
        <v>4437</v>
      </c>
      <c r="O25" s="38" t="n">
        <v>39.68</v>
      </c>
      <c r="P25" s="39" t="inlineStr">
        <is>
          <t>Windy</t>
        </is>
      </c>
      <c r="Q25" s="13" t="n">
        <v>1658</v>
      </c>
      <c r="R25" s="13" t="n">
        <v>805.95</v>
      </c>
      <c r="S25" s="13" t="n">
        <v>-267.12</v>
      </c>
      <c r="T25" s="13" t="n">
        <v>9196.860000000001</v>
      </c>
      <c r="U25" s="13" t="n">
        <v>730.27</v>
      </c>
      <c r="V25" s="13" t="n">
        <v>58.43</v>
      </c>
      <c r="W25" s="13" t="n">
        <v>1976.21</v>
      </c>
      <c r="X25" s="13" t="n">
        <v>2883.12</v>
      </c>
      <c r="Y25" s="13" t="n">
        <v>2322.45</v>
      </c>
      <c r="Z25" s="19" t="n"/>
      <c r="AA25" s="18" t="n"/>
      <c r="AB25" s="38" t="n">
        <v>20.67</v>
      </c>
      <c r="AC25" s="14">
        <f>IFERROR(AVERAGEIFS($E$16:$E$736,$W$16:$W$736,"&gt;="&amp;W25-$C$5,$W$16:$W$736,"&lt;="&amp;W25+$C$5,$B$16:$B$736,B25,$A$16:$A$736,"&lt;&gt;"&amp;A25),"")</f>
        <v/>
      </c>
      <c r="AD25" s="14">
        <f>IF(AND(ISNUMBER(E25),ISNUMBER(AC25)),E25-AC25,"")</f>
        <v/>
      </c>
    </row>
    <row r="26">
      <c r="A26" s="17" t="n">
        <v>46283</v>
      </c>
      <c r="B26" s="29">
        <f>MONTH(A26)</f>
        <v/>
      </c>
      <c r="C26" s="29">
        <f>IF(AND(ISNUMBER(W26),ISNUMBER($C$4),ABS(W26-$C$4)&lt;=$C$5,ABS(MOD(B26-$C$6+6,12)-6)&lt;=$C$7,OR($C$8="Any",P26=$C$8)),1,0)</f>
        <v/>
      </c>
      <c r="D26" s="29">
        <f>IF(C26=1,COUNTIF($C$16:C26,1),"")</f>
        <v/>
      </c>
      <c r="E26" s="18" t="n">
        <v>45.81</v>
      </c>
      <c r="F26" s="18" t="n">
        <v>39.95</v>
      </c>
      <c r="G26" s="18" t="n">
        <v>57.51</v>
      </c>
      <c r="H26" s="38" t="n">
        <v>21.07</v>
      </c>
      <c r="I26" s="38" t="n">
        <v>12.76</v>
      </c>
      <c r="J26" s="13" t="n">
        <v>10328</v>
      </c>
      <c r="K26" s="13" t="n">
        <v>10054.44</v>
      </c>
      <c r="L26" s="13" t="n">
        <v>320.75</v>
      </c>
      <c r="M26" s="13" t="n">
        <v>286.96</v>
      </c>
      <c r="N26" s="13" t="n">
        <v>4437</v>
      </c>
      <c r="O26" s="38" t="n">
        <v>6.47</v>
      </c>
      <c r="P26" s="39" t="inlineStr">
        <is>
          <t>Calm</t>
        </is>
      </c>
      <c r="Q26" s="13" t="n">
        <v>1645</v>
      </c>
      <c r="R26" s="13" t="n">
        <v>781.09</v>
      </c>
      <c r="S26" s="13" t="n">
        <v>48.46</v>
      </c>
      <c r="T26" s="13" t="n">
        <v>9068.690000000001</v>
      </c>
      <c r="U26" s="13" t="n">
        <v>695.73</v>
      </c>
      <c r="V26" s="13" t="n">
        <v>105.15</v>
      </c>
      <c r="W26" s="13" t="n">
        <v>508.27</v>
      </c>
      <c r="X26" s="13" t="n">
        <v>1251.25</v>
      </c>
      <c r="Y26" s="13" t="n">
        <v>815.27</v>
      </c>
      <c r="Z26" s="19" t="n"/>
      <c r="AA26" s="18" t="n"/>
      <c r="AB26" s="38" t="n">
        <v>10.87</v>
      </c>
      <c r="AC26" s="14">
        <f>IFERROR(AVERAGEIFS($E$16:$E$736,$W$16:$W$736,"&gt;="&amp;W26-$C$5,$W$16:$W$736,"&lt;="&amp;W26+$C$5,$B$16:$B$736,B26,$A$16:$A$736,"&lt;&gt;"&amp;A26),"")</f>
        <v/>
      </c>
      <c r="AD26" s="14">
        <f>IF(AND(ISNUMBER(E26),ISNUMBER(AC26)),E26-AC26,"")</f>
        <v/>
      </c>
    </row>
    <row r="27">
      <c r="A27" s="17" t="n">
        <v>46282</v>
      </c>
      <c r="B27" s="29">
        <f>MONTH(A27)</f>
        <v/>
      </c>
      <c r="C27" s="29">
        <f>IF(AND(ISNUMBER(W27),ISNUMBER($C$4),ABS(W27-$C$4)&lt;=$C$5,ABS(MOD(B27-$C$6+6,12)-6)&lt;=$C$7,OR($C$8="Any",P27=$C$8)),1,0)</f>
        <v/>
      </c>
      <c r="D27" s="29">
        <f>IF(C27=1,COUNTIF($C$16:C27,1),"")</f>
        <v/>
      </c>
      <c r="E27" s="18" t="n">
        <v>96.23999999999999</v>
      </c>
      <c r="F27" s="18" t="n">
        <v>134.74</v>
      </c>
      <c r="G27" s="18" t="n">
        <v>19.23</v>
      </c>
      <c r="H27" s="38" t="n">
        <v>22.23</v>
      </c>
      <c r="I27" s="38" t="n">
        <v>12.46</v>
      </c>
      <c r="J27" s="13" t="n">
        <v>10478</v>
      </c>
      <c r="K27" s="13" t="n">
        <v>10055.94</v>
      </c>
      <c r="L27" s="13" t="n">
        <v>449.56</v>
      </c>
      <c r="M27" s="13" t="n">
        <v>1125.29</v>
      </c>
      <c r="N27" s="13" t="n">
        <v>4437</v>
      </c>
      <c r="O27" s="38" t="n">
        <v>25.36</v>
      </c>
      <c r="P27" s="39" t="inlineStr">
        <is>
          <t>Windy</t>
        </is>
      </c>
      <c r="Q27" s="13" t="n">
        <v>1666</v>
      </c>
      <c r="R27" s="13" t="n">
        <v>641.98</v>
      </c>
      <c r="S27" s="13" t="n">
        <v>-151.67</v>
      </c>
      <c r="T27" s="13" t="n">
        <v>9173.469999999999</v>
      </c>
      <c r="U27" s="13" t="n">
        <v>633.62</v>
      </c>
      <c r="V27" s="13" t="n">
        <v>54.49</v>
      </c>
      <c r="W27" s="13" t="n">
        <v>458.58</v>
      </c>
      <c r="X27" s="13" t="n">
        <v>1345.15</v>
      </c>
      <c r="Y27" s="13" t="n">
        <v>734.74</v>
      </c>
      <c r="Z27" s="19" t="n"/>
      <c r="AA27" s="18" t="n"/>
      <c r="AB27" s="38" t="n">
        <v>12.54</v>
      </c>
      <c r="AC27" s="14">
        <f>IFERROR(AVERAGEIFS($E$16:$E$736,$W$16:$W$736,"&gt;="&amp;W27-$C$5,$W$16:$W$736,"&lt;="&amp;W27+$C$5,$B$16:$B$736,B27,$A$16:$A$736,"&lt;&gt;"&amp;A27),"")</f>
        <v/>
      </c>
      <c r="AD27" s="14">
        <f>IF(AND(ISNUMBER(E27),ISNUMBER(AC27)),E27-AC27,"")</f>
        <v/>
      </c>
    </row>
    <row r="28">
      <c r="A28" s="17" t="n">
        <v>46281</v>
      </c>
      <c r="B28" s="29">
        <f>MONTH(A28)</f>
        <v/>
      </c>
      <c r="C28" s="29">
        <f>IF(AND(ISNUMBER(W28),ISNUMBER($C$4),ABS(W28-$C$4)&lt;=$C$5,ABS(MOD(B28-$C$6+6,12)-6)&lt;=$C$7,OR($C$8="Any",P28=$C$8)),1,0)</f>
        <v/>
      </c>
      <c r="D28" s="29">
        <f>IF(C28=1,COUNTIF($C$16:C28,1),"")</f>
        <v/>
      </c>
      <c r="E28" s="18" t="n">
        <v>28.18</v>
      </c>
      <c r="F28" s="18" t="n">
        <v>29.51</v>
      </c>
      <c r="G28" s="18" t="n">
        <v>25.53</v>
      </c>
      <c r="H28" s="38" t="n">
        <v>18</v>
      </c>
      <c r="I28" s="38" t="n">
        <v>10.16</v>
      </c>
      <c r="J28" s="13" t="n">
        <v>10239</v>
      </c>
      <c r="K28" s="13" t="n">
        <v>10029.44</v>
      </c>
      <c r="L28" s="13" t="n">
        <v>892.8099999999999</v>
      </c>
      <c r="M28" s="13" t="n">
        <v>974.12</v>
      </c>
      <c r="N28" s="13" t="n">
        <v>4437</v>
      </c>
      <c r="O28" s="38" t="n">
        <v>21.95</v>
      </c>
      <c r="P28" s="39" t="inlineStr">
        <is>
          <t>Windy</t>
        </is>
      </c>
      <c r="Q28" s="13" t="n">
        <v>1657</v>
      </c>
      <c r="R28" s="13" t="n">
        <v>639.15</v>
      </c>
      <c r="S28" s="13" t="n">
        <v>-159.96</v>
      </c>
      <c r="T28" s="13" t="n">
        <v>9115.469999999999</v>
      </c>
      <c r="U28" s="13" t="n">
        <v>628.3</v>
      </c>
      <c r="V28" s="13" t="n">
        <v>450.89</v>
      </c>
      <c r="W28" s="13" t="n">
        <v>704.05</v>
      </c>
      <c r="X28" s="13" t="n">
        <v>1550.14</v>
      </c>
      <c r="Y28" s="13" t="n">
        <v>882.46</v>
      </c>
      <c r="Z28" s="19" t="n"/>
      <c r="AA28" s="18" t="n"/>
      <c r="AB28" s="38" t="n">
        <v>14.23</v>
      </c>
      <c r="AC28" s="14">
        <f>IFERROR(AVERAGEIFS($E$16:$E$736,$W$16:$W$736,"&gt;="&amp;W28-$C$5,$W$16:$W$736,"&lt;="&amp;W28+$C$5,$B$16:$B$736,B28,$A$16:$A$736,"&lt;&gt;"&amp;A28),"")</f>
        <v/>
      </c>
      <c r="AD28" s="14">
        <f>IF(AND(ISNUMBER(E28),ISNUMBER(AC28)),E28-AC28,"")</f>
        <v/>
      </c>
    </row>
    <row r="29">
      <c r="A29" s="17" t="n">
        <v>46280</v>
      </c>
      <c r="B29" s="29">
        <f>MONTH(A29)</f>
        <v/>
      </c>
      <c r="C29" s="29">
        <f>IF(AND(ISNUMBER(W29),ISNUMBER($C$4),ABS(W29-$C$4)&lt;=$C$5,ABS(MOD(B29-$C$6+6,12)-6)&lt;=$C$7,OR($C$8="Any",P29=$C$8)),1,0)</f>
        <v/>
      </c>
      <c r="D29" s="29">
        <f>IF(C29=1,COUNTIF($C$16:C29,1),"")</f>
        <v/>
      </c>
      <c r="E29" s="18" t="n">
        <v>55.99</v>
      </c>
      <c r="F29" s="18" t="n">
        <v>62.25</v>
      </c>
      <c r="G29" s="18" t="n">
        <v>43.47</v>
      </c>
      <c r="H29" s="38" t="n">
        <v>10.27</v>
      </c>
      <c r="I29" s="38" t="n">
        <v>7.74</v>
      </c>
      <c r="J29" s="13" t="n">
        <v>10177</v>
      </c>
      <c r="K29" s="13" t="n">
        <v>10000.12</v>
      </c>
      <c r="L29" s="13" t="n">
        <v>403.38</v>
      </c>
      <c r="M29" s="13" t="n">
        <v>411.58</v>
      </c>
      <c r="N29" s="13" t="n">
        <v>4437</v>
      </c>
      <c r="O29" s="38" t="n">
        <v>9.279999999999999</v>
      </c>
      <c r="P29" s="39" t="inlineStr">
        <is>
          <t>Calm</t>
        </is>
      </c>
      <c r="Q29" s="13" t="n">
        <v>384</v>
      </c>
      <c r="R29" s="13" t="n">
        <v>664.09</v>
      </c>
      <c r="S29" s="13" t="n">
        <v>216.38</v>
      </c>
      <c r="T29" s="13" t="n">
        <v>8823.299999999999</v>
      </c>
      <c r="U29" s="13" t="n">
        <v>620.63</v>
      </c>
      <c r="V29" s="13" t="n">
        <v>401.7</v>
      </c>
      <c r="W29" s="13" t="n">
        <v>287.47</v>
      </c>
      <c r="X29" s="13" t="n">
        <v>588.87</v>
      </c>
      <c r="Y29" s="13" t="n">
        <v>467.74</v>
      </c>
      <c r="Z29" s="19" t="n"/>
      <c r="AA29" s="18" t="n"/>
      <c r="AB29" s="38" t="n">
        <v>10.07</v>
      </c>
      <c r="AC29" s="14">
        <f>IFERROR(AVERAGEIFS($E$16:$E$736,$W$16:$W$736,"&gt;="&amp;W29-$C$5,$W$16:$W$736,"&lt;="&amp;W29+$C$5,$B$16:$B$736,B29,$A$16:$A$736,"&lt;&gt;"&amp;A29),"")</f>
        <v/>
      </c>
      <c r="AD29" s="14">
        <f>IF(AND(ISNUMBER(E29),ISNUMBER(AC29)),E29-AC29,"")</f>
        <v/>
      </c>
    </row>
    <row r="30">
      <c r="A30" s="17" t="n">
        <v>46279</v>
      </c>
      <c r="B30" s="29">
        <f>MONTH(A30)</f>
        <v/>
      </c>
      <c r="C30" s="29">
        <f>IF(AND(ISNUMBER(W30),ISNUMBER($C$4),ABS(W30-$C$4)&lt;=$C$5,ABS(MOD(B30-$C$6+6,12)-6)&lt;=$C$7,OR($C$8="Any",P30=$C$8)),1,0)</f>
        <v/>
      </c>
      <c r="D30" s="29">
        <f>IF(C30=1,COUNTIF($C$16:C30,1),"")</f>
        <v/>
      </c>
      <c r="E30" s="18" t="n">
        <v>13.94</v>
      </c>
      <c r="F30" s="18" t="n">
        <v>10.13</v>
      </c>
      <c r="G30" s="18" t="n">
        <v>21.54</v>
      </c>
      <c r="H30" s="38" t="n">
        <v>13.97</v>
      </c>
      <c r="I30" s="38" t="n">
        <v>10.04</v>
      </c>
      <c r="J30" s="13" t="n">
        <v>10447</v>
      </c>
      <c r="K30" s="13" t="n">
        <v>10167.12</v>
      </c>
      <c r="L30" s="13" t="n">
        <v>2822.38</v>
      </c>
      <c r="M30" s="13" t="n">
        <v>2563.67</v>
      </c>
      <c r="N30" s="13" t="n">
        <v>4437</v>
      </c>
      <c r="O30" s="38" t="n">
        <v>57.78</v>
      </c>
      <c r="P30" s="39" t="inlineStr">
        <is>
          <t>Windy</t>
        </is>
      </c>
      <c r="Q30" s="13" t="n">
        <v>874</v>
      </c>
      <c r="R30" s="13" t="n">
        <v>762.09</v>
      </c>
      <c r="S30" s="13" t="n">
        <v>-289.54</v>
      </c>
      <c r="T30" s="13" t="n">
        <v>8995.24</v>
      </c>
      <c r="U30" s="13" t="n">
        <v>687.87</v>
      </c>
      <c r="V30" s="13" t="n">
        <v>137.05</v>
      </c>
      <c r="W30" s="13" t="n">
        <v>1184.66</v>
      </c>
      <c r="X30" s="13" t="n">
        <v>2677.43</v>
      </c>
      <c r="Y30" s="13" t="n">
        <v>1404.68</v>
      </c>
      <c r="Z30" s="19" t="n"/>
      <c r="AA30" s="18" t="n"/>
      <c r="AB30" s="38" t="n">
        <v>24.81</v>
      </c>
      <c r="AC30" s="14">
        <f>IFERROR(AVERAGEIFS($E$16:$E$736,$W$16:$W$736,"&gt;="&amp;W30-$C$5,$W$16:$W$736,"&lt;="&amp;W30+$C$5,$B$16:$B$736,B30,$A$16:$A$736,"&lt;&gt;"&amp;A30),"")</f>
        <v/>
      </c>
      <c r="AD30" s="14">
        <f>IF(AND(ISNUMBER(E30),ISNUMBER(AC30)),E30-AC30,"")</f>
        <v/>
      </c>
    </row>
    <row r="31">
      <c r="A31" s="17" t="n">
        <v>46278</v>
      </c>
      <c r="B31" s="29">
        <f>MONTH(A31)</f>
        <v/>
      </c>
      <c r="C31" s="29">
        <f>IF(AND(ISNUMBER(W31),ISNUMBER($C$4),ABS(W31-$C$4)&lt;=$C$5,ABS(MOD(B31-$C$6+6,12)-6)&lt;=$C$7,OR($C$8="Any",P31=$C$8)),1,0)</f>
        <v/>
      </c>
      <c r="D31" s="29">
        <f>IF(C31=1,COUNTIF($C$16:C31,1),"")</f>
        <v/>
      </c>
      <c r="E31" s="18" t="n">
        <v>19.71</v>
      </c>
      <c r="F31" s="18" t="n">
        <v>19.8</v>
      </c>
      <c r="G31" s="18" t="n">
        <v>19.51</v>
      </c>
      <c r="H31" s="38" t="n">
        <v>13.27</v>
      </c>
      <c r="I31" s="38" t="n">
        <v>8.52</v>
      </c>
      <c r="J31" s="13" t="n">
        <v>9815</v>
      </c>
      <c r="K31" s="13" t="n">
        <v>9406.809999999999</v>
      </c>
      <c r="L31" s="13" t="n">
        <v>1378.88</v>
      </c>
      <c r="M31" s="13" t="n">
        <v>1351.33</v>
      </c>
      <c r="N31" s="13" t="n">
        <v>4437</v>
      </c>
      <c r="O31" s="38" t="n">
        <v>30.46</v>
      </c>
      <c r="P31" s="39" t="inlineStr">
        <is>
          <t>Windy</t>
        </is>
      </c>
      <c r="Q31" s="13" t="n">
        <v>1472</v>
      </c>
      <c r="R31" s="13" t="n">
        <v>801.92</v>
      </c>
      <c r="S31" s="13" t="n">
        <v>-176.08</v>
      </c>
      <c r="T31" s="13" t="n">
        <v>9046.26</v>
      </c>
      <c r="U31" s="13" t="n">
        <v>686.22</v>
      </c>
      <c r="V31" s="13" t="n">
        <v>238.44</v>
      </c>
      <c r="W31" s="13" t="n">
        <v>988.24</v>
      </c>
      <c r="X31" s="13" t="n">
        <v>2359.98</v>
      </c>
      <c r="Y31" s="13" t="n">
        <v>1298.87</v>
      </c>
      <c r="Z31" s="19" t="n"/>
      <c r="AA31" s="18" t="n"/>
      <c r="AB31" s="38" t="n">
        <v>18.55</v>
      </c>
      <c r="AC31" s="14">
        <f>IFERROR(AVERAGEIFS($E$16:$E$736,$W$16:$W$736,"&gt;="&amp;W31-$C$5,$W$16:$W$736,"&lt;="&amp;W31+$C$5,$B$16:$B$736,B31,$A$16:$A$736,"&lt;&gt;"&amp;A31),"")</f>
        <v/>
      </c>
      <c r="AD31" s="14">
        <f>IF(AND(ISNUMBER(E31),ISNUMBER(AC31)),E31-AC31,"")</f>
        <v/>
      </c>
    </row>
    <row r="32">
      <c r="A32" s="17" t="n">
        <v>46277</v>
      </c>
      <c r="B32" s="29">
        <f>MONTH(A32)</f>
        <v/>
      </c>
      <c r="C32" s="29">
        <f>IF(AND(ISNUMBER(W32),ISNUMBER($C$4),ABS(W32-$C$4)&lt;=$C$5,ABS(MOD(B32-$C$6+6,12)-6)&lt;=$C$7,OR($C$8="Any",P32=$C$8)),1,0)</f>
        <v/>
      </c>
      <c r="D32" s="29">
        <f>IF(C32=1,COUNTIF($C$16:C32,1),"")</f>
        <v/>
      </c>
      <c r="E32" s="18" t="n">
        <v>27.7</v>
      </c>
      <c r="F32" s="18" t="n">
        <v>28.69</v>
      </c>
      <c r="G32" s="18" t="n">
        <v>25.72</v>
      </c>
      <c r="H32" s="38" t="n">
        <v>11.57</v>
      </c>
      <c r="I32" s="38" t="n">
        <v>8.039999999999999</v>
      </c>
      <c r="J32" s="13" t="n">
        <v>9625</v>
      </c>
      <c r="K32" s="13" t="n">
        <v>9450.940000000001</v>
      </c>
      <c r="L32" s="13" t="n">
        <v>268.81</v>
      </c>
      <c r="M32" s="13" t="n">
        <v>332.58</v>
      </c>
      <c r="N32" s="13" t="n">
        <v>4437</v>
      </c>
      <c r="O32" s="38" t="n">
        <v>7.5</v>
      </c>
      <c r="P32" s="39" t="inlineStr">
        <is>
          <t>Calm</t>
        </is>
      </c>
      <c r="Q32" s="13" t="n">
        <v>996</v>
      </c>
      <c r="R32" s="13" t="n">
        <v>786.3099999999999</v>
      </c>
      <c r="S32" s="13" t="n">
        <v>-118.21</v>
      </c>
      <c r="T32" s="13" t="n">
        <v>9239.09</v>
      </c>
      <c r="U32" s="13" t="n">
        <v>718.23</v>
      </c>
      <c r="V32" s="13" t="n">
        <v>37.91</v>
      </c>
      <c r="W32" s="13" t="n">
        <v>953.5599999999999</v>
      </c>
      <c r="X32" s="13" t="n">
        <v>1374.68</v>
      </c>
      <c r="Y32" s="13" t="n">
        <v>1224.65</v>
      </c>
      <c r="Z32" s="19" t="n"/>
      <c r="AA32" s="18" t="n"/>
      <c r="AB32" s="38" t="n">
        <v>10.64</v>
      </c>
      <c r="AC32" s="14">
        <f>IFERROR(AVERAGEIFS($E$16:$E$736,$W$16:$W$736,"&gt;="&amp;W32-$C$5,$W$16:$W$736,"&lt;="&amp;W32+$C$5,$B$16:$B$736,B32,$A$16:$A$736,"&lt;&gt;"&amp;A32),"")</f>
        <v/>
      </c>
      <c r="AD32" s="14">
        <f>IF(AND(ISNUMBER(E32),ISNUMBER(AC32)),E32-AC32,"")</f>
        <v/>
      </c>
    </row>
    <row r="33">
      <c r="A33" s="17" t="n">
        <v>46276</v>
      </c>
      <c r="B33" s="29">
        <f>MONTH(A33)</f>
        <v/>
      </c>
      <c r="C33" s="29">
        <f>IF(AND(ISNUMBER(W33),ISNUMBER($C$4),ABS(W33-$C$4)&lt;=$C$5,ABS(MOD(B33-$C$6+6,12)-6)&lt;=$C$7,OR($C$8="Any",P33=$C$8)),1,0)</f>
        <v/>
      </c>
      <c r="D33" s="29">
        <f>IF(C33=1,COUNTIF($C$16:C33,1),"")</f>
        <v/>
      </c>
      <c r="E33" s="18" t="n">
        <v>18.76</v>
      </c>
      <c r="F33" s="18" t="n">
        <v>18.27</v>
      </c>
      <c r="G33" s="18" t="n">
        <v>19.74</v>
      </c>
      <c r="H33" s="38" t="n">
        <v>12.07</v>
      </c>
      <c r="I33" s="38" t="n">
        <v>9.390000000000001</v>
      </c>
      <c r="J33" s="13" t="n">
        <v>10242</v>
      </c>
      <c r="K33" s="13" t="n">
        <v>9955.379999999999</v>
      </c>
      <c r="L33" s="13" t="n">
        <v>1722.56</v>
      </c>
      <c r="M33" s="13" t="n">
        <v>1713.79</v>
      </c>
      <c r="N33" s="13" t="n">
        <v>4437</v>
      </c>
      <c r="O33" s="38" t="n">
        <v>38.63</v>
      </c>
      <c r="P33" s="39" t="inlineStr">
        <is>
          <t>Windy</t>
        </is>
      </c>
      <c r="Q33" s="13" t="n">
        <v>1203</v>
      </c>
      <c r="R33" s="13" t="n">
        <v>770.5599999999999</v>
      </c>
      <c r="S33" s="13" t="n">
        <v>-303.5</v>
      </c>
      <c r="T33" s="13" t="n">
        <v>9197.700000000001</v>
      </c>
      <c r="U33" s="13" t="n">
        <v>713.35</v>
      </c>
      <c r="V33" s="13" t="n">
        <v>30.93</v>
      </c>
      <c r="W33" s="13" t="n">
        <v>1157.29</v>
      </c>
      <c r="X33" s="13" t="n">
        <v>2118.59</v>
      </c>
      <c r="Y33" s="13" t="n">
        <v>1482.12</v>
      </c>
      <c r="Z33" s="19" t="n"/>
      <c r="AA33" s="18" t="n"/>
      <c r="AB33" s="38" t="n">
        <v>19.7</v>
      </c>
      <c r="AC33" s="14">
        <f>IFERROR(AVERAGEIFS($E$16:$E$736,$W$16:$W$736,"&gt;="&amp;W33-$C$5,$W$16:$W$736,"&lt;="&amp;W33+$C$5,$B$16:$B$736,B33,$A$16:$A$736,"&lt;&gt;"&amp;A33),"")</f>
        <v/>
      </c>
      <c r="AD33" s="14">
        <f>IF(AND(ISNUMBER(E33),ISNUMBER(AC33)),E33-AC33,"")</f>
        <v/>
      </c>
    </row>
    <row r="34">
      <c r="A34" s="17" t="n">
        <v>46275</v>
      </c>
      <c r="B34" s="29">
        <f>MONTH(A34)</f>
        <v/>
      </c>
      <c r="C34" s="29">
        <f>IF(AND(ISNUMBER(W34),ISNUMBER($C$4),ABS(W34-$C$4)&lt;=$C$5,ABS(MOD(B34-$C$6+6,12)-6)&lt;=$C$7,OR($C$8="Any",P34=$C$8)),1,0)</f>
        <v/>
      </c>
      <c r="D34" s="29">
        <f>IF(C34=1,COUNTIF($C$16:C34,1),"")</f>
        <v/>
      </c>
      <c r="E34" s="18" t="n">
        <v>13.27</v>
      </c>
      <c r="F34" s="18" t="n">
        <v>18.58</v>
      </c>
      <c r="G34" s="18" t="n">
        <v>2.64</v>
      </c>
      <c r="H34" s="38" t="n">
        <v>16.2</v>
      </c>
      <c r="I34" s="38" t="n">
        <v>14.07</v>
      </c>
      <c r="J34" s="13" t="n">
        <v>10351</v>
      </c>
      <c r="K34" s="13" t="n">
        <v>10192.94</v>
      </c>
      <c r="L34" s="13" t="n">
        <v>2181.44</v>
      </c>
      <c r="M34" s="13" t="n">
        <v>2568.71</v>
      </c>
      <c r="N34" s="13" t="n">
        <v>4437</v>
      </c>
      <c r="O34" s="38" t="n">
        <v>57.89</v>
      </c>
      <c r="P34" s="39" t="inlineStr">
        <is>
          <t>Windy</t>
        </is>
      </c>
      <c r="Q34" s="13" t="n">
        <v>1115</v>
      </c>
      <c r="R34" s="13" t="n">
        <v>725.8</v>
      </c>
      <c r="S34" s="13" t="n">
        <v>-238.88</v>
      </c>
      <c r="T34" s="13" t="n">
        <v>8826.9</v>
      </c>
      <c r="U34" s="13" t="n">
        <v>620.6900000000001</v>
      </c>
      <c r="V34" s="13" t="n">
        <v>449.42</v>
      </c>
      <c r="W34" s="13" t="n">
        <v>985.9299999999999</v>
      </c>
      <c r="X34" s="13" t="n">
        <v>1996.73</v>
      </c>
      <c r="Y34" s="13" t="n">
        <v>1326.8</v>
      </c>
      <c r="Z34" s="19" t="n"/>
      <c r="AA34" s="18" t="n"/>
      <c r="AB34" s="38" t="n">
        <v>25.44</v>
      </c>
      <c r="AC34" s="14">
        <f>IFERROR(AVERAGEIFS($E$16:$E$736,$W$16:$W$736,"&gt;="&amp;W34-$C$5,$W$16:$W$736,"&lt;="&amp;W34+$C$5,$B$16:$B$736,B34,$A$16:$A$736,"&lt;&gt;"&amp;A34),"")</f>
        <v/>
      </c>
      <c r="AD34" s="14">
        <f>IF(AND(ISNUMBER(E34),ISNUMBER(AC34)),E34-AC34,"")</f>
        <v/>
      </c>
    </row>
    <row r="35">
      <c r="A35" s="17" t="n">
        <v>46274</v>
      </c>
      <c r="B35" s="29">
        <f>MONTH(A35)</f>
        <v/>
      </c>
      <c r="C35" s="29">
        <f>IF(AND(ISNUMBER(W35),ISNUMBER($C$4),ABS(W35-$C$4)&lt;=$C$5,ABS(MOD(B35-$C$6+6,12)-6)&lt;=$C$7,OR($C$8="Any",P35=$C$8)),1,0)</f>
        <v/>
      </c>
      <c r="D35" s="29">
        <f>IF(C35=1,COUNTIF($C$16:C35,1),"")</f>
        <v/>
      </c>
      <c r="E35" s="18" t="n">
        <v>13.18</v>
      </c>
      <c r="F35" s="18" t="n">
        <v>15.71</v>
      </c>
      <c r="G35" s="18" t="n">
        <v>8.130000000000001</v>
      </c>
      <c r="H35" s="38" t="n">
        <v>22.03</v>
      </c>
      <c r="I35" s="38" t="n">
        <v>16.38</v>
      </c>
      <c r="J35" s="13" t="n">
        <v>10746</v>
      </c>
      <c r="K35" s="13" t="n">
        <v>10374.62</v>
      </c>
      <c r="L35" s="13" t="n">
        <v>2466</v>
      </c>
      <c r="M35" s="13" t="n">
        <v>2543.79</v>
      </c>
      <c r="N35" s="13" t="n">
        <v>4437</v>
      </c>
      <c r="O35" s="38" t="n">
        <v>57.33</v>
      </c>
      <c r="P35" s="39" t="inlineStr">
        <is>
          <t>Windy</t>
        </is>
      </c>
      <c r="Q35" s="13" t="n">
        <v>1563</v>
      </c>
      <c r="R35" s="13" t="n">
        <v>690.0700000000001</v>
      </c>
      <c r="S35" s="13" t="n">
        <v>-418.17</v>
      </c>
      <c r="T35" s="13" t="n">
        <v>9060.719999999999</v>
      </c>
      <c r="U35" s="13" t="n">
        <v>631.79</v>
      </c>
      <c r="V35" s="13" t="n">
        <v>50.8</v>
      </c>
      <c r="W35" s="13" t="n">
        <v>1479.16</v>
      </c>
      <c r="X35" s="13" t="n">
        <v>2487.99</v>
      </c>
      <c r="Y35" s="13" t="n">
        <v>1723.35</v>
      </c>
      <c r="Z35" s="19" t="n"/>
      <c r="AA35" s="18" t="n"/>
      <c r="AB35" s="38" t="n">
        <v>28.81</v>
      </c>
      <c r="AC35" s="14">
        <f>IFERROR(AVERAGEIFS($E$16:$E$736,$W$16:$W$736,"&gt;="&amp;W35-$C$5,$W$16:$W$736,"&lt;="&amp;W35+$C$5,$B$16:$B$736,B35,$A$16:$A$736,"&lt;&gt;"&amp;A35),"")</f>
        <v/>
      </c>
      <c r="AD35" s="14">
        <f>IF(AND(ISNUMBER(E35),ISNUMBER(AC35)),E35-AC35,"")</f>
        <v/>
      </c>
    </row>
    <row r="36">
      <c r="A36" s="17" t="n">
        <v>46273</v>
      </c>
      <c r="B36" s="29">
        <f>MONTH(A36)</f>
        <v/>
      </c>
      <c r="C36" s="29">
        <f>IF(AND(ISNUMBER(W36),ISNUMBER($C$4),ABS(W36-$C$4)&lt;=$C$5,ABS(MOD(B36-$C$6+6,12)-6)&lt;=$C$7,OR($C$8="Any",P36=$C$8)),1,0)</f>
        <v/>
      </c>
      <c r="D36" s="29">
        <f>IF(C36=1,COUNTIF($C$16:C36,1),"")</f>
        <v/>
      </c>
      <c r="E36" s="18" t="n">
        <v>11.27</v>
      </c>
      <c r="F36" s="18" t="n">
        <v>15.95</v>
      </c>
      <c r="G36" s="18" t="n">
        <v>1.9</v>
      </c>
      <c r="H36" s="38" t="n">
        <v>19.5</v>
      </c>
      <c r="I36" s="38" t="n">
        <v>14.22</v>
      </c>
      <c r="J36" s="13" t="n">
        <v>10697</v>
      </c>
      <c r="K36" s="13" t="n">
        <v>10229.44</v>
      </c>
      <c r="L36" s="13" t="n">
        <v>1866.69</v>
      </c>
      <c r="M36" s="13" t="n">
        <v>2235.29</v>
      </c>
      <c r="N36" s="13" t="n">
        <v>4437</v>
      </c>
      <c r="O36" s="38" t="n">
        <v>50.38</v>
      </c>
      <c r="P36" s="39" t="inlineStr">
        <is>
          <t>Windy</t>
        </is>
      </c>
      <c r="Q36" s="13" t="n">
        <v>1497</v>
      </c>
      <c r="R36" s="13" t="n">
        <v>793.41</v>
      </c>
      <c r="S36" s="13" t="n">
        <v>-414.83</v>
      </c>
      <c r="T36" s="13" t="n">
        <v>9168.67</v>
      </c>
      <c r="U36" s="13" t="n">
        <v>613.72</v>
      </c>
      <c r="V36" s="13" t="n">
        <v>207.83</v>
      </c>
      <c r="W36" s="13" t="n">
        <v>1049.26</v>
      </c>
      <c r="X36" s="13" t="n">
        <v>2024.54</v>
      </c>
      <c r="Y36" s="13" t="n">
        <v>1460.18</v>
      </c>
      <c r="Z36" s="19" t="n"/>
      <c r="AA36" s="18" t="n"/>
      <c r="AB36" s="38" t="n">
        <v>19.76</v>
      </c>
      <c r="AC36" s="14">
        <f>IFERROR(AVERAGEIFS($E$16:$E$736,$W$16:$W$736,"&gt;="&amp;W36-$C$5,$W$16:$W$736,"&lt;="&amp;W36+$C$5,$B$16:$B$736,B36,$A$16:$A$736,"&lt;&gt;"&amp;A36),"")</f>
        <v/>
      </c>
      <c r="AD36" s="14">
        <f>IF(AND(ISNUMBER(E36),ISNUMBER(AC36)),E36-AC36,"")</f>
        <v/>
      </c>
    </row>
    <row r="37">
      <c r="A37" s="17" t="n">
        <v>46272</v>
      </c>
      <c r="B37" s="29">
        <f>MONTH(A37)</f>
        <v/>
      </c>
      <c r="C37" s="29">
        <f>IF(AND(ISNUMBER(W37),ISNUMBER($C$4),ABS(W37-$C$4)&lt;=$C$5,ABS(MOD(B37-$C$6+6,12)-6)&lt;=$C$7,OR($C$8="Any",P37=$C$8)),1,0)</f>
        <v/>
      </c>
      <c r="D37" s="29">
        <f>IF(C37=1,COUNTIF($C$16:C37,1),"")</f>
        <v/>
      </c>
      <c r="E37" s="18" t="n">
        <v>15.98</v>
      </c>
      <c r="F37" s="18" t="n">
        <v>12.8</v>
      </c>
      <c r="G37" s="18" t="n">
        <v>22.33</v>
      </c>
      <c r="H37" s="38" t="n">
        <v>14.47</v>
      </c>
      <c r="I37" s="38" t="n">
        <v>12.35</v>
      </c>
      <c r="J37" s="13" t="n">
        <v>10522</v>
      </c>
      <c r="K37" s="13" t="n">
        <v>10083.75</v>
      </c>
      <c r="L37" s="13" t="n">
        <v>2781.81</v>
      </c>
      <c r="M37" s="13" t="n">
        <v>2129.92</v>
      </c>
      <c r="N37" s="13" t="n">
        <v>4437</v>
      </c>
      <c r="O37" s="38" t="n">
        <v>48</v>
      </c>
      <c r="P37" s="39" t="inlineStr">
        <is>
          <t>Windy</t>
        </is>
      </c>
      <c r="Q37" s="13" t="n">
        <v>277</v>
      </c>
      <c r="R37" s="13" t="n">
        <v>801.02</v>
      </c>
      <c r="S37" s="13" t="n">
        <v>-331.92</v>
      </c>
      <c r="T37" s="13" t="n">
        <v>9325.67</v>
      </c>
      <c r="U37" s="13" t="n">
        <v>725.64</v>
      </c>
      <c r="V37" s="13" t="n">
        <v>59.93</v>
      </c>
      <c r="W37" s="13" t="n">
        <v>1680.51</v>
      </c>
      <c r="X37" s="13" t="n">
        <v>2695.3</v>
      </c>
      <c r="Y37" s="13" t="n">
        <v>1941.58</v>
      </c>
      <c r="Z37" s="19" t="n"/>
      <c r="AA37" s="18" t="n"/>
      <c r="AB37" s="38" t="n">
        <v>21.79</v>
      </c>
      <c r="AC37" s="14">
        <f>IFERROR(AVERAGEIFS($E$16:$E$736,$W$16:$W$736,"&gt;="&amp;W37-$C$5,$W$16:$W$736,"&lt;="&amp;W37+$C$5,$B$16:$B$736,B37,$A$16:$A$736,"&lt;&gt;"&amp;A37),"")</f>
        <v/>
      </c>
      <c r="AD37" s="14">
        <f>IF(AND(ISNUMBER(E37),ISNUMBER(AC37)),E37-AC37,"")</f>
        <v/>
      </c>
    </row>
    <row r="38">
      <c r="A38" s="17" t="n">
        <v>46271</v>
      </c>
      <c r="B38" s="29">
        <f>MONTH(A38)</f>
        <v/>
      </c>
      <c r="C38" s="29">
        <f>IF(AND(ISNUMBER(W38),ISNUMBER($C$4),ABS(W38-$C$4)&lt;=$C$5,ABS(MOD(B38-$C$6+6,12)-6)&lt;=$C$7,OR($C$8="Any",P38=$C$8)),1,0)</f>
        <v/>
      </c>
      <c r="D38" s="29">
        <f>IF(C38=1,COUNTIF($C$16:C38,1),"")</f>
        <v/>
      </c>
      <c r="E38" s="18" t="n">
        <v>31.02</v>
      </c>
      <c r="F38" s="18" t="n">
        <v>33.11</v>
      </c>
      <c r="G38" s="18" t="n">
        <v>26.84</v>
      </c>
      <c r="H38" s="38" t="n">
        <v>14.97</v>
      </c>
      <c r="I38" s="38" t="n">
        <v>11.95</v>
      </c>
      <c r="J38" s="13" t="n">
        <v>10077</v>
      </c>
      <c r="K38" s="13" t="n">
        <v>9872.879999999999</v>
      </c>
      <c r="L38" s="13" t="n">
        <v>409.19</v>
      </c>
      <c r="M38" s="13" t="n">
        <v>367.92</v>
      </c>
      <c r="N38" s="13" t="n">
        <v>4437</v>
      </c>
      <c r="O38" s="38" t="n">
        <v>8.289999999999999</v>
      </c>
      <c r="P38" s="39" t="inlineStr">
        <is>
          <t>Calm</t>
        </is>
      </c>
      <c r="Q38" s="13" t="n">
        <v>764</v>
      </c>
      <c r="R38" s="13" t="n">
        <v>805.8</v>
      </c>
      <c r="S38" s="13" t="n">
        <v>-92.92</v>
      </c>
      <c r="T38" s="13" t="n">
        <v>9405.879999999999</v>
      </c>
      <c r="U38" s="13" t="n">
        <v>799.86</v>
      </c>
      <c r="V38" s="13" t="n">
        <v>40.71</v>
      </c>
      <c r="W38" s="13" t="n">
        <v>722.02</v>
      </c>
      <c r="X38" s="13" t="n">
        <v>1183.16</v>
      </c>
      <c r="Y38" s="13" t="n">
        <v>914.01</v>
      </c>
      <c r="Z38" s="19" t="n"/>
      <c r="AA38" s="18" t="n"/>
      <c r="AB38" s="38" t="n">
        <v>11.94</v>
      </c>
      <c r="AC38" s="14">
        <f>IFERROR(AVERAGEIFS($E$16:$E$736,$W$16:$W$736,"&gt;="&amp;W38-$C$5,$W$16:$W$736,"&lt;="&amp;W38+$C$5,$B$16:$B$736,B38,$A$16:$A$736,"&lt;&gt;"&amp;A38),"")</f>
        <v/>
      </c>
      <c r="AD38" s="14">
        <f>IF(AND(ISNUMBER(E38),ISNUMBER(AC38)),E38-AC38,"")</f>
        <v/>
      </c>
    </row>
    <row r="39">
      <c r="A39" s="17" t="n">
        <v>46270</v>
      </c>
      <c r="B39" s="29">
        <f>MONTH(A39)</f>
        <v/>
      </c>
      <c r="C39" s="29">
        <f>IF(AND(ISNUMBER(W39),ISNUMBER($C$4),ABS(W39-$C$4)&lt;=$C$5,ABS(MOD(B39-$C$6+6,12)-6)&lt;=$C$7,OR($C$8="Any",P39=$C$8)),1,0)</f>
        <v/>
      </c>
      <c r="D39" s="29">
        <f>IF(C39=1,COUNTIF($C$16:C39,1),"")</f>
        <v/>
      </c>
      <c r="E39" s="18" t="n">
        <v>26.05</v>
      </c>
      <c r="F39" s="18" t="n">
        <v>28.62</v>
      </c>
      <c r="G39" s="18" t="n">
        <v>20.89</v>
      </c>
      <c r="H39" s="38" t="n">
        <v>12.73</v>
      </c>
      <c r="I39" s="38" t="n">
        <v>11.09</v>
      </c>
      <c r="J39" s="13" t="n">
        <v>10092</v>
      </c>
      <c r="K39" s="13" t="n">
        <v>9929.440000000001</v>
      </c>
      <c r="L39" s="13" t="n">
        <v>488.38</v>
      </c>
      <c r="M39" s="13" t="n">
        <v>707.71</v>
      </c>
      <c r="N39" s="13" t="n">
        <v>4437</v>
      </c>
      <c r="O39" s="38" t="n">
        <v>15.95</v>
      </c>
      <c r="P39" s="39" t="inlineStr">
        <is>
          <t>Calm</t>
        </is>
      </c>
      <c r="Q39" s="13" t="n">
        <v>712</v>
      </c>
      <c r="R39" s="13" t="n">
        <v>812.0700000000001</v>
      </c>
      <c r="S39" s="13" t="n">
        <v>-133.75</v>
      </c>
      <c r="T39" s="13" t="n">
        <v>9250.620000000001</v>
      </c>
      <c r="U39" s="13" t="n">
        <v>808.98</v>
      </c>
      <c r="V39" s="13" t="n">
        <v>38.88</v>
      </c>
      <c r="W39" s="13" t="n">
        <v>842.4299999999999</v>
      </c>
      <c r="X39" s="13" t="n">
        <v>1083.89</v>
      </c>
      <c r="Y39" s="13" t="n">
        <v>1051.98</v>
      </c>
      <c r="Z39" s="19" t="n"/>
      <c r="AA39" s="18" t="n"/>
      <c r="AB39" s="38" t="n">
        <v>11.3</v>
      </c>
      <c r="AC39" s="14">
        <f>IFERROR(AVERAGEIFS($E$16:$E$736,$W$16:$W$736,"&gt;="&amp;W39-$C$5,$W$16:$W$736,"&lt;="&amp;W39+$C$5,$B$16:$B$736,B39,$A$16:$A$736,"&lt;&gt;"&amp;A39),"")</f>
        <v/>
      </c>
      <c r="AD39" s="14">
        <f>IF(AND(ISNUMBER(E39),ISNUMBER(AC39)),E39-AC39,"")</f>
        <v/>
      </c>
    </row>
    <row r="40">
      <c r="A40" s="17" t="n">
        <v>46269</v>
      </c>
      <c r="B40" s="29">
        <f>MONTH(A40)</f>
        <v/>
      </c>
      <c r="C40" s="29">
        <f>IF(AND(ISNUMBER(W40),ISNUMBER($C$4),ABS(W40-$C$4)&lt;=$C$5,ABS(MOD(B40-$C$6+6,12)-6)&lt;=$C$7,OR($C$8="Any",P40=$C$8)),1,0)</f>
        <v/>
      </c>
      <c r="D40" s="29">
        <f>IF(C40=1,COUNTIF($C$16:C40,1),"")</f>
        <v/>
      </c>
      <c r="E40" s="18" t="n">
        <v>25.3</v>
      </c>
      <c r="F40" s="18" t="n">
        <v>24.05</v>
      </c>
      <c r="G40" s="18" t="n">
        <v>27.81</v>
      </c>
      <c r="H40" s="38" t="n">
        <v>17.87</v>
      </c>
      <c r="I40" s="38" t="n">
        <v>12.95</v>
      </c>
      <c r="J40" s="13" t="n">
        <v>10583</v>
      </c>
      <c r="K40" s="13" t="n">
        <v>10382.88</v>
      </c>
      <c r="L40" s="13" t="n">
        <v>1050.44</v>
      </c>
      <c r="M40" s="13" t="n">
        <v>1034.71</v>
      </c>
      <c r="N40" s="13" t="n">
        <v>4437</v>
      </c>
      <c r="O40" s="38" t="n">
        <v>23.32</v>
      </c>
      <c r="P40" s="39" t="inlineStr">
        <is>
          <t>Windy</t>
        </is>
      </c>
      <c r="Q40" s="13" t="n">
        <v>1418</v>
      </c>
      <c r="R40" s="13" t="n">
        <v>815.36</v>
      </c>
      <c r="S40" s="13" t="n">
        <v>-84.5</v>
      </c>
      <c r="T40" s="13" t="n">
        <v>9005.450000000001</v>
      </c>
      <c r="U40" s="13" t="n">
        <v>808.54</v>
      </c>
      <c r="V40" s="13" t="n">
        <v>73.87</v>
      </c>
      <c r="W40" s="13" t="n">
        <v>624.52</v>
      </c>
      <c r="X40" s="13" t="n">
        <v>1344.97</v>
      </c>
      <c r="Y40" s="13" t="n">
        <v>824.88</v>
      </c>
      <c r="Z40" s="19" t="n"/>
      <c r="AA40" s="18" t="n"/>
      <c r="AB40" s="38" t="n">
        <v>16.25</v>
      </c>
      <c r="AC40" s="14">
        <f>IFERROR(AVERAGEIFS($E$16:$E$736,$W$16:$W$736,"&gt;="&amp;W40-$C$5,$W$16:$W$736,"&lt;="&amp;W40+$C$5,$B$16:$B$736,B40,$A$16:$A$736,"&lt;&gt;"&amp;A40),"")</f>
        <v/>
      </c>
      <c r="AD40" s="14">
        <f>IF(AND(ISNUMBER(E40),ISNUMBER(AC40)),E40-AC40,"")</f>
        <v/>
      </c>
    </row>
    <row r="41">
      <c r="A41" s="17" t="n">
        <v>46268</v>
      </c>
      <c r="B41" s="29">
        <f>MONTH(A41)</f>
        <v/>
      </c>
      <c r="C41" s="29">
        <f>IF(AND(ISNUMBER(W41),ISNUMBER($C$4),ABS(W41-$C$4)&lt;=$C$5,ABS(MOD(B41-$C$6+6,12)-6)&lt;=$C$7,OR($C$8="Any",P41=$C$8)),1,0)</f>
        <v/>
      </c>
      <c r="D41" s="29">
        <f>IF(C41=1,COUNTIF($C$16:C41,1),"")</f>
        <v/>
      </c>
      <c r="E41" s="18" t="n">
        <v>16.52</v>
      </c>
      <c r="F41" s="18" t="n">
        <v>22.27</v>
      </c>
      <c r="G41" s="18" t="n">
        <v>5.01</v>
      </c>
      <c r="H41" s="38" t="n">
        <v>17.93</v>
      </c>
      <c r="I41" s="38" t="n">
        <v>15.26</v>
      </c>
      <c r="J41" s="13" t="n">
        <v>10971</v>
      </c>
      <c r="K41" s="13" t="n">
        <v>10743.31</v>
      </c>
      <c r="L41" s="13" t="n">
        <v>2556.44</v>
      </c>
      <c r="M41" s="13" t="n">
        <v>2723.08</v>
      </c>
      <c r="N41" s="13" t="n">
        <v>4437</v>
      </c>
      <c r="O41" s="38" t="n">
        <v>61.37</v>
      </c>
      <c r="P41" s="39" t="inlineStr">
        <is>
          <t>Windy</t>
        </is>
      </c>
      <c r="Q41" s="13" t="n">
        <v>1428</v>
      </c>
      <c r="R41" s="13" t="n">
        <v>815.36</v>
      </c>
      <c r="S41" s="13" t="n">
        <v>-495.25</v>
      </c>
      <c r="T41" s="13" t="n">
        <v>8971.860000000001</v>
      </c>
      <c r="U41" s="13" t="n">
        <v>720</v>
      </c>
      <c r="V41" s="13" t="n">
        <v>20.19</v>
      </c>
      <c r="W41" s="13" t="n">
        <v>769.34</v>
      </c>
      <c r="X41" s="13" t="n">
        <v>1964.54</v>
      </c>
      <c r="Y41" s="13" t="n">
        <v>969.71</v>
      </c>
      <c r="Z41" s="19" t="n"/>
      <c r="AA41" s="18" t="n"/>
      <c r="AB41" s="38" t="n">
        <v>21.23</v>
      </c>
      <c r="AC41" s="14">
        <f>IFERROR(AVERAGEIFS($E$16:$E$736,$W$16:$W$736,"&gt;="&amp;W41-$C$5,$W$16:$W$736,"&lt;="&amp;W41+$C$5,$B$16:$B$736,B41,$A$16:$A$736,"&lt;&gt;"&amp;A41),"")</f>
        <v/>
      </c>
      <c r="AD41" s="14">
        <f>IF(AND(ISNUMBER(E41),ISNUMBER(AC41)),E41-AC41,"")</f>
        <v/>
      </c>
    </row>
    <row r="42">
      <c r="A42" s="17" t="n">
        <v>46267</v>
      </c>
      <c r="B42" s="29">
        <f>MONTH(A42)</f>
        <v/>
      </c>
      <c r="C42" s="29">
        <f>IF(AND(ISNUMBER(W42),ISNUMBER($C$4),ABS(W42-$C$4)&lt;=$C$5,ABS(MOD(B42-$C$6+6,12)-6)&lt;=$C$7,OR($C$8="Any",P42=$C$8)),1,0)</f>
        <v/>
      </c>
      <c r="D42" s="29">
        <f>IF(C42=1,COUNTIF($C$16:C42,1),"")</f>
        <v/>
      </c>
      <c r="E42" s="18" t="n">
        <v>26.17</v>
      </c>
      <c r="F42" s="18" t="n">
        <v>35.62</v>
      </c>
      <c r="G42" s="18" t="n">
        <v>7.29</v>
      </c>
      <c r="H42" s="38" t="n">
        <v>23.87</v>
      </c>
      <c r="I42" s="38" t="n">
        <v>18.21</v>
      </c>
      <c r="J42" s="13" t="n">
        <v>11202</v>
      </c>
      <c r="K42" s="13" t="n">
        <v>10807</v>
      </c>
      <c r="L42" s="13" t="n">
        <v>1577.94</v>
      </c>
      <c r="M42" s="13" t="n">
        <v>1974.17</v>
      </c>
      <c r="N42" s="13" t="n">
        <v>4437</v>
      </c>
      <c r="O42" s="38" t="n">
        <v>44.49</v>
      </c>
      <c r="P42" s="39" t="inlineStr">
        <is>
          <t>Windy</t>
        </is>
      </c>
      <c r="Q42" s="13" t="n">
        <v>1206</v>
      </c>
      <c r="R42" s="13" t="n">
        <v>816.14</v>
      </c>
      <c r="S42" s="13" t="n">
        <v>4.67</v>
      </c>
      <c r="T42" s="13" t="n">
        <v>8701.559999999999</v>
      </c>
      <c r="U42" s="13" t="n">
        <v>724.12</v>
      </c>
      <c r="V42" s="13" t="n">
        <v>382.42</v>
      </c>
      <c r="W42" s="13" t="n">
        <v>194.4</v>
      </c>
      <c r="X42" s="13" t="n">
        <v>1100.82</v>
      </c>
      <c r="Y42" s="13" t="n">
        <v>543.34</v>
      </c>
      <c r="Z42" s="19" t="n"/>
      <c r="AA42" s="18" t="n"/>
      <c r="AB42" s="38" t="n">
        <v>16.09</v>
      </c>
      <c r="AC42" s="14">
        <f>IFERROR(AVERAGEIFS($E$16:$E$736,$W$16:$W$736,"&gt;="&amp;W42-$C$5,$W$16:$W$736,"&lt;="&amp;W42+$C$5,$B$16:$B$736,B42,$A$16:$A$736,"&lt;&gt;"&amp;A42),"")</f>
        <v/>
      </c>
      <c r="AD42" s="14">
        <f>IF(AND(ISNUMBER(E42),ISNUMBER(AC42)),E42-AC42,"")</f>
        <v/>
      </c>
    </row>
    <row r="43">
      <c r="A43" s="17" t="n">
        <v>46266</v>
      </c>
      <c r="B43" s="29">
        <f>MONTH(A43)</f>
        <v/>
      </c>
      <c r="C43" s="29">
        <f>IF(AND(ISNUMBER(W43),ISNUMBER($C$4),ABS(W43-$C$4)&lt;=$C$5,ABS(MOD(B43-$C$6+6,12)-6)&lt;=$C$7,OR($C$8="Any",P43=$C$8)),1,0)</f>
        <v/>
      </c>
      <c r="D43" s="29">
        <f>IF(C43=1,COUNTIF($C$16:C43,1),"")</f>
        <v/>
      </c>
      <c r="E43" s="18" t="n">
        <v>98.89</v>
      </c>
      <c r="F43" s="18" t="n">
        <v>145.72</v>
      </c>
      <c r="G43" s="18" t="n">
        <v>5.24</v>
      </c>
      <c r="H43" s="38" t="n">
        <v>25.23</v>
      </c>
      <c r="I43" s="38" t="n">
        <v>17.56</v>
      </c>
      <c r="J43" s="13" t="n">
        <v>11269</v>
      </c>
      <c r="K43" s="13" t="n">
        <v>10603.69</v>
      </c>
      <c r="L43" s="13" t="n">
        <v>1410</v>
      </c>
      <c r="M43" s="13" t="n">
        <v>1617.71</v>
      </c>
      <c r="N43" s="13" t="n">
        <v>4437</v>
      </c>
      <c r="O43" s="38" t="n">
        <v>36.46</v>
      </c>
      <c r="P43" s="39" t="inlineStr">
        <is>
          <t>Windy</t>
        </is>
      </c>
      <c r="Q43" s="13" t="n">
        <v>1532</v>
      </c>
      <c r="R43" s="13" t="n">
        <v>815.14</v>
      </c>
      <c r="S43" s="13" t="n">
        <v>-153.08</v>
      </c>
      <c r="T43" s="13" t="n">
        <v>9031.620000000001</v>
      </c>
      <c r="U43" s="13" t="n">
        <v>764.1799999999999</v>
      </c>
      <c r="V43" s="13" t="n">
        <v>403.94</v>
      </c>
      <c r="W43" s="13" t="n">
        <v>164.08</v>
      </c>
      <c r="X43" s="13" t="n">
        <v>1560.16</v>
      </c>
      <c r="Y43" s="13" t="n">
        <v>442.53</v>
      </c>
      <c r="Z43" s="19" t="n"/>
      <c r="AA43" s="18" t="n"/>
      <c r="AB43" s="38" t="n">
        <v>14.97</v>
      </c>
      <c r="AC43" s="14">
        <f>IFERROR(AVERAGEIFS($E$16:$E$736,$W$16:$W$736,"&gt;="&amp;W43-$C$5,$W$16:$W$736,"&lt;="&amp;W43+$C$5,$B$16:$B$736,B43,$A$16:$A$736,"&lt;&gt;"&amp;A43),"")</f>
        <v/>
      </c>
      <c r="AD43" s="14">
        <f>IF(AND(ISNUMBER(E43),ISNUMBER(AC43)),E43-AC43,"")</f>
        <v/>
      </c>
    </row>
    <row r="44">
      <c r="A44" s="17" t="n">
        <v>46265</v>
      </c>
      <c r="B44" s="29">
        <f>MONTH(A44)</f>
        <v/>
      </c>
      <c r="C44" s="29">
        <f>IF(AND(ISNUMBER(W44),ISNUMBER($C$4),ABS(W44-$C$4)&lt;=$C$5,ABS(MOD(B44-$C$6+6,12)-6)&lt;=$C$7,OR($C$8="Any",P44=$C$8)),1,0)</f>
        <v/>
      </c>
      <c r="D44" s="29">
        <f>IF(C44=1,COUNTIF($C$16:C44,1),"")</f>
        <v/>
      </c>
      <c r="E44" s="18" t="n">
        <v>89.83</v>
      </c>
      <c r="F44" s="18" t="n">
        <v>133.04</v>
      </c>
      <c r="G44" s="18" t="n">
        <v>3.41</v>
      </c>
      <c r="H44" s="38" t="n">
        <v>21.77</v>
      </c>
      <c r="I44" s="38" t="n">
        <v>15.93</v>
      </c>
      <c r="J44" s="13" t="n">
        <v>11174</v>
      </c>
      <c r="K44" s="13" t="n">
        <v>10647.06</v>
      </c>
      <c r="L44" s="13" t="n">
        <v>1374.25</v>
      </c>
      <c r="M44" s="13" t="n">
        <v>1792.83</v>
      </c>
      <c r="N44" s="13" t="n">
        <v>4437</v>
      </c>
      <c r="O44" s="38" t="n">
        <v>40.41</v>
      </c>
      <c r="P44" s="39" t="inlineStr">
        <is>
          <t>Windy</t>
        </is>
      </c>
      <c r="Q44" s="13" t="n">
        <v>1663</v>
      </c>
      <c r="R44" s="13" t="n">
        <v>816.0700000000001</v>
      </c>
      <c r="S44" s="13" t="n">
        <v>-15.33</v>
      </c>
      <c r="T44" s="13" t="n">
        <v>9408.02</v>
      </c>
      <c r="U44" s="13" t="n">
        <v>783.76</v>
      </c>
      <c r="V44" s="13" t="n">
        <v>185.81</v>
      </c>
      <c r="W44" s="13" t="n">
        <v>317.12</v>
      </c>
      <c r="X44" s="13" t="n">
        <v>2191.02</v>
      </c>
      <c r="Y44" s="13" t="n">
        <v>530.66</v>
      </c>
      <c r="Z44" s="19" t="n"/>
      <c r="AA44" s="18" t="n"/>
      <c r="AB44" s="38" t="n">
        <v>16.97</v>
      </c>
      <c r="AC44" s="14">
        <f>IFERROR(AVERAGEIFS($E$16:$E$736,$W$16:$W$736,"&gt;="&amp;W44-$C$5,$W$16:$W$736,"&lt;="&amp;W44+$C$5,$B$16:$B$736,B44,$A$16:$A$736,"&lt;&gt;"&amp;A44),"")</f>
        <v/>
      </c>
      <c r="AD44" s="14">
        <f>IF(AND(ISNUMBER(E44),ISNUMBER(AC44)),E44-AC44,"")</f>
        <v/>
      </c>
    </row>
    <row r="45">
      <c r="A45" s="17" t="n">
        <v>46264</v>
      </c>
      <c r="B45" s="29">
        <f>MONTH(A45)</f>
        <v/>
      </c>
      <c r="C45" s="29">
        <f>IF(AND(ISNUMBER(W45),ISNUMBER($C$4),ABS(W45-$C$4)&lt;=$C$5,ABS(MOD(B45-$C$6+6,12)-6)&lt;=$C$7,OR($C$8="Any",P45=$C$8)),1,0)</f>
        <v/>
      </c>
      <c r="D45" s="29">
        <f>IF(C45=1,COUNTIF($C$16:C45,1),"")</f>
        <v/>
      </c>
      <c r="E45" s="18" t="n">
        <v>5.75</v>
      </c>
      <c r="F45" s="18" t="n">
        <v>6.61</v>
      </c>
      <c r="G45" s="18" t="n">
        <v>4.01</v>
      </c>
      <c r="H45" s="38" t="n">
        <v>15.83</v>
      </c>
      <c r="I45" s="38" t="n">
        <v>13.25</v>
      </c>
      <c r="J45" s="13" t="n">
        <v>10572</v>
      </c>
      <c r="K45" s="13" t="n">
        <v>10124.38</v>
      </c>
      <c r="L45" s="13" t="n">
        <v>2203.38</v>
      </c>
      <c r="M45" s="13" t="n">
        <v>2167.04</v>
      </c>
      <c r="N45" s="13" t="n">
        <v>4437</v>
      </c>
      <c r="O45" s="38" t="n">
        <v>48.84</v>
      </c>
      <c r="P45" s="39" t="inlineStr">
        <is>
          <t>Windy</t>
        </is>
      </c>
      <c r="Q45" s="13" t="n">
        <v>1144</v>
      </c>
      <c r="R45" s="13" t="n">
        <v>818.9400000000001</v>
      </c>
      <c r="S45" s="13" t="n">
        <v>-68.62</v>
      </c>
      <c r="T45" s="13" t="n">
        <v>9586.93</v>
      </c>
      <c r="U45" s="13" t="n">
        <v>779.89</v>
      </c>
      <c r="V45" s="13" t="n">
        <v>409.32</v>
      </c>
      <c r="W45" s="13" t="n">
        <v>2276.64</v>
      </c>
      <c r="X45" s="13" t="n">
        <v>3162.2</v>
      </c>
      <c r="Y45" s="13" t="n">
        <v>2486.67</v>
      </c>
      <c r="Z45" s="19" t="n"/>
      <c r="AA45" s="18" t="n"/>
      <c r="AB45" s="38" t="n">
        <v>24.77</v>
      </c>
      <c r="AC45" s="14">
        <f>IFERROR(AVERAGEIFS($E$16:$E$736,$W$16:$W$736,"&gt;="&amp;W45-$C$5,$W$16:$W$736,"&lt;="&amp;W45+$C$5,$B$16:$B$736,B45,$A$16:$A$736,"&lt;&gt;"&amp;A45),"")</f>
        <v/>
      </c>
      <c r="AD45" s="14">
        <f>IF(AND(ISNUMBER(E45),ISNUMBER(AC45)),E45-AC45,"")</f>
        <v/>
      </c>
    </row>
    <row r="46">
      <c r="A46" s="17" t="n">
        <v>46263</v>
      </c>
      <c r="B46" s="29">
        <f>MONTH(A46)</f>
        <v/>
      </c>
      <c r="C46" s="29">
        <f>IF(AND(ISNUMBER(W46),ISNUMBER($C$4),ABS(W46-$C$4)&lt;=$C$5,ABS(MOD(B46-$C$6+6,12)-6)&lt;=$C$7,OR($C$8="Any",P46=$C$8)),1,0)</f>
        <v/>
      </c>
      <c r="D46" s="29">
        <f>IF(C46=1,COUNTIF($C$16:C46,1),"")</f>
        <v/>
      </c>
      <c r="E46" s="18" t="n">
        <v>14.59</v>
      </c>
      <c r="F46" s="18" t="n">
        <v>14.73</v>
      </c>
      <c r="G46" s="18" t="n">
        <v>14.31</v>
      </c>
      <c r="H46" s="38" t="n">
        <v>22.27</v>
      </c>
      <c r="I46" s="38" t="n">
        <v>16.22</v>
      </c>
      <c r="J46" s="13" t="n">
        <v>10749</v>
      </c>
      <c r="K46" s="13" t="n">
        <v>10281.56</v>
      </c>
      <c r="L46" s="13" t="n">
        <v>1236.88</v>
      </c>
      <c r="M46" s="13" t="n">
        <v>1257.75</v>
      </c>
      <c r="N46" s="13" t="n">
        <v>4437</v>
      </c>
      <c r="O46" s="38" t="n">
        <v>28.35</v>
      </c>
      <c r="P46" s="39" t="inlineStr">
        <is>
          <t>Windy</t>
        </is>
      </c>
      <c r="Q46" s="13" t="n">
        <v>1546</v>
      </c>
      <c r="R46" s="13" t="n">
        <v>818.9400000000001</v>
      </c>
      <c r="S46" s="13" t="n">
        <v>-54.42</v>
      </c>
      <c r="T46" s="13" t="n">
        <v>9838.93</v>
      </c>
      <c r="U46" s="13" t="n">
        <v>799.98</v>
      </c>
      <c r="V46" s="13" t="n">
        <v>173.56</v>
      </c>
      <c r="W46" s="13" t="n">
        <v>2037.23</v>
      </c>
      <c r="X46" s="13" t="n">
        <v>2545.72</v>
      </c>
      <c r="Y46" s="13" t="n">
        <v>2250.31</v>
      </c>
      <c r="Z46" s="19" t="n"/>
      <c r="AA46" s="18" t="n"/>
      <c r="AB46" s="38" t="n">
        <v>15.39</v>
      </c>
      <c r="AC46" s="14">
        <f>IFERROR(AVERAGEIFS($E$16:$E$736,$W$16:$W$736,"&gt;="&amp;W46-$C$5,$W$16:$W$736,"&lt;="&amp;W46+$C$5,$B$16:$B$736,B46,$A$16:$A$736,"&lt;&gt;"&amp;A46),"")</f>
        <v/>
      </c>
      <c r="AD46" s="14">
        <f>IF(AND(ISNUMBER(E46),ISNUMBER(AC46)),E46-AC46,"")</f>
        <v/>
      </c>
    </row>
    <row r="47">
      <c r="A47" s="17" t="n">
        <v>46262</v>
      </c>
      <c r="B47" s="29">
        <f>MONTH(A47)</f>
        <v/>
      </c>
      <c r="C47" s="29">
        <f>IF(AND(ISNUMBER(W47),ISNUMBER($C$4),ABS(W47-$C$4)&lt;=$C$5,ABS(MOD(B47-$C$6+6,12)-6)&lt;=$C$7,OR($C$8="Any",P47=$C$8)),1,0)</f>
        <v/>
      </c>
      <c r="D47" s="29">
        <f>IF(C47=1,COUNTIF($C$16:C47,1),"")</f>
        <v/>
      </c>
      <c r="E47" s="18" t="n">
        <v>19.59</v>
      </c>
      <c r="F47" s="18" t="n">
        <v>22.45</v>
      </c>
      <c r="G47" s="18" t="n">
        <v>13.88</v>
      </c>
      <c r="H47" s="38" t="n">
        <v>23.53</v>
      </c>
      <c r="I47" s="38" t="n">
        <v>18.46</v>
      </c>
      <c r="J47" s="13" t="n">
        <v>11285</v>
      </c>
      <c r="K47" s="13" t="n">
        <v>10807.44</v>
      </c>
      <c r="L47" s="13" t="n">
        <v>981.1900000000001</v>
      </c>
      <c r="M47" s="13" t="n">
        <v>1226.46</v>
      </c>
      <c r="N47" s="13" t="n">
        <v>4437</v>
      </c>
      <c r="O47" s="38" t="n">
        <v>27.64</v>
      </c>
      <c r="P47" s="39" t="inlineStr">
        <is>
          <t>Windy</t>
        </is>
      </c>
      <c r="Q47" s="13" t="n">
        <v>1648</v>
      </c>
      <c r="R47" s="13" t="n">
        <v>822.34</v>
      </c>
      <c r="S47" s="13" t="n">
        <v>-58.79</v>
      </c>
      <c r="T47" s="13" t="n">
        <v>9808.629999999999</v>
      </c>
      <c r="U47" s="13" t="n">
        <v>784.46</v>
      </c>
      <c r="V47" s="13" t="n">
        <v>131.68</v>
      </c>
      <c r="W47" s="13" t="n">
        <v>1111.76</v>
      </c>
      <c r="X47" s="13" t="n">
        <v>1944.62</v>
      </c>
      <c r="Y47" s="13" t="n">
        <v>1323.59</v>
      </c>
      <c r="Z47" s="19" t="n"/>
      <c r="AA47" s="18" t="n"/>
      <c r="AB47" s="38" t="n">
        <v>14.18</v>
      </c>
      <c r="AC47" s="14">
        <f>IFERROR(AVERAGEIFS($E$16:$E$736,$W$16:$W$736,"&gt;="&amp;W47-$C$5,$W$16:$W$736,"&lt;="&amp;W47+$C$5,$B$16:$B$736,B47,$A$16:$A$736,"&lt;&gt;"&amp;A47),"")</f>
        <v/>
      </c>
      <c r="AD47" s="14">
        <f>IF(AND(ISNUMBER(E47),ISNUMBER(AC47)),E47-AC47,"")</f>
        <v/>
      </c>
    </row>
    <row r="48">
      <c r="A48" s="17" t="n">
        <v>46261</v>
      </c>
      <c r="B48" s="29">
        <f>MONTH(A48)</f>
        <v/>
      </c>
      <c r="C48" s="29">
        <f>IF(AND(ISNUMBER(W48),ISNUMBER($C$4),ABS(W48-$C$4)&lt;=$C$5,ABS(MOD(B48-$C$6+6,12)-6)&lt;=$C$7,OR($C$8="Any",P48=$C$8)),1,0)</f>
        <v/>
      </c>
      <c r="D48" s="29">
        <f>IF(C48=1,COUNTIF($C$16:C48,1),"")</f>
        <v/>
      </c>
      <c r="E48" s="18" t="n">
        <v>15.83</v>
      </c>
      <c r="F48" s="18" t="n">
        <v>20.55</v>
      </c>
      <c r="G48" s="18" t="n">
        <v>6.39</v>
      </c>
      <c r="H48" s="38" t="n">
        <v>28.2</v>
      </c>
      <c r="I48" s="38" t="n">
        <v>21.64</v>
      </c>
      <c r="J48" s="13" t="n">
        <v>11829</v>
      </c>
      <c r="K48" s="13" t="n">
        <v>11292.94</v>
      </c>
      <c r="L48" s="13" t="n">
        <v>2059.5</v>
      </c>
      <c r="M48" s="13" t="n">
        <v>2225.29</v>
      </c>
      <c r="N48" s="13" t="n">
        <v>4437</v>
      </c>
      <c r="O48" s="38" t="n">
        <v>50.15</v>
      </c>
      <c r="P48" s="39" t="inlineStr">
        <is>
          <t>Windy</t>
        </is>
      </c>
      <c r="Q48" s="13" t="n">
        <v>1438</v>
      </c>
      <c r="R48" s="13" t="n">
        <v>822.9</v>
      </c>
      <c r="S48" s="13" t="n">
        <v>-40.92</v>
      </c>
      <c r="T48" s="13" t="n">
        <v>9524.450000000001</v>
      </c>
      <c r="U48" s="13" t="n">
        <v>739.02</v>
      </c>
      <c r="V48" s="13" t="n">
        <v>147.68</v>
      </c>
      <c r="W48" s="13" t="n">
        <v>1192.52</v>
      </c>
      <c r="X48" s="13" t="n">
        <v>1926.76</v>
      </c>
      <c r="Y48" s="13" t="n">
        <v>1427.31</v>
      </c>
      <c r="Z48" s="19" t="n"/>
      <c r="AA48" s="18" t="n"/>
      <c r="AB48" s="38" t="n">
        <v>16.69</v>
      </c>
      <c r="AC48" s="14">
        <f>IFERROR(AVERAGEIFS($E$16:$E$736,$W$16:$W$736,"&gt;="&amp;W48-$C$5,$W$16:$W$736,"&lt;="&amp;W48+$C$5,$B$16:$B$736,B48,$A$16:$A$736,"&lt;&gt;"&amp;A48),"")</f>
        <v/>
      </c>
      <c r="AD48" s="14">
        <f>IF(AND(ISNUMBER(E48),ISNUMBER(AC48)),E48-AC48,"")</f>
        <v/>
      </c>
    </row>
    <row r="49">
      <c r="A49" s="17" t="n">
        <v>46260</v>
      </c>
      <c r="B49" s="29">
        <f>MONTH(A49)</f>
        <v/>
      </c>
      <c r="C49" s="29">
        <f>IF(AND(ISNUMBER(W49),ISNUMBER($C$4),ABS(W49-$C$4)&lt;=$C$5,ABS(MOD(B49-$C$6+6,12)-6)&lt;=$C$7,OR($C$8="Any",P49=$C$8)),1,0)</f>
        <v/>
      </c>
      <c r="D49" s="29">
        <f>IF(C49=1,COUNTIF($C$16:C49,1),"")</f>
        <v/>
      </c>
      <c r="E49" s="18" t="n">
        <v>112.75</v>
      </c>
      <c r="F49" s="18" t="n">
        <v>168.47</v>
      </c>
      <c r="G49" s="18" t="n">
        <v>1.3</v>
      </c>
      <c r="H49" s="38" t="n">
        <v>28.53</v>
      </c>
      <c r="I49" s="38" t="n">
        <v>20.45</v>
      </c>
      <c r="J49" s="13" t="n">
        <v>11858</v>
      </c>
      <c r="K49" s="13" t="n">
        <v>11204.5</v>
      </c>
      <c r="L49" s="13" t="n">
        <v>1474.12</v>
      </c>
      <c r="M49" s="13" t="n">
        <v>1821.04</v>
      </c>
      <c r="N49" s="13" t="n">
        <v>4437</v>
      </c>
      <c r="O49" s="38" t="n">
        <v>41.04</v>
      </c>
      <c r="P49" s="39" t="inlineStr">
        <is>
          <t>Windy</t>
        </is>
      </c>
      <c r="Q49" s="13" t="n">
        <v>1678</v>
      </c>
      <c r="R49" s="13" t="n">
        <v>827.01</v>
      </c>
      <c r="S49" s="13" t="n">
        <v>-41.46</v>
      </c>
      <c r="T49" s="13" t="n">
        <v>9485.92</v>
      </c>
      <c r="U49" s="13" t="n">
        <v>719.8099999999999</v>
      </c>
      <c r="V49" s="13" t="n">
        <v>61.22</v>
      </c>
      <c r="W49" s="13" t="n">
        <v>104.74</v>
      </c>
      <c r="X49" s="13" t="n">
        <v>1681.82</v>
      </c>
      <c r="Y49" s="13" t="n">
        <v>394.83</v>
      </c>
      <c r="Z49" s="19" t="n"/>
      <c r="AA49" s="18" t="n"/>
      <c r="AB49" s="38" t="n">
        <v>14.65</v>
      </c>
      <c r="AC49" s="14">
        <f>IFERROR(AVERAGEIFS($E$16:$E$736,$W$16:$W$736,"&gt;="&amp;W49-$C$5,$W$16:$W$736,"&lt;="&amp;W49+$C$5,$B$16:$B$736,B49,$A$16:$A$736,"&lt;&gt;"&amp;A49),"")</f>
        <v/>
      </c>
      <c r="AD49" s="14">
        <f>IF(AND(ISNUMBER(E49),ISNUMBER(AC49)),E49-AC49,"")</f>
        <v/>
      </c>
    </row>
    <row r="50">
      <c r="A50" s="17" t="n">
        <v>46259</v>
      </c>
      <c r="B50" s="29">
        <f>MONTH(A50)</f>
        <v/>
      </c>
      <c r="C50" s="29">
        <f>IF(AND(ISNUMBER(W50),ISNUMBER($C$4),ABS(W50-$C$4)&lt;=$C$5,ABS(MOD(B50-$C$6+6,12)-6)&lt;=$C$7,OR($C$8="Any",P50=$C$8)),1,0)</f>
        <v/>
      </c>
      <c r="D50" s="29">
        <f>IF(C50=1,COUNTIF($C$16:C50,1),"")</f>
        <v/>
      </c>
      <c r="E50" s="18" t="n">
        <v>122.15</v>
      </c>
      <c r="F50" s="18" t="n">
        <v>142.51</v>
      </c>
      <c r="G50" s="18" t="n">
        <v>81.43000000000001</v>
      </c>
      <c r="H50" s="38" t="n">
        <v>25.17</v>
      </c>
      <c r="I50" s="38" t="n">
        <v>18.42</v>
      </c>
      <c r="J50" s="13" t="n">
        <v>11686</v>
      </c>
      <c r="K50" s="13" t="n">
        <v>11042.75</v>
      </c>
      <c r="L50" s="13" t="n">
        <v>445.75</v>
      </c>
      <c r="M50" s="13" t="n">
        <v>435.25</v>
      </c>
      <c r="N50" s="13" t="n">
        <v>4437</v>
      </c>
      <c r="O50" s="38" t="n">
        <v>9.81</v>
      </c>
      <c r="P50" s="39" t="inlineStr">
        <is>
          <t>Calm</t>
        </is>
      </c>
      <c r="Q50" s="13" t="n">
        <v>1727</v>
      </c>
      <c r="R50" s="13" t="n">
        <v>785.1900000000001</v>
      </c>
      <c r="S50" s="13" t="n">
        <v>79.12</v>
      </c>
      <c r="T50" s="13" t="n">
        <v>9601.870000000001</v>
      </c>
      <c r="U50" s="13" t="n">
        <v>753.85</v>
      </c>
      <c r="V50" s="13" t="n">
        <v>91.51000000000001</v>
      </c>
      <c r="W50" s="13" t="n">
        <v>419.55</v>
      </c>
      <c r="X50" s="13" t="n">
        <v>1195.53</v>
      </c>
      <c r="Y50" s="13" t="n">
        <v>724.85</v>
      </c>
      <c r="Z50" s="19" t="n"/>
      <c r="AA50" s="18" t="n"/>
      <c r="AB50" s="38" t="n">
        <v>14.87</v>
      </c>
      <c r="AC50" s="14">
        <f>IFERROR(AVERAGEIFS($E$16:$E$736,$W$16:$W$736,"&gt;="&amp;W50-$C$5,$W$16:$W$736,"&lt;="&amp;W50+$C$5,$B$16:$B$736,B50,$A$16:$A$736,"&lt;&gt;"&amp;A50),"")</f>
        <v/>
      </c>
      <c r="AD50" s="14">
        <f>IF(AND(ISNUMBER(E50),ISNUMBER(AC50)),E50-AC50,"")</f>
        <v/>
      </c>
    </row>
    <row r="51">
      <c r="A51" s="17" t="n">
        <v>46258</v>
      </c>
      <c r="B51" s="29">
        <f>MONTH(A51)</f>
        <v/>
      </c>
      <c r="C51" s="29">
        <f>IF(AND(ISNUMBER(W51),ISNUMBER($C$4),ABS(W51-$C$4)&lt;=$C$5,ABS(MOD(B51-$C$6+6,12)-6)&lt;=$C$7,OR($C$8="Any",P51=$C$8)),1,0)</f>
        <v/>
      </c>
      <c r="D51" s="29">
        <f>IF(C51=1,COUNTIF($C$16:C51,1),"")</f>
        <v/>
      </c>
      <c r="E51" s="18" t="n">
        <v>164.18</v>
      </c>
      <c r="F51" s="18" t="n">
        <v>218.9</v>
      </c>
      <c r="G51" s="18" t="n">
        <v>54.73</v>
      </c>
      <c r="H51" s="38" t="n">
        <v>23</v>
      </c>
      <c r="I51" s="38" t="n">
        <v>17.98</v>
      </c>
      <c r="J51" s="13" t="n">
        <v>11519</v>
      </c>
      <c r="K51" s="13" t="n">
        <v>10936.31</v>
      </c>
      <c r="L51" s="13" t="n">
        <v>2170.88</v>
      </c>
      <c r="M51" s="13" t="n">
        <v>2379.67</v>
      </c>
      <c r="N51" s="13" t="n">
        <v>4437</v>
      </c>
      <c r="O51" s="38" t="n">
        <v>53.63</v>
      </c>
      <c r="P51" s="39" t="inlineStr">
        <is>
          <t>Windy</t>
        </is>
      </c>
      <c r="Q51" s="13" t="n">
        <v>1493</v>
      </c>
      <c r="R51" s="13" t="n">
        <v>823.42</v>
      </c>
      <c r="S51" s="13" t="n">
        <v>-267.33</v>
      </c>
      <c r="T51" s="13" t="n">
        <v>9138.34</v>
      </c>
      <c r="U51" s="13" t="n">
        <v>785.98</v>
      </c>
      <c r="V51" s="13" t="n">
        <v>55.1</v>
      </c>
      <c r="W51" s="13" t="n">
        <v>209.33</v>
      </c>
      <c r="X51" s="13" t="n">
        <v>2312.25</v>
      </c>
      <c r="Y51" s="13" t="n">
        <v>446.15</v>
      </c>
      <c r="Z51" s="19" t="n"/>
      <c r="AA51" s="18" t="n"/>
      <c r="AB51" s="38" t="n">
        <v>17.29</v>
      </c>
      <c r="AC51" s="14">
        <f>IFERROR(AVERAGEIFS($E$16:$E$736,$W$16:$W$736,"&gt;="&amp;W51-$C$5,$W$16:$W$736,"&lt;="&amp;W51+$C$5,$B$16:$B$736,B51,$A$16:$A$736,"&lt;&gt;"&amp;A51),"")</f>
        <v/>
      </c>
      <c r="AD51" s="14">
        <f>IF(AND(ISNUMBER(E51),ISNUMBER(AC51)),E51-AC51,"")</f>
        <v/>
      </c>
    </row>
    <row r="52">
      <c r="A52" s="17" t="n">
        <v>46257</v>
      </c>
      <c r="B52" s="29">
        <f>MONTH(A52)</f>
        <v/>
      </c>
      <c r="C52" s="29">
        <f>IF(AND(ISNUMBER(W52),ISNUMBER($C$4),ABS(W52-$C$4)&lt;=$C$5,ABS(MOD(B52-$C$6+6,12)-6)&lt;=$C$7,OR($C$8="Any",P52=$C$8)),1,0)</f>
        <v/>
      </c>
      <c r="D52" s="29">
        <f>IF(C52=1,COUNTIF($C$16:C52,1),"")</f>
        <v/>
      </c>
      <c r="E52" s="18" t="n">
        <v>16.71</v>
      </c>
      <c r="F52" s="18" t="n">
        <v>12.41</v>
      </c>
      <c r="G52" s="18" t="n">
        <v>25.31</v>
      </c>
      <c r="H52" s="38" t="n">
        <v>25.4</v>
      </c>
      <c r="I52" s="38" t="n">
        <v>19.96</v>
      </c>
      <c r="J52" s="13" t="n">
        <v>11436</v>
      </c>
      <c r="K52" s="13" t="n">
        <v>10670.88</v>
      </c>
      <c r="L52" s="13" t="n">
        <v>2800.38</v>
      </c>
      <c r="M52" s="13" t="n">
        <v>2405.12</v>
      </c>
      <c r="N52" s="13" t="n">
        <v>4437</v>
      </c>
      <c r="O52" s="38" t="n">
        <v>54.21</v>
      </c>
      <c r="P52" s="39" t="inlineStr">
        <is>
          <t>Windy</t>
        </is>
      </c>
      <c r="Q52" s="13" t="n">
        <v>1611</v>
      </c>
      <c r="R52" s="13" t="n">
        <v>823.09</v>
      </c>
      <c r="S52" s="13" t="n">
        <v>-360</v>
      </c>
      <c r="T52" s="13" t="n">
        <v>8655.01</v>
      </c>
      <c r="U52" s="13" t="n">
        <v>762.53</v>
      </c>
      <c r="V52" s="13" t="n">
        <v>45</v>
      </c>
      <c r="W52" s="13" t="n">
        <v>1698.31</v>
      </c>
      <c r="X52" s="13" t="n">
        <v>2201.79</v>
      </c>
      <c r="Y52" s="13" t="n">
        <v>1922.97</v>
      </c>
      <c r="Z52" s="19" t="n"/>
      <c r="AA52" s="18" t="n"/>
      <c r="AB52" s="38" t="n">
        <v>25.31</v>
      </c>
      <c r="AC52" s="14">
        <f>IFERROR(AVERAGEIFS($E$16:$E$736,$W$16:$W$736,"&gt;="&amp;W52-$C$5,$W$16:$W$736,"&lt;="&amp;W52+$C$5,$B$16:$B$736,B52,$A$16:$A$736,"&lt;&gt;"&amp;A52),"")</f>
        <v/>
      </c>
      <c r="AD52" s="14">
        <f>IF(AND(ISNUMBER(E52),ISNUMBER(AC52)),E52-AC52,"")</f>
        <v/>
      </c>
    </row>
    <row r="53">
      <c r="A53" s="17" t="n">
        <v>46256</v>
      </c>
      <c r="B53" s="29">
        <f>MONTH(A53)</f>
        <v/>
      </c>
      <c r="C53" s="29">
        <f>IF(AND(ISNUMBER(W53),ISNUMBER($C$4),ABS(W53-$C$4)&lt;=$C$5,ABS(MOD(B53-$C$6+6,12)-6)&lt;=$C$7,OR($C$8="Any",P53=$C$8)),1,0)</f>
        <v/>
      </c>
      <c r="D53" s="29">
        <f>IF(C53=1,COUNTIF($C$16:C53,1),"")</f>
        <v/>
      </c>
      <c r="E53" s="18" t="n">
        <v>99.93000000000001</v>
      </c>
      <c r="F53" s="18" t="n">
        <v>147.14</v>
      </c>
      <c r="G53" s="18" t="n">
        <v>5.51</v>
      </c>
      <c r="H53" s="38" t="n">
        <v>27.37</v>
      </c>
      <c r="I53" s="38" t="n">
        <v>20.62</v>
      </c>
      <c r="J53" s="13" t="n">
        <v>11133</v>
      </c>
      <c r="K53" s="13" t="n">
        <v>10497.31</v>
      </c>
      <c r="L53" s="13" t="n">
        <v>1064.81</v>
      </c>
      <c r="M53" s="13" t="n">
        <v>1589.21</v>
      </c>
      <c r="N53" s="13" t="n">
        <v>4437</v>
      </c>
      <c r="O53" s="38" t="n">
        <v>35.82</v>
      </c>
      <c r="P53" s="39" t="inlineStr">
        <is>
          <t>Windy</t>
        </is>
      </c>
      <c r="Q53" s="13" t="n">
        <v>1354</v>
      </c>
      <c r="R53" s="13" t="n">
        <v>823.42</v>
      </c>
      <c r="S53" s="13" t="n">
        <v>-227.62</v>
      </c>
      <c r="T53" s="13" t="n">
        <v>8768.98</v>
      </c>
      <c r="U53" s="13" t="n">
        <v>757.97</v>
      </c>
      <c r="V53" s="13" t="n">
        <v>465.27</v>
      </c>
      <c r="W53" s="13" t="n">
        <v>-273.95</v>
      </c>
      <c r="X53" s="13" t="n">
        <v>986.99</v>
      </c>
      <c r="Y53" s="13" t="n">
        <v>-23.94</v>
      </c>
      <c r="Z53" s="19" t="n"/>
      <c r="AA53" s="18" t="n"/>
      <c r="AB53" s="38" t="n">
        <v>14.15</v>
      </c>
      <c r="AC53" s="14">
        <f>IFERROR(AVERAGEIFS($E$16:$E$736,$W$16:$W$736,"&gt;="&amp;W53-$C$5,$W$16:$W$736,"&lt;="&amp;W53+$C$5,$B$16:$B$736,B53,$A$16:$A$736,"&lt;&gt;"&amp;A53),"")</f>
        <v/>
      </c>
      <c r="AD53" s="14">
        <f>IF(AND(ISNUMBER(E53),ISNUMBER(AC53)),E53-AC53,"")</f>
        <v/>
      </c>
    </row>
    <row r="54">
      <c r="A54" s="17" t="n">
        <v>46255</v>
      </c>
      <c r="B54" s="29">
        <f>MONTH(A54)</f>
        <v/>
      </c>
      <c r="C54" s="29">
        <f>IF(AND(ISNUMBER(W54),ISNUMBER($C$4),ABS(W54-$C$4)&lt;=$C$5,ABS(MOD(B54-$C$6+6,12)-6)&lt;=$C$7,OR($C$8="Any",P54=$C$8)),1,0)</f>
        <v/>
      </c>
      <c r="D54" s="29">
        <f>IF(C54=1,COUNTIF($C$16:C54,1),"")</f>
        <v/>
      </c>
      <c r="E54" s="18" t="n">
        <v>66.65000000000001</v>
      </c>
      <c r="F54" s="18" t="n">
        <v>68.20999999999999</v>
      </c>
      <c r="G54" s="18" t="n">
        <v>63.53</v>
      </c>
      <c r="H54" s="38" t="n">
        <v>26.43</v>
      </c>
      <c r="I54" s="38" t="n">
        <v>19.37</v>
      </c>
      <c r="J54" s="13" t="n">
        <v>11572</v>
      </c>
      <c r="K54" s="13" t="n">
        <v>11027.12</v>
      </c>
      <c r="L54" s="13" t="n">
        <v>830.62</v>
      </c>
      <c r="M54" s="13" t="n">
        <v>777.62</v>
      </c>
      <c r="N54" s="13" t="n">
        <v>4437</v>
      </c>
      <c r="O54" s="38" t="n">
        <v>17.53</v>
      </c>
      <c r="P54" s="39" t="inlineStr">
        <is>
          <t>Windy</t>
        </is>
      </c>
      <c r="Q54" s="13" t="n">
        <v>1672</v>
      </c>
      <c r="R54" s="13" t="n">
        <v>796.36</v>
      </c>
      <c r="S54" s="13" t="n">
        <v>-264.5</v>
      </c>
      <c r="T54" s="13" t="n">
        <v>9053.959999999999</v>
      </c>
      <c r="U54" s="13" t="n">
        <v>760.1799999999999</v>
      </c>
      <c r="V54" s="13" t="n">
        <v>59.07</v>
      </c>
      <c r="W54" s="13" t="n">
        <v>87.53</v>
      </c>
      <c r="X54" s="13" t="n">
        <v>659.08</v>
      </c>
      <c r="Y54" s="13" t="n">
        <v>326.35</v>
      </c>
      <c r="Z54" s="19" t="n"/>
      <c r="AA54" s="18" t="n"/>
      <c r="AB54" s="38" t="n">
        <v>14.47</v>
      </c>
      <c r="AC54" s="14">
        <f>IFERROR(AVERAGEIFS($E$16:$E$736,$W$16:$W$736,"&gt;="&amp;W54-$C$5,$W$16:$W$736,"&lt;="&amp;W54+$C$5,$B$16:$B$736,B54,$A$16:$A$736,"&lt;&gt;"&amp;A54),"")</f>
        <v/>
      </c>
      <c r="AD54" s="14">
        <f>IF(AND(ISNUMBER(E54),ISNUMBER(AC54)),E54-AC54,"")</f>
        <v/>
      </c>
    </row>
    <row r="55">
      <c r="A55" s="17" t="n">
        <v>46254</v>
      </c>
      <c r="B55" s="29">
        <f>MONTH(A55)</f>
        <v/>
      </c>
      <c r="C55" s="29">
        <f>IF(AND(ISNUMBER(W55),ISNUMBER($C$4),ABS(W55-$C$4)&lt;=$C$5,ABS(MOD(B55-$C$6+6,12)-6)&lt;=$C$7,OR($C$8="Any",P55=$C$8)),1,0)</f>
        <v/>
      </c>
      <c r="D55" s="29">
        <f>IF(C55=1,COUNTIF($C$16:C55,1),"")</f>
        <v/>
      </c>
      <c r="E55" s="18" t="n">
        <v>45.8</v>
      </c>
      <c r="F55" s="18" t="n">
        <v>50.04</v>
      </c>
      <c r="G55" s="18" t="n">
        <v>37.33</v>
      </c>
      <c r="H55" s="38" t="n">
        <v>24.57</v>
      </c>
      <c r="I55" s="38" t="n">
        <v>18.89</v>
      </c>
      <c r="J55" s="13" t="n">
        <v>11455</v>
      </c>
      <c r="K55" s="13" t="n">
        <v>10980.62</v>
      </c>
      <c r="L55" s="13" t="n">
        <v>688.12</v>
      </c>
      <c r="M55" s="13" t="n">
        <v>656.12</v>
      </c>
      <c r="N55" s="13" t="n">
        <v>4437</v>
      </c>
      <c r="O55" s="38" t="n">
        <v>14.79</v>
      </c>
      <c r="P55" s="39" t="inlineStr">
        <is>
          <t>Calm</t>
        </is>
      </c>
      <c r="Q55" s="13" t="n">
        <v>1591</v>
      </c>
      <c r="R55" s="13" t="n">
        <v>802.55</v>
      </c>
      <c r="S55" s="13" t="n">
        <v>-102.58</v>
      </c>
      <c r="T55" s="13" t="n">
        <v>9056.1</v>
      </c>
      <c r="U55" s="13" t="n">
        <v>780.65</v>
      </c>
      <c r="V55" s="13" t="n">
        <v>84</v>
      </c>
      <c r="W55" s="13" t="n">
        <v>149.38</v>
      </c>
      <c r="X55" s="13" t="n">
        <v>628.23</v>
      </c>
      <c r="Y55" s="13" t="n">
        <v>347.86</v>
      </c>
      <c r="Z55" s="19" t="n"/>
      <c r="AA55" s="18" t="n"/>
      <c r="AB55" s="38" t="n">
        <v>9.529999999999999</v>
      </c>
      <c r="AC55" s="14">
        <f>IFERROR(AVERAGEIFS($E$16:$E$736,$W$16:$W$736,"&gt;="&amp;W55-$C$5,$W$16:$W$736,"&lt;="&amp;W55+$C$5,$B$16:$B$736,B55,$A$16:$A$736,"&lt;&gt;"&amp;A55),"")</f>
        <v/>
      </c>
      <c r="AD55" s="14">
        <f>IF(AND(ISNUMBER(E55),ISNUMBER(AC55)),E55-AC55,"")</f>
        <v/>
      </c>
    </row>
    <row r="56">
      <c r="A56" s="17" t="n">
        <v>46253</v>
      </c>
      <c r="B56" s="29">
        <f>MONTH(A56)</f>
        <v/>
      </c>
      <c r="C56" s="29">
        <f>IF(AND(ISNUMBER(W56),ISNUMBER($C$4),ABS(W56-$C$4)&lt;=$C$5,ABS(MOD(B56-$C$6+6,12)-6)&lt;=$C$7,OR($C$8="Any",P56=$C$8)),1,0)</f>
        <v/>
      </c>
      <c r="D56" s="29">
        <f>IF(C56=1,COUNTIF($C$16:C56,1),"")</f>
        <v/>
      </c>
      <c r="E56" s="18" t="n">
        <v>66.7</v>
      </c>
      <c r="F56" s="18" t="n">
        <v>72.84</v>
      </c>
      <c r="G56" s="18" t="n">
        <v>54.42</v>
      </c>
      <c r="H56" s="38" t="n">
        <v>25.8</v>
      </c>
      <c r="I56" s="38" t="n">
        <v>19.56</v>
      </c>
      <c r="J56" s="13" t="n">
        <v>11582</v>
      </c>
      <c r="K56" s="13" t="n">
        <v>10968</v>
      </c>
      <c r="L56" s="13" t="n">
        <v>745.1900000000001</v>
      </c>
      <c r="M56" s="13" t="n">
        <v>667.38</v>
      </c>
      <c r="N56" s="13" t="n">
        <v>4437</v>
      </c>
      <c r="O56" s="38" t="n">
        <v>15.04</v>
      </c>
      <c r="P56" s="39" t="inlineStr">
        <is>
          <t>Calm</t>
        </is>
      </c>
      <c r="Q56" s="13" t="n">
        <v>1675</v>
      </c>
      <c r="R56" s="13" t="n">
        <v>810.21</v>
      </c>
      <c r="S56" s="13" t="n">
        <v>-213.96</v>
      </c>
      <c r="T56" s="13" t="n">
        <v>8994.440000000001</v>
      </c>
      <c r="U56" s="13" t="n">
        <v>782.24</v>
      </c>
      <c r="V56" s="13" t="n">
        <v>378.53</v>
      </c>
      <c r="W56" s="13" t="n">
        <v>12.92</v>
      </c>
      <c r="X56" s="13" t="n">
        <v>596.48</v>
      </c>
      <c r="Y56" s="13" t="n">
        <v>269.73</v>
      </c>
      <c r="Z56" s="19" t="n"/>
      <c r="AA56" s="18" t="n"/>
      <c r="AB56" s="38" t="n">
        <v>15.25</v>
      </c>
      <c r="AC56" s="14">
        <f>IFERROR(AVERAGEIFS($E$16:$E$736,$W$16:$W$736,"&gt;="&amp;W56-$C$5,$W$16:$W$736,"&lt;="&amp;W56+$C$5,$B$16:$B$736,B56,$A$16:$A$736,"&lt;&gt;"&amp;A56),"")</f>
        <v/>
      </c>
      <c r="AD56" s="14">
        <f>IF(AND(ISNUMBER(E56),ISNUMBER(AC56)),E56-AC56,"")</f>
        <v/>
      </c>
    </row>
    <row r="57">
      <c r="A57" s="17" t="n">
        <v>46252</v>
      </c>
      <c r="B57" s="29">
        <f>MONTH(A57)</f>
        <v/>
      </c>
      <c r="C57" s="29">
        <f>IF(AND(ISNUMBER(W57),ISNUMBER($C$4),ABS(W57-$C$4)&lt;=$C$5,ABS(MOD(B57-$C$6+6,12)-6)&lt;=$C$7,OR($C$8="Any",P57=$C$8)),1,0)</f>
        <v/>
      </c>
      <c r="D57" s="29">
        <f>IF(C57=1,COUNTIF($C$16:C57,1),"")</f>
        <v/>
      </c>
      <c r="E57" s="18" t="n">
        <v>50.75</v>
      </c>
      <c r="F57" s="18" t="n">
        <v>58.77</v>
      </c>
      <c r="G57" s="18" t="n">
        <v>34.71</v>
      </c>
      <c r="H57" s="38" t="n">
        <v>25.03</v>
      </c>
      <c r="I57" s="38" t="n">
        <v>18.68</v>
      </c>
      <c r="J57" s="13" t="n">
        <v>11316</v>
      </c>
      <c r="K57" s="13" t="n">
        <v>10817.62</v>
      </c>
      <c r="L57" s="13" t="n">
        <v>952.25</v>
      </c>
      <c r="M57" s="13" t="n">
        <v>1009.29</v>
      </c>
      <c r="N57" s="13" t="n">
        <v>4437</v>
      </c>
      <c r="O57" s="38" t="n">
        <v>22.75</v>
      </c>
      <c r="P57" s="39" t="inlineStr">
        <is>
          <t>Windy</t>
        </is>
      </c>
      <c r="Q57" s="13" t="n">
        <v>1632</v>
      </c>
      <c r="R57" s="13" t="n">
        <v>809.98</v>
      </c>
      <c r="S57" s="13" t="n">
        <v>-96.25</v>
      </c>
      <c r="T57" s="13" t="n">
        <v>8825.02</v>
      </c>
      <c r="U57" s="13" t="n">
        <v>785.91</v>
      </c>
      <c r="V57" s="13" t="n">
        <v>228.46</v>
      </c>
      <c r="W57" s="13" t="n">
        <v>238.07</v>
      </c>
      <c r="X57" s="13" t="n">
        <v>904.42</v>
      </c>
      <c r="Y57" s="13" t="n">
        <v>451.16</v>
      </c>
      <c r="Z57" s="19" t="n"/>
      <c r="AA57" s="18" t="n"/>
      <c r="AB57" s="38" t="n">
        <v>17.34</v>
      </c>
      <c r="AC57" s="14">
        <f>IFERROR(AVERAGEIFS($E$16:$E$736,$W$16:$W$736,"&gt;="&amp;W57-$C$5,$W$16:$W$736,"&lt;="&amp;W57+$C$5,$B$16:$B$736,B57,$A$16:$A$736,"&lt;&gt;"&amp;A57),"")</f>
        <v/>
      </c>
      <c r="AD57" s="14">
        <f>IF(AND(ISNUMBER(E57),ISNUMBER(AC57)),E57-AC57,"")</f>
        <v/>
      </c>
    </row>
    <row r="58">
      <c r="A58" s="17" t="n">
        <v>46251</v>
      </c>
      <c r="B58" s="29">
        <f>MONTH(A58)</f>
        <v/>
      </c>
      <c r="C58" s="29">
        <f>IF(AND(ISNUMBER(W58),ISNUMBER($C$4),ABS(W58-$C$4)&lt;=$C$5,ABS(MOD(B58-$C$6+6,12)-6)&lt;=$C$7,OR($C$8="Any",P58=$C$8)),1,0)</f>
        <v/>
      </c>
      <c r="D58" s="29">
        <f>IF(C58=1,COUNTIF($C$16:C58,1),"")</f>
        <v/>
      </c>
      <c r="E58" s="18" t="n">
        <v>45.67</v>
      </c>
      <c r="F58" s="18" t="n">
        <v>53.19</v>
      </c>
      <c r="G58" s="18" t="n">
        <v>30.64</v>
      </c>
      <c r="H58" s="38" t="n">
        <v>22.6</v>
      </c>
      <c r="I58" s="38" t="n">
        <v>16.34</v>
      </c>
      <c r="J58" s="13" t="n">
        <v>11294</v>
      </c>
      <c r="K58" s="13" t="n">
        <v>10749.06</v>
      </c>
      <c r="L58" s="13" t="n">
        <v>163.88</v>
      </c>
      <c r="M58" s="13" t="n">
        <v>329.25</v>
      </c>
      <c r="N58" s="13" t="n">
        <v>4437</v>
      </c>
      <c r="O58" s="38" t="n">
        <v>7.42</v>
      </c>
      <c r="P58" s="39" t="inlineStr">
        <is>
          <t>Calm</t>
        </is>
      </c>
      <c r="Q58" s="13" t="n">
        <v>1639</v>
      </c>
      <c r="R58" s="13" t="n">
        <v>809.6900000000001</v>
      </c>
      <c r="S58" s="13" t="n">
        <v>41.54</v>
      </c>
      <c r="T58" s="13" t="n">
        <v>9159.459999999999</v>
      </c>
      <c r="U58" s="13" t="n">
        <v>781.16</v>
      </c>
      <c r="V58" s="13" t="n">
        <v>28.46</v>
      </c>
      <c r="W58" s="13" t="n">
        <v>178.99</v>
      </c>
      <c r="X58" s="13" t="n">
        <v>753.08</v>
      </c>
      <c r="Y58" s="13" t="n">
        <v>406.66</v>
      </c>
      <c r="Z58" s="19" t="n"/>
      <c r="AA58" s="18" t="n"/>
      <c r="AB58" s="38" t="n">
        <v>9.279999999999999</v>
      </c>
      <c r="AC58" s="14">
        <f>IFERROR(AVERAGEIFS($E$16:$E$736,$W$16:$W$736,"&gt;="&amp;W58-$C$5,$W$16:$W$736,"&lt;="&amp;W58+$C$5,$B$16:$B$736,B58,$A$16:$A$736,"&lt;&gt;"&amp;A58),"")</f>
        <v/>
      </c>
      <c r="AD58" s="14">
        <f>IF(AND(ISNUMBER(E58),ISNUMBER(AC58)),E58-AC58,"")</f>
        <v/>
      </c>
    </row>
    <row r="59">
      <c r="A59" s="17" t="n">
        <v>46250</v>
      </c>
      <c r="B59" s="29">
        <f>MONTH(A59)</f>
        <v/>
      </c>
      <c r="C59" s="29">
        <f>IF(AND(ISNUMBER(W59),ISNUMBER($C$4),ABS(W59-$C$4)&lt;=$C$5,ABS(MOD(B59-$C$6+6,12)-6)&lt;=$C$7,OR($C$8="Any",P59=$C$8)),1,0)</f>
        <v/>
      </c>
      <c r="D59" s="29">
        <f>IF(C59=1,COUNTIF($C$16:C59,1),"")</f>
        <v/>
      </c>
      <c r="E59" s="18" t="n">
        <v>38.24</v>
      </c>
      <c r="F59" s="18" t="n">
        <v>37.42</v>
      </c>
      <c r="G59" s="18" t="n">
        <v>39.88</v>
      </c>
      <c r="H59" s="38" t="n">
        <v>22.67</v>
      </c>
      <c r="I59" s="38" t="n">
        <v>16.72</v>
      </c>
      <c r="J59" s="13" t="n">
        <v>10797</v>
      </c>
      <c r="K59" s="13" t="n">
        <v>10196.44</v>
      </c>
      <c r="L59" s="13" t="n">
        <v>560.0599999999999</v>
      </c>
      <c r="M59" s="13" t="n">
        <v>557.5</v>
      </c>
      <c r="N59" s="13" t="n">
        <v>4437</v>
      </c>
      <c r="O59" s="38" t="n">
        <v>12.56</v>
      </c>
      <c r="P59" s="39" t="inlineStr">
        <is>
          <t>Calm</t>
        </is>
      </c>
      <c r="Q59" s="13" t="n">
        <v>1650</v>
      </c>
      <c r="R59" s="13" t="n">
        <v>813.27</v>
      </c>
      <c r="S59" s="13" t="n">
        <v>-197.67</v>
      </c>
      <c r="T59" s="13" t="n">
        <v>9120.139999999999</v>
      </c>
      <c r="U59" s="13" t="n">
        <v>759.23</v>
      </c>
      <c r="V59" s="13" t="n">
        <v>30.29</v>
      </c>
      <c r="W59" s="13" t="n">
        <v>226.63</v>
      </c>
      <c r="X59" s="13" t="n">
        <v>1336.89</v>
      </c>
      <c r="Y59" s="13" t="n">
        <v>418.34</v>
      </c>
      <c r="Z59" s="19" t="n"/>
      <c r="AA59" s="18" t="n"/>
      <c r="AB59" s="38" t="n">
        <v>14</v>
      </c>
      <c r="AC59" s="14">
        <f>IFERROR(AVERAGEIFS($E$16:$E$736,$W$16:$W$736,"&gt;="&amp;W59-$C$5,$W$16:$W$736,"&lt;="&amp;W59+$C$5,$B$16:$B$736,B59,$A$16:$A$736,"&lt;&gt;"&amp;A59),"")</f>
        <v/>
      </c>
      <c r="AD59" s="14">
        <f>IF(AND(ISNUMBER(E59),ISNUMBER(AC59)),E59-AC59,"")</f>
        <v/>
      </c>
    </row>
    <row r="60">
      <c r="A60" s="17" t="n">
        <v>46249</v>
      </c>
      <c r="B60" s="29">
        <f>MONTH(A60)</f>
        <v/>
      </c>
      <c r="C60" s="29">
        <f>IF(AND(ISNUMBER(W60),ISNUMBER($C$4),ABS(W60-$C$4)&lt;=$C$5,ABS(MOD(B60-$C$6+6,12)-6)&lt;=$C$7,OR($C$8="Any",P60=$C$8)),1,0)</f>
        <v/>
      </c>
      <c r="D60" s="29">
        <f>IF(C60=1,COUNTIF($C$16:C60,1),"")</f>
        <v/>
      </c>
      <c r="E60" s="18" t="n">
        <v>38.17</v>
      </c>
      <c r="F60" s="18" t="n">
        <v>34.95</v>
      </c>
      <c r="G60" s="18" t="n">
        <v>44.6</v>
      </c>
      <c r="H60" s="38" t="n">
        <v>21.1</v>
      </c>
      <c r="I60" s="38" t="n">
        <v>14.69</v>
      </c>
      <c r="J60" s="13" t="n">
        <v>10495</v>
      </c>
      <c r="K60" s="13" t="n">
        <v>10048.88</v>
      </c>
      <c r="L60" s="13" t="n">
        <v>132</v>
      </c>
      <c r="M60" s="13" t="n">
        <v>116.42</v>
      </c>
      <c r="N60" s="13" t="n">
        <v>4437</v>
      </c>
      <c r="O60" s="38" t="n">
        <v>2.62</v>
      </c>
      <c r="P60" s="39" t="inlineStr">
        <is>
          <t>Calm</t>
        </is>
      </c>
      <c r="Q60" s="13" t="n">
        <v>1740</v>
      </c>
      <c r="R60" s="13" t="n">
        <v>824.4299999999999</v>
      </c>
      <c r="S60" s="13" t="n">
        <v>-48.71</v>
      </c>
      <c r="T60" s="13" t="n">
        <v>9014.76</v>
      </c>
      <c r="U60" s="13" t="n">
        <v>805.6900000000001</v>
      </c>
      <c r="V60" s="13" t="n">
        <v>141.66</v>
      </c>
      <c r="W60" s="13" t="n">
        <v>460.41</v>
      </c>
      <c r="X60" s="13" t="n">
        <v>1225.77</v>
      </c>
      <c r="Y60" s="13" t="n">
        <v>676.16</v>
      </c>
      <c r="Z60" s="19" t="n"/>
      <c r="AA60" s="18" t="n"/>
      <c r="AB60" s="38" t="n">
        <v>10.87</v>
      </c>
      <c r="AC60" s="14">
        <f>IFERROR(AVERAGEIFS($E$16:$E$736,$W$16:$W$736,"&gt;="&amp;W60-$C$5,$W$16:$W$736,"&lt;="&amp;W60+$C$5,$B$16:$B$736,B60,$A$16:$A$736,"&lt;&gt;"&amp;A60),"")</f>
        <v/>
      </c>
      <c r="AD60" s="14">
        <f>IF(AND(ISNUMBER(E60),ISNUMBER(AC60)),E60-AC60,"")</f>
        <v/>
      </c>
    </row>
    <row r="61">
      <c r="A61" s="17" t="n">
        <v>46248</v>
      </c>
      <c r="B61" s="29">
        <f>MONTH(A61)</f>
        <v/>
      </c>
      <c r="C61" s="29">
        <f>IF(AND(ISNUMBER(W61),ISNUMBER($C$4),ABS(W61-$C$4)&lt;=$C$5,ABS(MOD(B61-$C$6+6,12)-6)&lt;=$C$7,OR($C$8="Any",P61=$C$8)),1,0)</f>
        <v/>
      </c>
      <c r="D61" s="29">
        <f>IF(C61=1,COUNTIF($C$16:C61,1),"")</f>
        <v/>
      </c>
      <c r="E61" s="18" t="n">
        <v>43.51</v>
      </c>
      <c r="F61" s="18" t="n">
        <v>50.12</v>
      </c>
      <c r="G61" s="18" t="n">
        <v>30.29</v>
      </c>
      <c r="H61" s="38" t="n">
        <v>15.3</v>
      </c>
      <c r="I61" s="38" t="n">
        <v>12.07</v>
      </c>
      <c r="J61" s="13" t="n">
        <v>10495</v>
      </c>
      <c r="K61" s="13" t="n">
        <v>10254.38</v>
      </c>
      <c r="L61" s="13" t="n">
        <v>123.25</v>
      </c>
      <c r="M61" s="13" t="n">
        <v>206.33</v>
      </c>
      <c r="N61" s="13" t="n">
        <v>4437</v>
      </c>
      <c r="O61" s="38" t="n">
        <v>4.65</v>
      </c>
      <c r="P61" s="39" t="inlineStr">
        <is>
          <t>Calm</t>
        </is>
      </c>
      <c r="Q61" s="13" t="n">
        <v>756</v>
      </c>
      <c r="R61" s="13" t="n">
        <v>832.91</v>
      </c>
      <c r="S61" s="13" t="n">
        <v>102.42</v>
      </c>
      <c r="T61" s="13" t="n">
        <v>9161.559999999999</v>
      </c>
      <c r="U61" s="13" t="n">
        <v>783</v>
      </c>
      <c r="V61" s="13" t="n">
        <v>57.45</v>
      </c>
      <c r="W61" s="13" t="n">
        <v>367.54</v>
      </c>
      <c r="X61" s="13" t="n">
        <v>624.3099999999999</v>
      </c>
      <c r="Y61" s="13" t="n">
        <v>568.5</v>
      </c>
      <c r="Z61" s="19" t="n"/>
      <c r="AA61" s="18" t="n"/>
      <c r="AB61" s="38" t="n">
        <v>9.35</v>
      </c>
      <c r="AC61" s="14">
        <f>IFERROR(AVERAGEIFS($E$16:$E$736,$W$16:$W$736,"&gt;="&amp;W61-$C$5,$W$16:$W$736,"&lt;="&amp;W61+$C$5,$B$16:$B$736,B61,$A$16:$A$736,"&lt;&gt;"&amp;A61),"")</f>
        <v/>
      </c>
      <c r="AD61" s="14">
        <f>IF(AND(ISNUMBER(E61),ISNUMBER(AC61)),E61-AC61,"")</f>
        <v/>
      </c>
    </row>
    <row r="62">
      <c r="A62" s="17" t="n">
        <v>46247</v>
      </c>
      <c r="B62" s="29">
        <f>MONTH(A62)</f>
        <v/>
      </c>
      <c r="C62" s="29">
        <f>IF(AND(ISNUMBER(W62),ISNUMBER($C$4),ABS(W62-$C$4)&lt;=$C$5,ABS(MOD(B62-$C$6+6,12)-6)&lt;=$C$7,OR($C$8="Any",P62=$C$8)),1,0)</f>
        <v/>
      </c>
      <c r="D62" s="29">
        <f>IF(C62=1,COUNTIF($C$16:C62,1),"")</f>
        <v/>
      </c>
      <c r="E62" s="18" t="n">
        <v>34.77</v>
      </c>
      <c r="F62" s="18" t="n">
        <v>35.2</v>
      </c>
      <c r="G62" s="18" t="n">
        <v>33.93</v>
      </c>
      <c r="H62" s="38" t="n">
        <v>13.27</v>
      </c>
      <c r="I62" s="38" t="n">
        <v>11.31</v>
      </c>
      <c r="J62" s="13" t="n">
        <v>10468</v>
      </c>
      <c r="K62" s="13" t="n">
        <v>10263.88</v>
      </c>
      <c r="L62" s="13" t="n">
        <v>950.0599999999999</v>
      </c>
      <c r="M62" s="13" t="n">
        <v>761.29</v>
      </c>
      <c r="N62" s="13" t="n">
        <v>4437</v>
      </c>
      <c r="O62" s="38" t="n">
        <v>17.16</v>
      </c>
      <c r="P62" s="39" t="inlineStr">
        <is>
          <t>Windy</t>
        </is>
      </c>
      <c r="Q62" s="13" t="n">
        <v>429</v>
      </c>
      <c r="R62" s="13" t="n">
        <v>832.65</v>
      </c>
      <c r="S62" s="13" t="n">
        <v>-86.42</v>
      </c>
      <c r="T62" s="13" t="n">
        <v>9166.41</v>
      </c>
      <c r="U62" s="13" t="n">
        <v>770.64</v>
      </c>
      <c r="V62" s="13" t="n">
        <v>35.45</v>
      </c>
      <c r="W62" s="13" t="n">
        <v>512.78</v>
      </c>
      <c r="X62" s="13" t="n">
        <v>986.35</v>
      </c>
      <c r="Y62" s="13" t="n">
        <v>763.99</v>
      </c>
      <c r="Z62" s="19" t="n"/>
      <c r="AA62" s="18" t="n"/>
      <c r="AB62" s="38" t="n">
        <v>17.24</v>
      </c>
      <c r="AC62" s="14">
        <f>IFERROR(AVERAGEIFS($E$16:$E$736,$W$16:$W$736,"&gt;="&amp;W62-$C$5,$W$16:$W$736,"&lt;="&amp;W62+$C$5,$B$16:$B$736,B62,$A$16:$A$736,"&lt;&gt;"&amp;A62),"")</f>
        <v/>
      </c>
      <c r="AD62" s="14">
        <f>IF(AND(ISNUMBER(E62),ISNUMBER(AC62)),E62-AC62,"")</f>
        <v/>
      </c>
    </row>
    <row r="63">
      <c r="A63" s="17" t="n">
        <v>46246</v>
      </c>
      <c r="B63" s="29">
        <f>MONTH(A63)</f>
        <v/>
      </c>
      <c r="C63" s="29">
        <f>IF(AND(ISNUMBER(W63),ISNUMBER($C$4),ABS(W63-$C$4)&lt;=$C$5,ABS(MOD(B63-$C$6+6,12)-6)&lt;=$C$7,OR($C$8="Any",P63=$C$8)),1,0)</f>
        <v/>
      </c>
      <c r="D63" s="29">
        <f>IF(C63=1,COUNTIF($C$16:C63,1),"")</f>
        <v/>
      </c>
      <c r="E63" s="18" t="n">
        <v>38.95</v>
      </c>
      <c r="F63" s="18" t="n">
        <v>44.1</v>
      </c>
      <c r="G63" s="18" t="n">
        <v>28.66</v>
      </c>
      <c r="H63" s="38" t="n">
        <v>15.77</v>
      </c>
      <c r="I63" s="38" t="n">
        <v>13.41</v>
      </c>
      <c r="J63" s="13" t="n">
        <v>10460</v>
      </c>
      <c r="K63" s="13" t="n">
        <v>10248.75</v>
      </c>
      <c r="L63" s="13" t="n">
        <v>279</v>
      </c>
      <c r="M63" s="13" t="n">
        <v>353.33</v>
      </c>
      <c r="N63" s="13" t="n">
        <v>4437</v>
      </c>
      <c r="O63" s="38" t="n">
        <v>7.96</v>
      </c>
      <c r="P63" s="39" t="inlineStr">
        <is>
          <t>Calm</t>
        </is>
      </c>
      <c r="Q63" s="13" t="n">
        <v>517</v>
      </c>
      <c r="R63" s="13" t="n">
        <v>793.67</v>
      </c>
      <c r="S63" s="13" t="n">
        <v>-103.79</v>
      </c>
      <c r="T63" s="13" t="n">
        <v>9575.879999999999</v>
      </c>
      <c r="U63" s="13" t="n">
        <v>806</v>
      </c>
      <c r="V63" s="13" t="n">
        <v>468.93</v>
      </c>
      <c r="W63" s="13" t="n">
        <v>462.11</v>
      </c>
      <c r="X63" s="13" t="n">
        <v>917.83</v>
      </c>
      <c r="Y63" s="13" t="n">
        <v>706.86</v>
      </c>
      <c r="Z63" s="19" t="n"/>
      <c r="AA63" s="18" t="n"/>
      <c r="AB63" s="38" t="n">
        <v>12.42</v>
      </c>
      <c r="AC63" s="14">
        <f>IFERROR(AVERAGEIFS($E$16:$E$736,$W$16:$W$736,"&gt;="&amp;W63-$C$5,$W$16:$W$736,"&lt;="&amp;W63+$C$5,$B$16:$B$736,B63,$A$16:$A$736,"&lt;&gt;"&amp;A63),"")</f>
        <v/>
      </c>
      <c r="AD63" s="14">
        <f>IF(AND(ISNUMBER(E63),ISNUMBER(AC63)),E63-AC63,"")</f>
        <v/>
      </c>
    </row>
    <row r="64">
      <c r="A64" s="17" t="n">
        <v>46245</v>
      </c>
      <c r="B64" s="29">
        <f>MONTH(A64)</f>
        <v/>
      </c>
      <c r="C64" s="29">
        <f>IF(AND(ISNUMBER(W64),ISNUMBER($C$4),ABS(W64-$C$4)&lt;=$C$5,ABS(MOD(B64-$C$6+6,12)-6)&lt;=$C$7,OR($C$8="Any",P64=$C$8)),1,0)</f>
        <v/>
      </c>
      <c r="D64" s="29">
        <f>IF(C64=1,COUNTIF($C$16:C64,1),"")</f>
        <v/>
      </c>
      <c r="E64" s="18" t="n">
        <v>22.44</v>
      </c>
      <c r="F64" s="18" t="n">
        <v>24.05</v>
      </c>
      <c r="G64" s="18" t="n">
        <v>19.22</v>
      </c>
      <c r="H64" s="38" t="n">
        <v>19.93</v>
      </c>
      <c r="I64" s="38" t="n">
        <v>15.36</v>
      </c>
      <c r="J64" s="13" t="n">
        <v>10657</v>
      </c>
      <c r="K64" s="13" t="n">
        <v>10415.25</v>
      </c>
      <c r="L64" s="13" t="n">
        <v>503.25</v>
      </c>
      <c r="M64" s="13" t="n">
        <v>624.96</v>
      </c>
      <c r="N64" s="13" t="n">
        <v>4437</v>
      </c>
      <c r="O64" s="38" t="n">
        <v>14.09</v>
      </c>
      <c r="P64" s="39" t="inlineStr">
        <is>
          <t>Calm</t>
        </is>
      </c>
      <c r="Q64" s="13" t="n">
        <v>1344</v>
      </c>
      <c r="R64" s="13" t="n">
        <v>757.12</v>
      </c>
      <c r="S64" s="13" t="n">
        <v>-179.08</v>
      </c>
      <c r="T64" s="13" t="n">
        <v>9899.35</v>
      </c>
      <c r="U64" s="13" t="n">
        <v>789.15</v>
      </c>
      <c r="V64" s="13" t="n">
        <v>250.36</v>
      </c>
      <c r="W64" s="13" t="n">
        <v>852.24</v>
      </c>
      <c r="X64" s="13" t="n">
        <v>1458.71</v>
      </c>
      <c r="Y64" s="13" t="n">
        <v>986.29</v>
      </c>
      <c r="Z64" s="19" t="n"/>
      <c r="AA64" s="18" t="n"/>
      <c r="AB64" s="38" t="n">
        <v>9.25</v>
      </c>
      <c r="AC64" s="14">
        <f>IFERROR(AVERAGEIFS($E$16:$E$736,$W$16:$W$736,"&gt;="&amp;W64-$C$5,$W$16:$W$736,"&lt;="&amp;W64+$C$5,$B$16:$B$736,B64,$A$16:$A$736,"&lt;&gt;"&amp;A64),"")</f>
        <v/>
      </c>
      <c r="AD64" s="14">
        <f>IF(AND(ISNUMBER(E64),ISNUMBER(AC64)),E64-AC64,"")</f>
        <v/>
      </c>
    </row>
    <row r="65">
      <c r="A65" s="17" t="n">
        <v>46244</v>
      </c>
      <c r="B65" s="29">
        <f>MONTH(A65)</f>
        <v/>
      </c>
      <c r="C65" s="29">
        <f>IF(AND(ISNUMBER(W65),ISNUMBER($C$4),ABS(W65-$C$4)&lt;=$C$5,ABS(MOD(B65-$C$6+6,12)-6)&lt;=$C$7,OR($C$8="Any",P65=$C$8)),1,0)</f>
        <v/>
      </c>
      <c r="D65" s="29">
        <f>IF(C65=1,COUNTIF($C$16:C65,1),"")</f>
        <v/>
      </c>
      <c r="E65" s="18" t="n">
        <v>24.49</v>
      </c>
      <c r="F65" s="18" t="n">
        <v>27.95</v>
      </c>
      <c r="G65" s="18" t="n">
        <v>17.55</v>
      </c>
      <c r="H65" s="38" t="n">
        <v>21.8</v>
      </c>
      <c r="I65" s="38" t="n">
        <v>17.01</v>
      </c>
      <c r="J65" s="13" t="n">
        <v>11083</v>
      </c>
      <c r="K65" s="13" t="n">
        <v>10691.94</v>
      </c>
      <c r="L65" s="13" t="n">
        <v>747.1900000000001</v>
      </c>
      <c r="M65" s="13" t="n">
        <v>919.25</v>
      </c>
      <c r="N65" s="13" t="n">
        <v>4437</v>
      </c>
      <c r="O65" s="38" t="n">
        <v>20.72</v>
      </c>
      <c r="P65" s="39" t="inlineStr">
        <is>
          <t>Windy</t>
        </is>
      </c>
      <c r="Q65" s="13" t="n">
        <v>1375</v>
      </c>
      <c r="R65" s="13" t="n">
        <v>808.71</v>
      </c>
      <c r="S65" s="13" t="n">
        <v>-145.92</v>
      </c>
      <c r="T65" s="13" t="n">
        <v>9900.209999999999</v>
      </c>
      <c r="U65" s="13" t="n">
        <v>811.0700000000001</v>
      </c>
      <c r="V65" s="13" t="n">
        <v>238.44</v>
      </c>
      <c r="W65" s="13" t="n">
        <v>635.3</v>
      </c>
      <c r="X65" s="13" t="n">
        <v>1621.6</v>
      </c>
      <c r="Y65" s="13" t="n">
        <v>841.91</v>
      </c>
      <c r="Z65" s="19" t="n"/>
      <c r="AA65" s="18" t="n"/>
      <c r="AB65" s="38" t="n">
        <v>11.92</v>
      </c>
      <c r="AC65" s="14">
        <f>IFERROR(AVERAGEIFS($E$16:$E$736,$W$16:$W$736,"&gt;="&amp;W65-$C$5,$W$16:$W$736,"&lt;="&amp;W65+$C$5,$B$16:$B$736,B65,$A$16:$A$736,"&lt;&gt;"&amp;A65),"")</f>
        <v/>
      </c>
      <c r="AD65" s="14">
        <f>IF(AND(ISNUMBER(E65),ISNUMBER(AC65)),E65-AC65,"")</f>
        <v/>
      </c>
    </row>
    <row r="66">
      <c r="A66" s="17" t="n">
        <v>46243</v>
      </c>
      <c r="B66" s="29">
        <f>MONTH(A66)</f>
        <v/>
      </c>
      <c r="C66" s="29">
        <f>IF(AND(ISNUMBER(W66),ISNUMBER($C$4),ABS(W66-$C$4)&lt;=$C$5,ABS(MOD(B66-$C$6+6,12)-6)&lt;=$C$7,OR($C$8="Any",P66=$C$8)),1,0)</f>
        <v/>
      </c>
      <c r="D66" s="29">
        <f>IF(C66=1,COUNTIF($C$16:C66,1),"")</f>
        <v/>
      </c>
      <c r="E66" s="18" t="n">
        <v>24.84</v>
      </c>
      <c r="F66" s="18" t="n">
        <v>29.9</v>
      </c>
      <c r="G66" s="18" t="n">
        <v>14.71</v>
      </c>
      <c r="H66" s="38" t="n">
        <v>23.23</v>
      </c>
      <c r="I66" s="38" t="n">
        <v>17.52</v>
      </c>
      <c r="J66" s="13" t="n">
        <v>11074</v>
      </c>
      <c r="K66" s="13" t="n">
        <v>10396.25</v>
      </c>
      <c r="L66" s="13" t="n">
        <v>280.12</v>
      </c>
      <c r="M66" s="13" t="n">
        <v>625.75</v>
      </c>
      <c r="N66" s="13" t="n">
        <v>4437</v>
      </c>
      <c r="O66" s="38" t="n">
        <v>14.1</v>
      </c>
      <c r="P66" s="39" t="inlineStr">
        <is>
          <t>Calm</t>
        </is>
      </c>
      <c r="Q66" s="13" t="n">
        <v>1645</v>
      </c>
      <c r="R66" s="13" t="n">
        <v>821.15</v>
      </c>
      <c r="S66" s="13" t="n">
        <v>-126.96</v>
      </c>
      <c r="T66" s="13" t="n">
        <v>9909.58</v>
      </c>
      <c r="U66" s="13" t="n">
        <v>800.87</v>
      </c>
      <c r="V66" s="13" t="n">
        <v>34.26</v>
      </c>
      <c r="W66" s="13" t="n">
        <v>991.95</v>
      </c>
      <c r="X66" s="13" t="n">
        <v>1725.33</v>
      </c>
      <c r="Y66" s="13" t="n">
        <v>1173.48</v>
      </c>
      <c r="Z66" s="19" t="n"/>
      <c r="AA66" s="18" t="n"/>
      <c r="AB66" s="38" t="n">
        <v>10.68</v>
      </c>
      <c r="AC66" s="14">
        <f>IFERROR(AVERAGEIFS($E$16:$E$736,$W$16:$W$736,"&gt;="&amp;W66-$C$5,$W$16:$W$736,"&lt;="&amp;W66+$C$5,$B$16:$B$736,B66,$A$16:$A$736,"&lt;&gt;"&amp;A66),"")</f>
        <v/>
      </c>
      <c r="AD66" s="14">
        <f>IF(AND(ISNUMBER(E66),ISNUMBER(AC66)),E66-AC66,"")</f>
        <v/>
      </c>
    </row>
    <row r="67">
      <c r="A67" s="17" t="n">
        <v>46242</v>
      </c>
      <c r="B67" s="29">
        <f>MONTH(A67)</f>
        <v/>
      </c>
      <c r="C67" s="29">
        <f>IF(AND(ISNUMBER(W67),ISNUMBER($C$4),ABS(W67-$C$4)&lt;=$C$5,ABS(MOD(B67-$C$6+6,12)-6)&lt;=$C$7,OR($C$8="Any",P67=$C$8)),1,0)</f>
        <v/>
      </c>
      <c r="D67" s="29">
        <f>IF(C67=1,COUNTIF($C$16:C67,1),"")</f>
        <v/>
      </c>
      <c r="E67" s="18" t="n">
        <v>21.57</v>
      </c>
      <c r="F67" s="18" t="n">
        <v>25.77</v>
      </c>
      <c r="G67" s="18" t="n">
        <v>13.18</v>
      </c>
      <c r="H67" s="38" t="n">
        <v>23.9</v>
      </c>
      <c r="I67" s="38" t="n">
        <v>18.38</v>
      </c>
      <c r="J67" s="13" t="n">
        <v>10802</v>
      </c>
      <c r="K67" s="13" t="n">
        <v>10348.94</v>
      </c>
      <c r="L67" s="13" t="n">
        <v>349.12</v>
      </c>
      <c r="M67" s="13" t="n">
        <v>704.12</v>
      </c>
      <c r="N67" s="13" t="n">
        <v>4437</v>
      </c>
      <c r="O67" s="38" t="n">
        <v>15.87</v>
      </c>
      <c r="P67" s="39" t="inlineStr">
        <is>
          <t>Calm</t>
        </is>
      </c>
      <c r="Q67" s="13" t="n">
        <v>1544</v>
      </c>
      <c r="R67" s="13" t="n">
        <v>840.63</v>
      </c>
      <c r="S67" s="13" t="n">
        <v>17.62</v>
      </c>
      <c r="T67" s="13" t="n">
        <v>9945.08</v>
      </c>
      <c r="U67" s="13" t="n">
        <v>768.3</v>
      </c>
      <c r="V67" s="13" t="n">
        <v>32.44</v>
      </c>
      <c r="W67" s="13" t="n">
        <v>938.16</v>
      </c>
      <c r="X67" s="13" t="n">
        <v>1832.81</v>
      </c>
      <c r="Y67" s="13" t="n">
        <v>1170.24</v>
      </c>
      <c r="Z67" s="19" t="n"/>
      <c r="AA67" s="18" t="n"/>
      <c r="AB67" s="38" t="n">
        <v>11.61</v>
      </c>
      <c r="AC67" s="14">
        <f>IFERROR(AVERAGEIFS($E$16:$E$736,$W$16:$W$736,"&gt;="&amp;W67-$C$5,$W$16:$W$736,"&lt;="&amp;W67+$C$5,$B$16:$B$736,B67,$A$16:$A$736,"&lt;&gt;"&amp;A67),"")</f>
        <v/>
      </c>
      <c r="AD67" s="14">
        <f>IF(AND(ISNUMBER(E67),ISNUMBER(AC67)),E67-AC67,"")</f>
        <v/>
      </c>
    </row>
    <row r="68">
      <c r="A68" s="17" t="n">
        <v>46241</v>
      </c>
      <c r="B68" s="29">
        <f>MONTH(A68)</f>
        <v/>
      </c>
      <c r="C68" s="29">
        <f>IF(AND(ISNUMBER(W68),ISNUMBER($C$4),ABS(W68-$C$4)&lt;=$C$5,ABS(MOD(B68-$C$6+6,12)-6)&lt;=$C$7,OR($C$8="Any",P68=$C$8)),1,0)</f>
        <v/>
      </c>
      <c r="D68" s="29">
        <f>IF(C68=1,COUNTIF($C$16:C68,1),"")</f>
        <v/>
      </c>
      <c r="E68" s="18" t="n">
        <v>35.28</v>
      </c>
      <c r="F68" s="18" t="n">
        <v>39.98</v>
      </c>
      <c r="G68" s="18" t="n">
        <v>25.86</v>
      </c>
      <c r="H68" s="38" t="n">
        <v>25.37</v>
      </c>
      <c r="I68" s="38" t="n">
        <v>17.18</v>
      </c>
      <c r="J68" s="13" t="n">
        <v>11112</v>
      </c>
      <c r="K68" s="13" t="n">
        <v>10622.06</v>
      </c>
      <c r="L68" s="13" t="n">
        <v>274.94</v>
      </c>
      <c r="M68" s="13" t="n">
        <v>390.88</v>
      </c>
      <c r="N68" s="13" t="n">
        <v>4437</v>
      </c>
      <c r="O68" s="38" t="n">
        <v>8.81</v>
      </c>
      <c r="P68" s="39" t="inlineStr">
        <is>
          <t>Calm</t>
        </is>
      </c>
      <c r="Q68" s="13" t="n">
        <v>1619</v>
      </c>
      <c r="R68" s="13" t="n">
        <v>850.01</v>
      </c>
      <c r="S68" s="13" t="n">
        <v>-97.79000000000001</v>
      </c>
      <c r="T68" s="13" t="n">
        <v>9970.52</v>
      </c>
      <c r="U68" s="13" t="n">
        <v>752.01</v>
      </c>
      <c r="V68" s="13" t="n">
        <v>28.46</v>
      </c>
      <c r="W68" s="13" t="n">
        <v>535.5700000000001</v>
      </c>
      <c r="X68" s="13" t="n">
        <v>1491.79</v>
      </c>
      <c r="Y68" s="13" t="n">
        <v>856.6</v>
      </c>
      <c r="Z68" s="19" t="n"/>
      <c r="AA68" s="18" t="n"/>
      <c r="AB68" s="38" t="n">
        <v>10.89</v>
      </c>
      <c r="AC68" s="14">
        <f>IFERROR(AVERAGEIFS($E$16:$E$736,$W$16:$W$736,"&gt;="&amp;W68-$C$5,$W$16:$W$736,"&lt;="&amp;W68+$C$5,$B$16:$B$736,B68,$A$16:$A$736,"&lt;&gt;"&amp;A68),"")</f>
        <v/>
      </c>
      <c r="AD68" s="14">
        <f>IF(AND(ISNUMBER(E68),ISNUMBER(AC68)),E68-AC68,"")</f>
        <v/>
      </c>
    </row>
    <row r="69">
      <c r="A69" s="17" t="n">
        <v>46240</v>
      </c>
      <c r="B69" s="29">
        <f>MONTH(A69)</f>
        <v/>
      </c>
      <c r="C69" s="29">
        <f>IF(AND(ISNUMBER(W69),ISNUMBER($C$4),ABS(W69-$C$4)&lt;=$C$5,ABS(MOD(B69-$C$6+6,12)-6)&lt;=$C$7,OR($C$8="Any",P69=$C$8)),1,0)</f>
        <v/>
      </c>
      <c r="D69" s="29">
        <f>IF(C69=1,COUNTIF($C$16:C69,1),"")</f>
        <v/>
      </c>
      <c r="E69" s="18" t="n">
        <v>66.25</v>
      </c>
      <c r="F69" s="18" t="n">
        <v>94.08</v>
      </c>
      <c r="G69" s="18" t="n">
        <v>10.57</v>
      </c>
      <c r="H69" s="38" t="n">
        <v>19.37</v>
      </c>
      <c r="I69" s="38" t="n">
        <v>16.18</v>
      </c>
      <c r="J69" s="13" t="n">
        <v>10737</v>
      </c>
      <c r="K69" s="13" t="n">
        <v>10501.88</v>
      </c>
      <c r="L69" s="13" t="n">
        <v>1468.88</v>
      </c>
      <c r="M69" s="13" t="n">
        <v>1727.08</v>
      </c>
      <c r="N69" s="13" t="n">
        <v>4437</v>
      </c>
      <c r="O69" s="38" t="n">
        <v>38.92</v>
      </c>
      <c r="P69" s="39" t="inlineStr">
        <is>
          <t>Windy</t>
        </is>
      </c>
      <c r="Q69" s="13" t="n">
        <v>1662</v>
      </c>
      <c r="R69" s="13" t="n">
        <v>845.11</v>
      </c>
      <c r="S69" s="13" t="n">
        <v>-589.08</v>
      </c>
      <c r="T69" s="13" t="n">
        <v>10065.46</v>
      </c>
      <c r="U69" s="13" t="n">
        <v>760.5599999999999</v>
      </c>
      <c r="V69" s="13" t="n">
        <v>270.23</v>
      </c>
      <c r="W69" s="13" t="n">
        <v>300.84</v>
      </c>
      <c r="X69" s="13" t="n">
        <v>2329.53</v>
      </c>
      <c r="Y69" s="13" t="n">
        <v>721.41</v>
      </c>
      <c r="Z69" s="19" t="n"/>
      <c r="AA69" s="18" t="n"/>
      <c r="AB69" s="38" t="n">
        <v>16.46</v>
      </c>
      <c r="AC69" s="14">
        <f>IFERROR(AVERAGEIFS($E$16:$E$736,$W$16:$W$736,"&gt;="&amp;W69-$C$5,$W$16:$W$736,"&lt;="&amp;W69+$C$5,$B$16:$B$736,B69,$A$16:$A$736,"&lt;&gt;"&amp;A69),"")</f>
        <v/>
      </c>
      <c r="AD69" s="14">
        <f>IF(AND(ISNUMBER(E69),ISNUMBER(AC69)),E69-AC69,"")</f>
        <v/>
      </c>
    </row>
    <row r="70">
      <c r="A70" s="17" t="n">
        <v>46239</v>
      </c>
      <c r="B70" s="29">
        <f>MONTH(A70)</f>
        <v/>
      </c>
      <c r="C70" s="29">
        <f>IF(AND(ISNUMBER(W70),ISNUMBER($C$4),ABS(W70-$C$4)&lt;=$C$5,ABS(MOD(B70-$C$6+6,12)-6)&lt;=$C$7,OR($C$8="Any",P70=$C$8)),1,0)</f>
        <v/>
      </c>
      <c r="D70" s="29">
        <f>IF(C70=1,COUNTIF($C$16:C70,1),"")</f>
        <v/>
      </c>
      <c r="E70" s="18" t="n">
        <v>24.76</v>
      </c>
      <c r="F70" s="18" t="n">
        <v>31.4</v>
      </c>
      <c r="G70" s="18" t="n">
        <v>11.5</v>
      </c>
      <c r="H70" s="38" t="n">
        <v>24.8</v>
      </c>
      <c r="I70" s="38" t="n">
        <v>18.96</v>
      </c>
      <c r="J70" s="13" t="n">
        <v>11307</v>
      </c>
      <c r="K70" s="13" t="n">
        <v>10847.38</v>
      </c>
      <c r="L70" s="13" t="n">
        <v>897.12</v>
      </c>
      <c r="M70" s="13" t="n">
        <v>1305.12</v>
      </c>
      <c r="N70" s="13" t="n">
        <v>4437</v>
      </c>
      <c r="O70" s="38" t="n">
        <v>29.41</v>
      </c>
      <c r="P70" s="39" t="inlineStr">
        <is>
          <t>Windy</t>
        </is>
      </c>
      <c r="Q70" s="13" t="n">
        <v>1706</v>
      </c>
      <c r="R70" s="13" t="n">
        <v>848.29</v>
      </c>
      <c r="S70" s="13" t="n">
        <v>-449.96</v>
      </c>
      <c r="T70" s="13" t="n">
        <v>9919.16</v>
      </c>
      <c r="U70" s="13" t="n">
        <v>756.3200000000001</v>
      </c>
      <c r="V70" s="13" t="n">
        <v>115.25</v>
      </c>
      <c r="W70" s="13" t="n">
        <v>534.5700000000001</v>
      </c>
      <c r="X70" s="13" t="n">
        <v>1484</v>
      </c>
      <c r="Y70" s="13" t="n">
        <v>805.48</v>
      </c>
      <c r="Z70" s="19" t="n"/>
      <c r="AA70" s="18" t="n"/>
      <c r="AB70" s="38" t="n">
        <v>16.01</v>
      </c>
      <c r="AC70" s="14">
        <f>IFERROR(AVERAGEIFS($E$16:$E$736,$W$16:$W$736,"&gt;="&amp;W70-$C$5,$W$16:$W$736,"&lt;="&amp;W70+$C$5,$B$16:$B$736,B70,$A$16:$A$736,"&lt;&gt;"&amp;A70),"")</f>
        <v/>
      </c>
      <c r="AD70" s="14">
        <f>IF(AND(ISNUMBER(E70),ISNUMBER(AC70)),E70-AC70,"")</f>
        <v/>
      </c>
    </row>
    <row r="71">
      <c r="A71" s="17" t="n">
        <v>46238</v>
      </c>
      <c r="B71" s="29">
        <f>MONTH(A71)</f>
        <v/>
      </c>
      <c r="C71" s="29">
        <f>IF(AND(ISNUMBER(W71),ISNUMBER($C$4),ABS(W71-$C$4)&lt;=$C$5,ABS(MOD(B71-$C$6+6,12)-6)&lt;=$C$7,OR($C$8="Any",P71=$C$8)),1,0)</f>
        <v/>
      </c>
      <c r="D71" s="29">
        <f>IF(C71=1,COUNTIF($C$16:C71,1),"")</f>
        <v/>
      </c>
      <c r="E71" s="18" t="n">
        <v>25.99</v>
      </c>
      <c r="F71" s="18" t="n">
        <v>25.91</v>
      </c>
      <c r="G71" s="18" t="n">
        <v>26.13</v>
      </c>
      <c r="H71" s="38" t="n">
        <v>23.7</v>
      </c>
      <c r="I71" s="38" t="n">
        <v>16.73</v>
      </c>
      <c r="J71" s="13" t="n">
        <v>11162</v>
      </c>
      <c r="K71" s="13" t="n">
        <v>10708.75</v>
      </c>
      <c r="L71" s="13" t="n">
        <v>785.38</v>
      </c>
      <c r="M71" s="13" t="n">
        <v>724</v>
      </c>
      <c r="N71" s="13" t="n">
        <v>4437</v>
      </c>
      <c r="O71" s="38" t="n">
        <v>16.32</v>
      </c>
      <c r="P71" s="39" t="inlineStr">
        <is>
          <t>Windy</t>
        </is>
      </c>
      <c r="Q71" s="13" t="n">
        <v>1732</v>
      </c>
      <c r="R71" s="13" t="n">
        <v>854.86</v>
      </c>
      <c r="S71" s="13" t="n">
        <v>-456.04</v>
      </c>
      <c r="T71" s="13" t="n">
        <v>9983.190000000001</v>
      </c>
      <c r="U71" s="13" t="n">
        <v>761.45</v>
      </c>
      <c r="V71" s="13" t="n">
        <v>42.85</v>
      </c>
      <c r="W71" s="13" t="n">
        <v>735.6799999999999</v>
      </c>
      <c r="X71" s="13" t="n">
        <v>1723.52</v>
      </c>
      <c r="Y71" s="13" t="n">
        <v>1024.14</v>
      </c>
      <c r="Z71" s="19" t="n"/>
      <c r="AA71" s="18" t="n"/>
      <c r="AB71" s="38" t="n">
        <v>16.75</v>
      </c>
      <c r="AC71" s="14">
        <f>IFERROR(AVERAGEIFS($E$16:$E$736,$W$16:$W$736,"&gt;="&amp;W71-$C$5,$W$16:$W$736,"&lt;="&amp;W71+$C$5,$B$16:$B$736,B71,$A$16:$A$736,"&lt;&gt;"&amp;A71),"")</f>
        <v/>
      </c>
      <c r="AD71" s="14">
        <f>IF(AND(ISNUMBER(E71),ISNUMBER(AC71)),E71-AC71,"")</f>
        <v/>
      </c>
    </row>
    <row r="72">
      <c r="A72" s="17" t="n">
        <v>46237</v>
      </c>
      <c r="B72" s="29">
        <f>MONTH(A72)</f>
        <v/>
      </c>
      <c r="C72" s="29">
        <f>IF(AND(ISNUMBER(W72),ISNUMBER($C$4),ABS(W72-$C$4)&lt;=$C$5,ABS(MOD(B72-$C$6+6,12)-6)&lt;=$C$7,OR($C$8="Any",P72=$C$8)),1,0)</f>
        <v/>
      </c>
      <c r="D72" s="29">
        <f>IF(C72=1,COUNTIF($C$16:C72,1),"")</f>
        <v/>
      </c>
      <c r="E72" s="18" t="n">
        <v>27.6</v>
      </c>
      <c r="F72" s="18" t="n">
        <v>35.88</v>
      </c>
      <c r="G72" s="18" t="n">
        <v>11.05</v>
      </c>
      <c r="H72" s="38" t="n">
        <v>19.23</v>
      </c>
      <c r="I72" s="38" t="n">
        <v>13.8</v>
      </c>
      <c r="J72" s="13" t="n">
        <v>10605</v>
      </c>
      <c r="K72" s="13" t="n">
        <v>10219.56</v>
      </c>
      <c r="L72" s="13" t="n">
        <v>1720.25</v>
      </c>
      <c r="M72" s="13" t="n">
        <v>1879.62</v>
      </c>
      <c r="N72" s="13" t="n">
        <v>4437</v>
      </c>
      <c r="O72" s="38" t="n">
        <v>42.36</v>
      </c>
      <c r="P72" s="39" t="inlineStr">
        <is>
          <t>Windy</t>
        </is>
      </c>
      <c r="Q72" s="13" t="n">
        <v>1412</v>
      </c>
      <c r="R72" s="13" t="n">
        <v>859.26</v>
      </c>
      <c r="S72" s="13" t="n">
        <v>-717.5</v>
      </c>
      <c r="T72" s="13" t="n">
        <v>9917.16</v>
      </c>
      <c r="U72" s="13" t="n">
        <v>764.9400000000001</v>
      </c>
      <c r="V72" s="13" t="n">
        <v>276.35</v>
      </c>
      <c r="W72" s="13" t="n">
        <v>304.53</v>
      </c>
      <c r="X72" s="13" t="n">
        <v>2427.17</v>
      </c>
      <c r="Y72" s="13" t="n">
        <v>685.6900000000001</v>
      </c>
      <c r="Z72" s="19" t="n"/>
      <c r="AA72" s="18" t="n"/>
      <c r="AB72" s="38" t="n">
        <v>16.43</v>
      </c>
      <c r="AC72" s="14">
        <f>IFERROR(AVERAGEIFS($E$16:$E$736,$W$16:$W$736,"&gt;="&amp;W72-$C$5,$W$16:$W$736,"&lt;="&amp;W72+$C$5,$B$16:$B$736,B72,$A$16:$A$736,"&lt;&gt;"&amp;A72),"")</f>
        <v/>
      </c>
      <c r="AD72" s="14">
        <f>IF(AND(ISNUMBER(E72),ISNUMBER(AC72)),E72-AC72,"")</f>
        <v/>
      </c>
    </row>
    <row r="73">
      <c r="A73" s="17" t="n">
        <v>46236</v>
      </c>
      <c r="B73" s="29">
        <f>MONTH(A73)</f>
        <v/>
      </c>
      <c r="C73" s="29">
        <f>IF(AND(ISNUMBER(W73),ISNUMBER($C$4),ABS(W73-$C$4)&lt;=$C$5,ABS(MOD(B73-$C$6+6,12)-6)&lt;=$C$7,OR($C$8="Any",P73=$C$8)),1,0)</f>
        <v/>
      </c>
      <c r="D73" s="29">
        <f>IF(C73=1,COUNTIF($C$16:C73,1),"")</f>
        <v/>
      </c>
      <c r="E73" s="18" t="n">
        <v>4.24</v>
      </c>
      <c r="F73" s="18" t="n">
        <v>5.86</v>
      </c>
      <c r="G73" s="18" t="n">
        <v>1.01</v>
      </c>
      <c r="H73" s="38" t="n">
        <v>20.63</v>
      </c>
      <c r="I73" s="38" t="n">
        <v>16.68</v>
      </c>
      <c r="J73" s="13" t="n">
        <v>10549</v>
      </c>
      <c r="K73" s="13" t="n">
        <v>10090</v>
      </c>
      <c r="L73" s="13" t="n">
        <v>2814.94</v>
      </c>
      <c r="M73" s="13" t="n">
        <v>2945</v>
      </c>
      <c r="N73" s="13" t="n">
        <v>4437</v>
      </c>
      <c r="O73" s="38" t="n">
        <v>66.37</v>
      </c>
      <c r="P73" s="39" t="inlineStr">
        <is>
          <t>Windy</t>
        </is>
      </c>
      <c r="Q73" s="13" t="n">
        <v>1573</v>
      </c>
      <c r="R73" s="13" t="n">
        <v>859.26</v>
      </c>
      <c r="S73" s="13" t="n">
        <v>-694.83</v>
      </c>
      <c r="T73" s="13" t="n">
        <v>9940.809999999999</v>
      </c>
      <c r="U73" s="13" t="n">
        <v>763.8</v>
      </c>
      <c r="V73" s="13" t="n">
        <v>6.12</v>
      </c>
      <c r="W73" s="13" t="n">
        <v>3010.18</v>
      </c>
      <c r="X73" s="13" t="n">
        <v>3805.16</v>
      </c>
      <c r="Y73" s="13" t="n">
        <v>3351.91</v>
      </c>
      <c r="Z73" s="19" t="n"/>
      <c r="AA73" s="18" t="n"/>
      <c r="AB73" s="38" t="n">
        <v>34.08</v>
      </c>
      <c r="AC73" s="14">
        <f>IFERROR(AVERAGEIFS($E$16:$E$736,$W$16:$W$736,"&gt;="&amp;W73-$C$5,$W$16:$W$736,"&lt;="&amp;W73+$C$5,$B$16:$B$736,B73,$A$16:$A$736,"&lt;&gt;"&amp;A73),"")</f>
        <v/>
      </c>
      <c r="AD73" s="14">
        <f>IF(AND(ISNUMBER(E73),ISNUMBER(AC73)),E73-AC73,"")</f>
        <v/>
      </c>
    </row>
    <row r="74">
      <c r="A74" s="17" t="n">
        <v>46235</v>
      </c>
      <c r="B74" s="29">
        <f>MONTH(A74)</f>
        <v/>
      </c>
      <c r="C74" s="29">
        <f>IF(AND(ISNUMBER(W74),ISNUMBER($C$4),ABS(W74-$C$4)&lt;=$C$5,ABS(MOD(B74-$C$6+6,12)-6)&lt;=$C$7,OR($C$8="Any",P74=$C$8)),1,0)</f>
        <v/>
      </c>
      <c r="D74" s="29">
        <f>IF(C74=1,COUNTIF($C$16:C74,1),"")</f>
        <v/>
      </c>
      <c r="E74" s="18" t="n">
        <v>9.08</v>
      </c>
      <c r="F74" s="18" t="n">
        <v>7.11</v>
      </c>
      <c r="G74" s="18" t="n">
        <v>13.04</v>
      </c>
      <c r="H74" s="38" t="n">
        <v>32.1</v>
      </c>
      <c r="I74" s="38" t="n">
        <v>23.82</v>
      </c>
      <c r="J74" s="13" t="n">
        <v>11904</v>
      </c>
      <c r="K74" s="13" t="n">
        <v>11132</v>
      </c>
      <c r="L74" s="13" t="n">
        <v>2943.44</v>
      </c>
      <c r="M74" s="13" t="n">
        <v>2680.67</v>
      </c>
      <c r="N74" s="13" t="n">
        <v>4437</v>
      </c>
      <c r="O74" s="38" t="n">
        <v>60.42</v>
      </c>
      <c r="P74" s="39" t="inlineStr">
        <is>
          <t>Windy</t>
        </is>
      </c>
      <c r="Q74" s="13" t="n">
        <v>1685</v>
      </c>
      <c r="R74" s="13" t="n">
        <v>861.95</v>
      </c>
      <c r="S74" s="13" t="n">
        <v>-295.17</v>
      </c>
      <c r="T74" s="13" t="n">
        <v>9785.959999999999</v>
      </c>
      <c r="U74" s="13" t="n">
        <v>740.28</v>
      </c>
      <c r="V74" s="13" t="n">
        <v>91.83</v>
      </c>
      <c r="W74" s="13" t="n">
        <v>2481.77</v>
      </c>
      <c r="X74" s="13" t="n">
        <v>3153.11</v>
      </c>
      <c r="Y74" s="13" t="n">
        <v>2778.41</v>
      </c>
      <c r="Z74" s="19" t="n"/>
      <c r="AA74" s="18" t="n"/>
      <c r="AB74" s="38" t="n">
        <v>25.82</v>
      </c>
      <c r="AC74" s="14">
        <f>IFERROR(AVERAGEIFS($E$16:$E$736,$W$16:$W$736,"&gt;="&amp;W74-$C$5,$W$16:$W$736,"&lt;="&amp;W74+$C$5,$B$16:$B$736,B74,$A$16:$A$736,"&lt;&gt;"&amp;A74),"")</f>
        <v/>
      </c>
      <c r="AD74" s="14">
        <f>IF(AND(ISNUMBER(E74),ISNUMBER(AC74)),E74-AC74,"")</f>
        <v/>
      </c>
    </row>
    <row r="75">
      <c r="A75" s="17" t="n">
        <v>46234</v>
      </c>
      <c r="B75" s="29">
        <f>MONTH(A75)</f>
        <v/>
      </c>
      <c r="C75" s="29">
        <f>IF(AND(ISNUMBER(W75),ISNUMBER($C$4),ABS(W75-$C$4)&lt;=$C$5,ABS(MOD(B75-$C$6+6,12)-6)&lt;=$C$7,OR($C$8="Any",P75=$C$8)),1,0)</f>
        <v/>
      </c>
      <c r="D75" s="29">
        <f>IF(C75=1,COUNTIF($C$16:C75,1),"")</f>
        <v/>
      </c>
      <c r="E75" s="18" t="n">
        <v>42.71</v>
      </c>
      <c r="F75" s="18" t="n">
        <v>52.39</v>
      </c>
      <c r="G75" s="18" t="n">
        <v>23.36</v>
      </c>
      <c r="H75" s="38" t="n">
        <v>29.43</v>
      </c>
      <c r="I75" s="38" t="n">
        <v>22.21</v>
      </c>
      <c r="J75" s="13" t="n">
        <v>12156</v>
      </c>
      <c r="K75" s="13" t="n">
        <v>11482.75</v>
      </c>
      <c r="L75" s="13" t="n">
        <v>424.25</v>
      </c>
      <c r="M75" s="13" t="n">
        <v>642.21</v>
      </c>
      <c r="N75" s="13" t="n">
        <v>4437</v>
      </c>
      <c r="O75" s="38" t="n">
        <v>14.47</v>
      </c>
      <c r="P75" s="39" t="inlineStr">
        <is>
          <t>Calm</t>
        </is>
      </c>
      <c r="Q75" s="13" t="n">
        <v>1719</v>
      </c>
      <c r="R75" s="13" t="n">
        <v>854.3</v>
      </c>
      <c r="S75" s="13" t="n">
        <v>102.42</v>
      </c>
      <c r="T75" s="13" t="n">
        <v>10128.42</v>
      </c>
      <c r="U75" s="13" t="n">
        <v>725.01</v>
      </c>
      <c r="V75" s="13" t="n">
        <v>134.68</v>
      </c>
      <c r="W75" s="13" t="n">
        <v>401.85</v>
      </c>
      <c r="X75" s="13" t="n">
        <v>1297.49</v>
      </c>
      <c r="Y75" s="13" t="n">
        <v>704.58</v>
      </c>
      <c r="Z75" s="19" t="n"/>
      <c r="AA75" s="18" t="n"/>
      <c r="AB75" s="38" t="n">
        <v>14.81</v>
      </c>
      <c r="AC75" s="14">
        <f>IFERROR(AVERAGEIFS($E$16:$E$736,$W$16:$W$736,"&gt;="&amp;W75-$C$5,$W$16:$W$736,"&lt;="&amp;W75+$C$5,$B$16:$B$736,B75,$A$16:$A$736,"&lt;&gt;"&amp;A75),"")</f>
        <v/>
      </c>
      <c r="AD75" s="14">
        <f>IF(AND(ISNUMBER(E75),ISNUMBER(AC75)),E75-AC75,"")</f>
        <v/>
      </c>
    </row>
    <row r="76">
      <c r="A76" s="17" t="n">
        <v>46233</v>
      </c>
      <c r="B76" s="29">
        <f>MONTH(A76)</f>
        <v/>
      </c>
      <c r="C76" s="29">
        <f>IF(AND(ISNUMBER(W76),ISNUMBER($C$4),ABS(W76-$C$4)&lt;=$C$5,ABS(MOD(B76-$C$6+6,12)-6)&lt;=$C$7,OR($C$8="Any",P76=$C$8)),1,0)</f>
        <v/>
      </c>
      <c r="D76" s="29">
        <f>IF(C76=1,COUNTIF($C$16:C76,1),"")</f>
        <v/>
      </c>
      <c r="E76" s="18" t="n">
        <v>22.46</v>
      </c>
      <c r="F76" s="18" t="n">
        <v>24.82</v>
      </c>
      <c r="G76" s="18" t="n">
        <v>17.73</v>
      </c>
      <c r="H76" s="38" t="n">
        <v>26.37</v>
      </c>
      <c r="I76" s="38" t="n">
        <v>20.07</v>
      </c>
      <c r="J76" s="13" t="n">
        <v>11870</v>
      </c>
      <c r="K76" s="13" t="n">
        <v>11353.25</v>
      </c>
      <c r="L76" s="13" t="n">
        <v>1189.44</v>
      </c>
      <c r="M76" s="13" t="n">
        <v>1293.67</v>
      </c>
      <c r="N76" s="13" t="n">
        <v>4437</v>
      </c>
      <c r="O76" s="38" t="n">
        <v>29.16</v>
      </c>
      <c r="P76" s="39" t="inlineStr">
        <is>
          <t>Windy</t>
        </is>
      </c>
      <c r="Q76" s="13" t="n">
        <v>1712</v>
      </c>
      <c r="R76" s="13" t="n">
        <v>794.45</v>
      </c>
      <c r="S76" s="13" t="n">
        <v>-123.75</v>
      </c>
      <c r="T76" s="13" t="n">
        <v>10193.1</v>
      </c>
      <c r="U76" s="13" t="n">
        <v>730.71</v>
      </c>
      <c r="V76" s="13" t="n">
        <v>34.58</v>
      </c>
      <c r="W76" s="13" t="n">
        <v>826.74</v>
      </c>
      <c r="X76" s="13" t="n">
        <v>2012.99</v>
      </c>
      <c r="Y76" s="13" t="n">
        <v>1110.06</v>
      </c>
      <c r="Z76" s="19" t="n"/>
      <c r="AA76" s="18" t="n"/>
      <c r="AB76" s="38" t="n">
        <v>15.25</v>
      </c>
      <c r="AC76" s="14">
        <f>IFERROR(AVERAGEIFS($E$16:$E$736,$W$16:$W$736,"&gt;="&amp;W76-$C$5,$W$16:$W$736,"&lt;="&amp;W76+$C$5,$B$16:$B$736,B76,$A$16:$A$736,"&lt;&gt;"&amp;A76),"")</f>
        <v/>
      </c>
      <c r="AD76" s="14">
        <f>IF(AND(ISNUMBER(E76),ISNUMBER(AC76)),E76-AC76,"")</f>
        <v/>
      </c>
    </row>
    <row r="77">
      <c r="A77" s="17" t="n">
        <v>46232</v>
      </c>
      <c r="B77" s="29">
        <f>MONTH(A77)</f>
        <v/>
      </c>
      <c r="C77" s="29">
        <f>IF(AND(ISNUMBER(W77),ISNUMBER($C$4),ABS(W77-$C$4)&lt;=$C$5,ABS(MOD(B77-$C$6+6,12)-6)&lt;=$C$7,OR($C$8="Any",P77=$C$8)),1,0)</f>
        <v/>
      </c>
      <c r="D77" s="29">
        <f>IF(C77=1,COUNTIF($C$16:C77,1),"")</f>
        <v/>
      </c>
      <c r="E77" s="18" t="n">
        <v>29.22</v>
      </c>
      <c r="F77" s="18" t="n">
        <v>37.65</v>
      </c>
      <c r="G77" s="18" t="n">
        <v>12.37</v>
      </c>
      <c r="H77" s="38" t="n">
        <v>25.63</v>
      </c>
      <c r="I77" s="38" t="n">
        <v>19.59</v>
      </c>
      <c r="J77" s="13" t="n">
        <v>11800</v>
      </c>
      <c r="K77" s="13" t="n">
        <v>11208.62</v>
      </c>
      <c r="L77" s="13" t="n">
        <v>530.5599999999999</v>
      </c>
      <c r="M77" s="13" t="n">
        <v>914.62</v>
      </c>
      <c r="N77" s="13" t="n">
        <v>4437</v>
      </c>
      <c r="O77" s="38" t="n">
        <v>20.61</v>
      </c>
      <c r="P77" s="39" t="inlineStr">
        <is>
          <t>Windy</t>
        </is>
      </c>
      <c r="Q77" s="13" t="n">
        <v>1783</v>
      </c>
      <c r="R77" s="13" t="n">
        <v>853.0700000000001</v>
      </c>
      <c r="S77" s="13" t="n">
        <v>-83.62</v>
      </c>
      <c r="T77" s="13" t="n">
        <v>10205.92</v>
      </c>
      <c r="U77" s="13" t="n">
        <v>714.3</v>
      </c>
      <c r="V77" s="13" t="n">
        <v>100.57</v>
      </c>
      <c r="W77" s="13" t="n">
        <v>466.49</v>
      </c>
      <c r="X77" s="13" t="n">
        <v>1717.94</v>
      </c>
      <c r="Y77" s="13" t="n">
        <v>801.9</v>
      </c>
      <c r="Z77" s="19" t="n"/>
      <c r="AA77" s="18" t="n"/>
      <c r="AB77" s="38" t="n">
        <v>15.28</v>
      </c>
      <c r="AC77" s="14">
        <f>IFERROR(AVERAGEIFS($E$16:$E$736,$W$16:$W$736,"&gt;="&amp;W77-$C$5,$W$16:$W$736,"&lt;="&amp;W77+$C$5,$B$16:$B$736,B77,$A$16:$A$736,"&lt;&gt;"&amp;A77),"")</f>
        <v/>
      </c>
      <c r="AD77" s="14">
        <f>IF(AND(ISNUMBER(E77),ISNUMBER(AC77)),E77-AC77,"")</f>
        <v/>
      </c>
    </row>
    <row r="78">
      <c r="A78" s="17" t="n">
        <v>46231</v>
      </c>
      <c r="B78" s="29">
        <f>MONTH(A78)</f>
        <v/>
      </c>
      <c r="C78" s="29">
        <f>IF(AND(ISNUMBER(W78),ISNUMBER($C$4),ABS(W78-$C$4)&lt;=$C$5,ABS(MOD(B78-$C$6+6,12)-6)&lt;=$C$7,OR($C$8="Any",P78=$C$8)),1,0)</f>
        <v/>
      </c>
      <c r="D78" s="29">
        <f>IF(C78=1,COUNTIF($C$16:C78,1),"")</f>
        <v/>
      </c>
      <c r="E78" s="18" t="n">
        <v>21.36</v>
      </c>
      <c r="F78" s="18" t="n">
        <v>21.04</v>
      </c>
      <c r="G78" s="18" t="n">
        <v>21.99</v>
      </c>
      <c r="H78" s="38" t="n">
        <v>27.97</v>
      </c>
      <c r="I78" s="38" t="n">
        <v>20.68</v>
      </c>
      <c r="J78" s="13" t="n">
        <v>12145</v>
      </c>
      <c r="K78" s="13" t="n">
        <v>11449.69</v>
      </c>
      <c r="L78" s="13" t="n">
        <v>1690.94</v>
      </c>
      <c r="M78" s="13" t="n">
        <v>1414.83</v>
      </c>
      <c r="N78" s="13" t="n">
        <v>4437</v>
      </c>
      <c r="O78" s="38" t="n">
        <v>31.89</v>
      </c>
      <c r="P78" s="39" t="inlineStr">
        <is>
          <t>Windy</t>
        </is>
      </c>
      <c r="Q78" s="13" t="n">
        <v>1751</v>
      </c>
      <c r="R78" s="13" t="n">
        <v>861.6900000000001</v>
      </c>
      <c r="S78" s="13" t="n">
        <v>-231.92</v>
      </c>
      <c r="T78" s="13" t="n">
        <v>10195.93</v>
      </c>
      <c r="U78" s="13" t="n">
        <v>748.78</v>
      </c>
      <c r="V78" s="13" t="n">
        <v>44.68</v>
      </c>
      <c r="W78" s="13" t="n">
        <v>1240.43</v>
      </c>
      <c r="X78" s="13" t="n">
        <v>2260.13</v>
      </c>
      <c r="Y78" s="13" t="n">
        <v>1554.08</v>
      </c>
      <c r="Z78" s="19" t="n"/>
      <c r="AA78" s="18" t="n"/>
      <c r="AB78" s="38" t="n">
        <v>21.8</v>
      </c>
      <c r="AC78" s="14">
        <f>IFERROR(AVERAGEIFS($E$16:$E$736,$W$16:$W$736,"&gt;="&amp;W78-$C$5,$W$16:$W$736,"&lt;="&amp;W78+$C$5,$B$16:$B$736,B78,$A$16:$A$736,"&lt;&gt;"&amp;A78),"")</f>
        <v/>
      </c>
      <c r="AD78" s="14">
        <f>IF(AND(ISNUMBER(E78),ISNUMBER(AC78)),E78-AC78,"")</f>
        <v/>
      </c>
    </row>
    <row r="79">
      <c r="A79" s="17" t="n">
        <v>46230</v>
      </c>
      <c r="B79" s="29">
        <f>MONTH(A79)</f>
        <v/>
      </c>
      <c r="C79" s="29">
        <f>IF(AND(ISNUMBER(W79),ISNUMBER($C$4),ABS(W79-$C$4)&lt;=$C$5,ABS(MOD(B79-$C$6+6,12)-6)&lt;=$C$7,OR($C$8="Any",P79=$C$8)),1,0)</f>
        <v/>
      </c>
      <c r="D79" s="29">
        <f>IF(C79=1,COUNTIF($C$16:C79,1),"")</f>
        <v/>
      </c>
      <c r="E79" s="18" t="n">
        <v>11.04</v>
      </c>
      <c r="F79" s="18" t="n">
        <v>12.92</v>
      </c>
      <c r="G79" s="18" t="n">
        <v>7.27</v>
      </c>
      <c r="H79" s="38" t="n">
        <v>25.13</v>
      </c>
      <c r="I79" s="38" t="n">
        <v>20.72</v>
      </c>
      <c r="J79" s="13" t="n">
        <v>11976</v>
      </c>
      <c r="K79" s="13" t="n">
        <v>11519.12</v>
      </c>
      <c r="L79" s="13" t="n">
        <v>2115.56</v>
      </c>
      <c r="M79" s="13" t="n">
        <v>2180.12</v>
      </c>
      <c r="N79" s="13" t="n">
        <v>4437</v>
      </c>
      <c r="O79" s="38" t="n">
        <v>49.14</v>
      </c>
      <c r="P79" s="39" t="inlineStr">
        <is>
          <t>Windy</t>
        </is>
      </c>
      <c r="Q79" s="13" t="n">
        <v>1649</v>
      </c>
      <c r="R79" s="13" t="n">
        <v>857.7</v>
      </c>
      <c r="S79" s="13" t="n">
        <v>-285.92</v>
      </c>
      <c r="T79" s="13" t="n">
        <v>10120.94</v>
      </c>
      <c r="U79" s="13" t="n">
        <v>745.67</v>
      </c>
      <c r="V79" s="13" t="n">
        <v>28.46</v>
      </c>
      <c r="W79" s="13" t="n">
        <v>1325.19</v>
      </c>
      <c r="X79" s="13" t="n">
        <v>2438.34</v>
      </c>
      <c r="Y79" s="13" t="n">
        <v>1613.06</v>
      </c>
      <c r="Z79" s="19" t="n"/>
      <c r="AA79" s="18" t="n"/>
      <c r="AB79" s="38" t="n">
        <v>19</v>
      </c>
      <c r="AC79" s="14">
        <f>IFERROR(AVERAGEIFS($E$16:$E$736,$W$16:$W$736,"&gt;="&amp;W79-$C$5,$W$16:$W$736,"&lt;="&amp;W79+$C$5,$B$16:$B$736,B79,$A$16:$A$736,"&lt;&gt;"&amp;A79),"")</f>
        <v/>
      </c>
      <c r="AD79" s="14">
        <f>IF(AND(ISNUMBER(E79),ISNUMBER(AC79)),E79-AC79,"")</f>
        <v/>
      </c>
    </row>
    <row r="80">
      <c r="A80" s="17" t="n">
        <v>46229</v>
      </c>
      <c r="B80" s="29">
        <f>MONTH(A80)</f>
        <v/>
      </c>
      <c r="C80" s="29">
        <f>IF(AND(ISNUMBER(W80),ISNUMBER($C$4),ABS(W80-$C$4)&lt;=$C$5,ABS(MOD(B80-$C$6+6,12)-6)&lt;=$C$7,OR($C$8="Any",P80=$C$8)),1,0)</f>
        <v/>
      </c>
      <c r="D80" s="29">
        <f>IF(C80=1,COUNTIF($C$16:C80,1),"")</f>
        <v/>
      </c>
      <c r="E80" s="18" t="n">
        <v>20.31</v>
      </c>
      <c r="F80" s="18" t="n">
        <v>26.82</v>
      </c>
      <c r="G80" s="18" t="n">
        <v>7.29</v>
      </c>
      <c r="H80" s="38" t="n">
        <v>26.77</v>
      </c>
      <c r="I80" s="38" t="n">
        <v>21.27</v>
      </c>
      <c r="J80" s="13" t="n">
        <v>11800</v>
      </c>
      <c r="K80" s="13" t="n">
        <v>11121.81</v>
      </c>
      <c r="L80" s="13" t="n">
        <v>1100.19</v>
      </c>
      <c r="M80" s="13" t="n">
        <v>1555.92</v>
      </c>
      <c r="N80" s="13" t="n">
        <v>4437</v>
      </c>
      <c r="O80" s="38" t="n">
        <v>35.07</v>
      </c>
      <c r="P80" s="39" t="inlineStr">
        <is>
          <t>Windy</t>
        </is>
      </c>
      <c r="Q80" s="13" t="n">
        <v>1775</v>
      </c>
      <c r="R80" s="13" t="n">
        <v>863.74</v>
      </c>
      <c r="S80" s="13" t="n">
        <v>-274.17</v>
      </c>
      <c r="T80" s="13" t="n">
        <v>10102.61</v>
      </c>
      <c r="U80" s="13" t="n">
        <v>727.35</v>
      </c>
      <c r="V80" s="13" t="n">
        <v>254.66</v>
      </c>
      <c r="W80" s="13" t="n">
        <v>956.65</v>
      </c>
      <c r="X80" s="13" t="n">
        <v>1932.29</v>
      </c>
      <c r="Y80" s="13" t="n">
        <v>1256.1</v>
      </c>
      <c r="Z80" s="19" t="n"/>
      <c r="AA80" s="18" t="n"/>
      <c r="AB80" s="38" t="n">
        <v>14.48</v>
      </c>
      <c r="AC80" s="14">
        <f>IFERROR(AVERAGEIFS($E$16:$E$736,$W$16:$W$736,"&gt;="&amp;W80-$C$5,$W$16:$W$736,"&lt;="&amp;W80+$C$5,$B$16:$B$736,B80,$A$16:$A$736,"&lt;&gt;"&amp;A80),"")</f>
        <v/>
      </c>
      <c r="AD80" s="14">
        <f>IF(AND(ISNUMBER(E80),ISNUMBER(AC80)),E80-AC80,"")</f>
        <v/>
      </c>
    </row>
    <row r="81">
      <c r="A81" s="17" t="n">
        <v>46228</v>
      </c>
      <c r="B81" s="29">
        <f>MONTH(A81)</f>
        <v/>
      </c>
      <c r="C81" s="29">
        <f>IF(AND(ISNUMBER(W81),ISNUMBER($C$4),ABS(W81-$C$4)&lt;=$C$5,ABS(MOD(B81-$C$6+6,12)-6)&lt;=$C$7,OR($C$8="Any",P81=$C$8)),1,0)</f>
        <v/>
      </c>
      <c r="D81" s="29">
        <f>IF(C81=1,COUNTIF($C$16:C81,1),"")</f>
        <v/>
      </c>
      <c r="E81" s="18" t="n">
        <v>20.06</v>
      </c>
      <c r="F81" s="18" t="n">
        <v>20.89</v>
      </c>
      <c r="G81" s="18" t="n">
        <v>18.39</v>
      </c>
      <c r="H81" s="38" t="n">
        <v>29.8</v>
      </c>
      <c r="I81" s="38" t="n">
        <v>22.85</v>
      </c>
      <c r="J81" s="13" t="n">
        <v>11956</v>
      </c>
      <c r="K81" s="13" t="n">
        <v>11295.88</v>
      </c>
      <c r="L81" s="13" t="n">
        <v>1285.62</v>
      </c>
      <c r="M81" s="13" t="n">
        <v>1411.38</v>
      </c>
      <c r="N81" s="13" t="n">
        <v>4437</v>
      </c>
      <c r="O81" s="38" t="n">
        <v>31.81</v>
      </c>
      <c r="P81" s="39" t="inlineStr">
        <is>
          <t>Windy</t>
        </is>
      </c>
      <c r="Q81" s="13" t="n">
        <v>1697</v>
      </c>
      <c r="R81" s="13" t="n">
        <v>863.74</v>
      </c>
      <c r="S81" s="13" t="n">
        <v>-131.71</v>
      </c>
      <c r="T81" s="13" t="n">
        <v>10090.51</v>
      </c>
      <c r="U81" s="13" t="n">
        <v>738.38</v>
      </c>
      <c r="V81" s="13" t="n">
        <v>141.98</v>
      </c>
      <c r="W81" s="13" t="n">
        <v>1347.3</v>
      </c>
      <c r="X81" s="13" t="n">
        <v>2005.88</v>
      </c>
      <c r="Y81" s="13" t="n">
        <v>1657.94</v>
      </c>
      <c r="Z81" s="19" t="n"/>
      <c r="AA81" s="18" t="n"/>
      <c r="AB81" s="38" t="n">
        <v>17.48</v>
      </c>
      <c r="AC81" s="14">
        <f>IFERROR(AVERAGEIFS($E$16:$E$736,$W$16:$W$736,"&gt;="&amp;W81-$C$5,$W$16:$W$736,"&lt;="&amp;W81+$C$5,$B$16:$B$736,B81,$A$16:$A$736,"&lt;&gt;"&amp;A81),"")</f>
        <v/>
      </c>
      <c r="AD81" s="14">
        <f>IF(AND(ISNUMBER(E81),ISNUMBER(AC81)),E81-AC81,"")</f>
        <v/>
      </c>
    </row>
    <row r="82">
      <c r="A82" s="17" t="n">
        <v>46227</v>
      </c>
      <c r="B82" s="29">
        <f>MONTH(A82)</f>
        <v/>
      </c>
      <c r="C82" s="29">
        <f>IF(AND(ISNUMBER(W82),ISNUMBER($C$4),ABS(W82-$C$4)&lt;=$C$5,ABS(MOD(B82-$C$6+6,12)-6)&lt;=$C$7,OR($C$8="Any",P82=$C$8)),1,0)</f>
        <v/>
      </c>
      <c r="D82" s="29">
        <f>IF(C82=1,COUNTIF($C$16:C82,1),"")</f>
        <v/>
      </c>
      <c r="E82" s="18" t="n">
        <v>24.35</v>
      </c>
      <c r="F82" s="18" t="n">
        <v>24.48</v>
      </c>
      <c r="G82" s="18" t="n">
        <v>24.08</v>
      </c>
      <c r="H82" s="38" t="n">
        <v>29.17</v>
      </c>
      <c r="I82" s="38" t="n">
        <v>23.22</v>
      </c>
      <c r="J82" s="13" t="n">
        <v>12301</v>
      </c>
      <c r="K82" s="13" t="n">
        <v>11657.5</v>
      </c>
      <c r="L82" s="13" t="n">
        <v>1787</v>
      </c>
      <c r="M82" s="13" t="n">
        <v>1520.58</v>
      </c>
      <c r="N82" s="13" t="n">
        <v>4437</v>
      </c>
      <c r="O82" s="38" t="n">
        <v>34.27</v>
      </c>
      <c r="P82" s="39" t="inlineStr">
        <is>
          <t>Windy</t>
        </is>
      </c>
      <c r="Q82" s="13" t="n">
        <v>1688</v>
      </c>
      <c r="R82" s="13" t="n">
        <v>858.11</v>
      </c>
      <c r="S82" s="13" t="n">
        <v>-212.54</v>
      </c>
      <c r="T82" s="13" t="n">
        <v>10121.54</v>
      </c>
      <c r="U82" s="13" t="n">
        <v>723.11</v>
      </c>
      <c r="V82" s="13" t="n">
        <v>46.18</v>
      </c>
      <c r="W82" s="13" t="n">
        <v>818.5700000000001</v>
      </c>
      <c r="X82" s="13" t="n">
        <v>1917.75</v>
      </c>
      <c r="Y82" s="13" t="n">
        <v>1142.38</v>
      </c>
      <c r="Z82" s="19" t="n"/>
      <c r="AA82" s="18" t="n"/>
      <c r="AB82" s="38" t="n">
        <v>22.08</v>
      </c>
      <c r="AC82" s="14">
        <f>IFERROR(AVERAGEIFS($E$16:$E$736,$W$16:$W$736,"&gt;="&amp;W82-$C$5,$W$16:$W$736,"&lt;="&amp;W82+$C$5,$B$16:$B$736,B82,$A$16:$A$736,"&lt;&gt;"&amp;A82),"")</f>
        <v/>
      </c>
      <c r="AD82" s="14">
        <f>IF(AND(ISNUMBER(E82),ISNUMBER(AC82)),E82-AC82,"")</f>
        <v/>
      </c>
    </row>
    <row r="83">
      <c r="A83" s="17" t="n">
        <v>46226</v>
      </c>
      <c r="B83" s="29">
        <f>MONTH(A83)</f>
        <v/>
      </c>
      <c r="C83" s="29">
        <f>IF(AND(ISNUMBER(W83),ISNUMBER($C$4),ABS(W83-$C$4)&lt;=$C$5,ABS(MOD(B83-$C$6+6,12)-6)&lt;=$C$7,OR($C$8="Any",P83=$C$8)),1,0)</f>
        <v/>
      </c>
      <c r="D83" s="29">
        <f>IF(C83=1,COUNTIF($C$16:C83,1),"")</f>
        <v/>
      </c>
      <c r="E83" s="18" t="n">
        <v>35.61</v>
      </c>
      <c r="F83" s="18" t="n">
        <v>37.41</v>
      </c>
      <c r="G83" s="18" t="n">
        <v>32.02</v>
      </c>
      <c r="H83" s="38" t="n">
        <v>28.97</v>
      </c>
      <c r="I83" s="38" t="n">
        <v>22.77</v>
      </c>
      <c r="J83" s="13" t="n">
        <v>12136</v>
      </c>
      <c r="K83" s="13" t="n">
        <v>11639.81</v>
      </c>
      <c r="L83" s="13" t="n">
        <v>853.8099999999999</v>
      </c>
      <c r="M83" s="13" t="n">
        <v>627.42</v>
      </c>
      <c r="N83" s="13" t="n">
        <v>4437</v>
      </c>
      <c r="O83" s="38" t="n">
        <v>14.14</v>
      </c>
      <c r="P83" s="39" t="inlineStr">
        <is>
          <t>Calm</t>
        </is>
      </c>
      <c r="Q83" s="13" t="n">
        <v>1457</v>
      </c>
      <c r="R83" s="13" t="n">
        <v>850.6</v>
      </c>
      <c r="S83" s="13" t="n">
        <v>90.20999999999999</v>
      </c>
      <c r="T83" s="13" t="n">
        <v>10161.63</v>
      </c>
      <c r="U83" s="13" t="n">
        <v>723.8099999999999</v>
      </c>
      <c r="V83" s="13" t="n">
        <v>95.11</v>
      </c>
      <c r="W83" s="13" t="n">
        <v>409.61</v>
      </c>
      <c r="X83" s="13" t="n">
        <v>1140.25</v>
      </c>
      <c r="Y83" s="13" t="n">
        <v>812.09</v>
      </c>
      <c r="Z83" s="19" t="n"/>
      <c r="AA83" s="18" t="n"/>
      <c r="AB83" s="38" t="n">
        <v>17.86</v>
      </c>
      <c r="AC83" s="14">
        <f>IFERROR(AVERAGEIFS($E$16:$E$736,$W$16:$W$736,"&gt;="&amp;W83-$C$5,$W$16:$W$736,"&lt;="&amp;W83+$C$5,$B$16:$B$736,B83,$A$16:$A$736,"&lt;&gt;"&amp;A83),"")</f>
        <v/>
      </c>
      <c r="AD83" s="14">
        <f>IF(AND(ISNUMBER(E83),ISNUMBER(AC83)),E83-AC83,"")</f>
        <v/>
      </c>
    </row>
    <row r="84">
      <c r="A84" s="17" t="n">
        <v>46225</v>
      </c>
      <c r="B84" s="29">
        <f>MONTH(A84)</f>
        <v/>
      </c>
      <c r="C84" s="29">
        <f>IF(AND(ISNUMBER(W84),ISNUMBER($C$4),ABS(W84-$C$4)&lt;=$C$5,ABS(MOD(B84-$C$6+6,12)-6)&lt;=$C$7,OR($C$8="Any",P84=$C$8)),1,0)</f>
        <v/>
      </c>
      <c r="D84" s="29">
        <f>IF(C84=1,COUNTIF($C$16:C84,1),"")</f>
        <v/>
      </c>
      <c r="E84" s="18" t="n">
        <v>212.14</v>
      </c>
      <c r="F84" s="18" t="n">
        <v>309.47</v>
      </c>
      <c r="G84" s="18" t="n">
        <v>17.48</v>
      </c>
      <c r="H84" s="38" t="n">
        <v>29.37</v>
      </c>
      <c r="I84" s="38" t="n">
        <v>22.46</v>
      </c>
      <c r="J84" s="13" t="n">
        <v>12324</v>
      </c>
      <c r="K84" s="13" t="n">
        <v>11728.5</v>
      </c>
      <c r="L84" s="13" t="n">
        <v>219.69</v>
      </c>
      <c r="M84" s="13" t="n">
        <v>520.38</v>
      </c>
      <c r="N84" s="13" t="n">
        <v>4437</v>
      </c>
      <c r="O84" s="38" t="n">
        <v>11.73</v>
      </c>
      <c r="P84" s="39" t="inlineStr">
        <is>
          <t>Calm</t>
        </is>
      </c>
      <c r="Q84" s="13" t="n">
        <v>1700</v>
      </c>
      <c r="R84" s="13" t="n">
        <v>851.13</v>
      </c>
      <c r="S84" s="13" t="n">
        <v>-44.12</v>
      </c>
      <c r="T84" s="13" t="n">
        <v>10191.25</v>
      </c>
      <c r="U84" s="13" t="n">
        <v>727.35</v>
      </c>
      <c r="V84" s="13" t="n">
        <v>58.24</v>
      </c>
      <c r="W84" s="13" t="n">
        <v>-179.96</v>
      </c>
      <c r="X84" s="13" t="n">
        <v>694.72</v>
      </c>
      <c r="Y84" s="13" t="n">
        <v>147.53</v>
      </c>
      <c r="Z84" s="19" t="n"/>
      <c r="AA84" s="18" t="n"/>
      <c r="AB84" s="38" t="n">
        <v>10.05</v>
      </c>
      <c r="AC84" s="14">
        <f>IFERROR(AVERAGEIFS($E$16:$E$736,$W$16:$W$736,"&gt;="&amp;W84-$C$5,$W$16:$W$736,"&lt;="&amp;W84+$C$5,$B$16:$B$736,B84,$A$16:$A$736,"&lt;&gt;"&amp;A84),"")</f>
        <v/>
      </c>
      <c r="AD84" s="14">
        <f>IF(AND(ISNUMBER(E84),ISNUMBER(AC84)),E84-AC84,"")</f>
        <v/>
      </c>
    </row>
    <row r="85">
      <c r="A85" s="17" t="n">
        <v>46224</v>
      </c>
      <c r="B85" s="29">
        <f>MONTH(A85)</f>
        <v/>
      </c>
      <c r="C85" s="29">
        <f>IF(AND(ISNUMBER(W85),ISNUMBER($C$4),ABS(W85-$C$4)&lt;=$C$5,ABS(MOD(B85-$C$6+6,12)-6)&lt;=$C$7,OR($C$8="Any",P85=$C$8)),1,0)</f>
        <v/>
      </c>
      <c r="D85" s="29">
        <f>IF(C85=1,COUNTIF($C$16:C85,1),"")</f>
        <v/>
      </c>
      <c r="E85" s="18" t="n">
        <v>53.18</v>
      </c>
      <c r="F85" s="18" t="n">
        <v>68.39</v>
      </c>
      <c r="G85" s="18" t="n">
        <v>22.76</v>
      </c>
      <c r="H85" s="38" t="n">
        <v>24.23</v>
      </c>
      <c r="I85" s="38" t="n">
        <v>19.59</v>
      </c>
      <c r="J85" s="13" t="n">
        <v>11935</v>
      </c>
      <c r="K85" s="13" t="n">
        <v>11436.69</v>
      </c>
      <c r="L85" s="13" t="n">
        <v>355.12</v>
      </c>
      <c r="M85" s="13" t="n">
        <v>351.75</v>
      </c>
      <c r="N85" s="13" t="n">
        <v>4437</v>
      </c>
      <c r="O85" s="38" t="n">
        <v>7.93</v>
      </c>
      <c r="P85" s="39" t="inlineStr">
        <is>
          <t>Calm</t>
        </is>
      </c>
      <c r="Q85" s="13" t="n">
        <v>1648</v>
      </c>
      <c r="R85" s="13" t="n">
        <v>862.1799999999999</v>
      </c>
      <c r="S85" s="13" t="n">
        <v>262.92</v>
      </c>
      <c r="T85" s="13" t="n">
        <v>9699.450000000001</v>
      </c>
      <c r="U85" s="13" t="n">
        <v>720.64</v>
      </c>
      <c r="V85" s="13" t="n">
        <v>479.46</v>
      </c>
      <c r="W85" s="13" t="n">
        <v>339.52</v>
      </c>
      <c r="X85" s="13" t="n">
        <v>804.63</v>
      </c>
      <c r="Y85" s="13" t="n">
        <v>668.52</v>
      </c>
      <c r="Z85" s="19" t="n"/>
      <c r="AA85" s="18" t="n"/>
      <c r="AB85" s="38" t="n">
        <v>11.4</v>
      </c>
      <c r="AC85" s="14">
        <f>IFERROR(AVERAGEIFS($E$16:$E$736,$W$16:$W$736,"&gt;="&amp;W85-$C$5,$W$16:$W$736,"&lt;="&amp;W85+$C$5,$B$16:$B$736,B85,$A$16:$A$736,"&lt;&gt;"&amp;A85),"")</f>
        <v/>
      </c>
      <c r="AD85" s="14">
        <f>IF(AND(ISNUMBER(E85),ISNUMBER(AC85)),E85-AC85,"")</f>
        <v/>
      </c>
    </row>
    <row r="86">
      <c r="A86" s="17" t="n">
        <v>46223</v>
      </c>
      <c r="B86" s="29">
        <f>MONTH(A86)</f>
        <v/>
      </c>
      <c r="C86" s="29">
        <f>IF(AND(ISNUMBER(W86),ISNUMBER($C$4),ABS(W86-$C$4)&lt;=$C$5,ABS(MOD(B86-$C$6+6,12)-6)&lt;=$C$7,OR($C$8="Any",P86=$C$8)),1,0)</f>
        <v/>
      </c>
      <c r="D86" s="29">
        <f>IF(C86=1,COUNTIF($C$16:C86,1),"")</f>
        <v/>
      </c>
      <c r="E86" s="18" t="n">
        <v>16.96</v>
      </c>
      <c r="F86" s="18" t="n">
        <v>19.66</v>
      </c>
      <c r="G86" s="18" t="n">
        <v>11.57</v>
      </c>
      <c r="H86" s="38" t="n">
        <v>22.2</v>
      </c>
      <c r="I86" s="38" t="n">
        <v>18.47</v>
      </c>
      <c r="J86" s="13" t="n">
        <v>11524</v>
      </c>
      <c r="K86" s="13" t="n">
        <v>11207.38</v>
      </c>
      <c r="L86" s="13" t="n">
        <v>836.1900000000001</v>
      </c>
      <c r="M86" s="13" t="n">
        <v>1105.17</v>
      </c>
      <c r="N86" s="13" t="n">
        <v>4437</v>
      </c>
      <c r="O86" s="38" t="n">
        <v>24.91</v>
      </c>
      <c r="P86" s="39" t="inlineStr">
        <is>
          <t>Windy</t>
        </is>
      </c>
      <c r="Q86" s="13" t="n">
        <v>1547</v>
      </c>
      <c r="R86" s="13" t="n">
        <v>847.47</v>
      </c>
      <c r="S86" s="13" t="n">
        <v>8.289999999999999</v>
      </c>
      <c r="T86" s="13" t="n">
        <v>10199.11</v>
      </c>
      <c r="U86" s="13" t="n">
        <v>745.16</v>
      </c>
      <c r="V86" s="13" t="n">
        <v>29.46</v>
      </c>
      <c r="W86" s="13" t="n">
        <v>521.35</v>
      </c>
      <c r="X86" s="13" t="n">
        <v>1799.55</v>
      </c>
      <c r="Y86" s="13" t="n">
        <v>836.9299999999999</v>
      </c>
      <c r="Z86" s="19" t="n"/>
      <c r="AA86" s="18" t="n"/>
      <c r="AB86" s="38" t="n">
        <v>13.99</v>
      </c>
      <c r="AC86" s="14">
        <f>IFERROR(AVERAGEIFS($E$16:$E$736,$W$16:$W$736,"&gt;="&amp;W86-$C$5,$W$16:$W$736,"&lt;="&amp;W86+$C$5,$B$16:$B$736,B86,$A$16:$A$736,"&lt;&gt;"&amp;A86),"")</f>
        <v/>
      </c>
      <c r="AD86" s="14">
        <f>IF(AND(ISNUMBER(E86),ISNUMBER(AC86)),E86-AC86,"")</f>
        <v/>
      </c>
    </row>
    <row r="87">
      <c r="A87" s="17" t="n">
        <v>46222</v>
      </c>
      <c r="B87" s="29">
        <f>MONTH(A87)</f>
        <v/>
      </c>
      <c r="C87" s="29">
        <f>IF(AND(ISNUMBER(W87),ISNUMBER($C$4),ABS(W87-$C$4)&lt;=$C$5,ABS(MOD(B87-$C$6+6,12)-6)&lt;=$C$7,OR($C$8="Any",P87=$C$8)),1,0)</f>
        <v/>
      </c>
      <c r="D87" s="29">
        <f>IF(C87=1,COUNTIF($C$16:C87,1),"")</f>
        <v/>
      </c>
      <c r="E87" s="18" t="n">
        <v>8.27</v>
      </c>
      <c r="F87" s="18" t="n">
        <v>9.640000000000001</v>
      </c>
      <c r="G87" s="18" t="n">
        <v>5.54</v>
      </c>
      <c r="H87" s="38" t="n">
        <v>24.47</v>
      </c>
      <c r="I87" s="38" t="n">
        <v>19.82</v>
      </c>
      <c r="J87" s="13" t="n">
        <v>11345</v>
      </c>
      <c r="K87" s="13" t="n">
        <v>10814.31</v>
      </c>
      <c r="L87" s="13" t="n">
        <v>1951.88</v>
      </c>
      <c r="M87" s="13" t="n">
        <v>2061.25</v>
      </c>
      <c r="N87" s="13" t="n">
        <v>4437</v>
      </c>
      <c r="O87" s="38" t="n">
        <v>46.46</v>
      </c>
      <c r="P87" s="39" t="inlineStr">
        <is>
          <t>Windy</t>
        </is>
      </c>
      <c r="Q87" s="13" t="n">
        <v>1709</v>
      </c>
      <c r="R87" s="13" t="n">
        <v>857.17</v>
      </c>
      <c r="S87" s="13" t="n">
        <v>-235.88</v>
      </c>
      <c r="T87" s="13" t="n">
        <v>9973.83</v>
      </c>
      <c r="U87" s="13" t="n">
        <v>776.79</v>
      </c>
      <c r="V87" s="13" t="n">
        <v>288.28</v>
      </c>
      <c r="W87" s="13" t="n">
        <v>2085.29</v>
      </c>
      <c r="X87" s="13" t="n">
        <v>3067.86</v>
      </c>
      <c r="Y87" s="13" t="n">
        <v>2335.32</v>
      </c>
      <c r="Z87" s="19" t="n"/>
      <c r="AA87" s="18" t="n"/>
      <c r="AB87" s="38" t="n">
        <v>24.5</v>
      </c>
      <c r="AC87" s="14">
        <f>IFERROR(AVERAGEIFS($E$16:$E$736,$W$16:$W$736,"&gt;="&amp;W87-$C$5,$W$16:$W$736,"&lt;="&amp;W87+$C$5,$B$16:$B$736,B87,$A$16:$A$736,"&lt;&gt;"&amp;A87),"")</f>
        <v/>
      </c>
      <c r="AD87" s="14">
        <f>IF(AND(ISNUMBER(E87),ISNUMBER(AC87)),E87-AC87,"")</f>
        <v/>
      </c>
    </row>
    <row r="88">
      <c r="A88" s="17" t="n">
        <v>46221</v>
      </c>
      <c r="B88" s="29">
        <f>MONTH(A88)</f>
        <v/>
      </c>
      <c r="C88" s="29">
        <f>IF(AND(ISNUMBER(W88),ISNUMBER($C$4),ABS(W88-$C$4)&lt;=$C$5,ABS(MOD(B88-$C$6+6,12)-6)&lt;=$C$7,OR($C$8="Any",P88=$C$8)),1,0)</f>
        <v/>
      </c>
      <c r="D88" s="29">
        <f>IF(C88=1,COUNTIF($C$16:C88,1),"")</f>
        <v/>
      </c>
      <c r="E88" s="18" t="n">
        <v>9.74</v>
      </c>
      <c r="F88" s="18" t="n">
        <v>12.89</v>
      </c>
      <c r="G88" s="18" t="n">
        <v>3.44</v>
      </c>
      <c r="H88" s="38" t="n">
        <v>31.07</v>
      </c>
      <c r="I88" s="38" t="n">
        <v>24.94</v>
      </c>
      <c r="J88" s="13" t="n">
        <v>12062</v>
      </c>
      <c r="K88" s="13" t="n">
        <v>11515</v>
      </c>
      <c r="L88" s="13" t="n">
        <v>2168.75</v>
      </c>
      <c r="M88" s="13" t="n">
        <v>2355.21</v>
      </c>
      <c r="N88" s="13" t="n">
        <v>4437</v>
      </c>
      <c r="O88" s="38" t="n">
        <v>53.08</v>
      </c>
      <c r="P88" s="39" t="inlineStr">
        <is>
          <t>Windy</t>
        </is>
      </c>
      <c r="Q88" s="13" t="n">
        <v>1748</v>
      </c>
      <c r="R88" s="13" t="n">
        <v>848.77</v>
      </c>
      <c r="S88" s="13" t="n">
        <v>-177.75</v>
      </c>
      <c r="T88" s="13" t="n">
        <v>9861.129999999999</v>
      </c>
      <c r="U88" s="13" t="n">
        <v>781.98</v>
      </c>
      <c r="V88" s="13" t="n">
        <v>288.28</v>
      </c>
      <c r="W88" s="13" t="n">
        <v>1676.37</v>
      </c>
      <c r="X88" s="13" t="n">
        <v>2500.64</v>
      </c>
      <c r="Y88" s="13" t="n">
        <v>1949.69</v>
      </c>
      <c r="Z88" s="19" t="n"/>
      <c r="AA88" s="18" t="n"/>
      <c r="AB88" s="38" t="n">
        <v>21.19</v>
      </c>
      <c r="AC88" s="14">
        <f>IFERROR(AVERAGEIFS($E$16:$E$736,$W$16:$W$736,"&gt;="&amp;W88-$C$5,$W$16:$W$736,"&lt;="&amp;W88+$C$5,$B$16:$B$736,B88,$A$16:$A$736,"&lt;&gt;"&amp;A88),"")</f>
        <v/>
      </c>
      <c r="AD88" s="14">
        <f>IF(AND(ISNUMBER(E88),ISNUMBER(AC88)),E88-AC88,"")</f>
        <v/>
      </c>
    </row>
    <row r="89">
      <c r="A89" s="17" t="n">
        <v>46220</v>
      </c>
      <c r="B89" s="29">
        <f>MONTH(A89)</f>
        <v/>
      </c>
      <c r="C89" s="29">
        <f>IF(AND(ISNUMBER(W89),ISNUMBER($C$4),ABS(W89-$C$4)&lt;=$C$5,ABS(MOD(B89-$C$6+6,12)-6)&lt;=$C$7,OR($C$8="Any",P89=$C$8)),1,0)</f>
        <v/>
      </c>
      <c r="D89" s="29">
        <f>IF(C89=1,COUNTIF($C$16:C89,1),"")</f>
        <v/>
      </c>
      <c r="E89" s="18" t="n">
        <v>46</v>
      </c>
      <c r="F89" s="18" t="n">
        <v>60.62</v>
      </c>
      <c r="G89" s="18" t="n">
        <v>16.75</v>
      </c>
      <c r="H89" s="38" t="n">
        <v>28.53</v>
      </c>
      <c r="I89" s="38" t="n">
        <v>23.05</v>
      </c>
      <c r="J89" s="13" t="n">
        <v>12367</v>
      </c>
      <c r="K89" s="13" t="n">
        <v>11948.69</v>
      </c>
      <c r="L89" s="13" t="n">
        <v>772.12</v>
      </c>
      <c r="M89" s="13" t="n">
        <v>1000.29</v>
      </c>
      <c r="N89" s="13" t="n">
        <v>4437</v>
      </c>
      <c r="O89" s="38" t="n">
        <v>22.54</v>
      </c>
      <c r="P89" s="39" t="inlineStr">
        <is>
          <t>Windy</t>
        </is>
      </c>
      <c r="Q89" s="13" t="n">
        <v>1392</v>
      </c>
      <c r="R89" s="13" t="n">
        <v>860.91</v>
      </c>
      <c r="S89" s="13" t="n">
        <v>312.79</v>
      </c>
      <c r="T89" s="13" t="n">
        <v>9674.780000000001</v>
      </c>
      <c r="U89" s="13" t="n">
        <v>771.02</v>
      </c>
      <c r="V89" s="13" t="n">
        <v>157.38</v>
      </c>
      <c r="W89" s="13" t="n">
        <v>67.84</v>
      </c>
      <c r="X89" s="13" t="n">
        <v>748.27</v>
      </c>
      <c r="Y89" s="13" t="n">
        <v>345.22</v>
      </c>
      <c r="Z89" s="19" t="n"/>
      <c r="AA89" s="18" t="n"/>
      <c r="AB89" s="38" t="n">
        <v>12.09</v>
      </c>
      <c r="AC89" s="14">
        <f>IFERROR(AVERAGEIFS($E$16:$E$736,$W$16:$W$736,"&gt;="&amp;W89-$C$5,$W$16:$W$736,"&lt;="&amp;W89+$C$5,$B$16:$B$736,B89,$A$16:$A$736,"&lt;&gt;"&amp;A89),"")</f>
        <v/>
      </c>
      <c r="AD89" s="14">
        <f>IF(AND(ISNUMBER(E89),ISNUMBER(AC89)),E89-AC89,"")</f>
        <v/>
      </c>
    </row>
    <row r="90">
      <c r="A90" s="17" t="n">
        <v>46219</v>
      </c>
      <c r="B90" s="29">
        <f>MONTH(A90)</f>
        <v/>
      </c>
      <c r="C90" s="29">
        <f>IF(AND(ISNUMBER(W90),ISNUMBER($C$4),ABS(W90-$C$4)&lt;=$C$5,ABS(MOD(B90-$C$6+6,12)-6)&lt;=$C$7,OR($C$8="Any",P90=$C$8)),1,0)</f>
        <v/>
      </c>
      <c r="D90" s="29">
        <f>IF(C90=1,COUNTIF($C$16:C90,1),"")</f>
        <v/>
      </c>
      <c r="E90" s="18" t="n">
        <v>121.71</v>
      </c>
      <c r="F90" s="18" t="n">
        <v>169.78</v>
      </c>
      <c r="G90" s="18" t="n">
        <v>25.56</v>
      </c>
      <c r="H90" s="38" t="n">
        <v>27.2</v>
      </c>
      <c r="I90" s="38" t="n">
        <v>21.6</v>
      </c>
      <c r="J90" s="13" t="n">
        <v>12268</v>
      </c>
      <c r="K90" s="13" t="n">
        <v>11785.25</v>
      </c>
      <c r="L90" s="13" t="n">
        <v>502.25</v>
      </c>
      <c r="M90" s="13" t="n">
        <v>532.25</v>
      </c>
      <c r="N90" s="13" t="n">
        <v>4437</v>
      </c>
      <c r="O90" s="38" t="n">
        <v>12</v>
      </c>
      <c r="P90" s="39" t="inlineStr">
        <is>
          <t>Calm</t>
        </is>
      </c>
      <c r="Q90" s="13" t="n">
        <v>1746</v>
      </c>
      <c r="R90" s="13" t="n">
        <v>760.4400000000001</v>
      </c>
      <c r="S90" s="13" t="n">
        <v>386.25</v>
      </c>
      <c r="T90" s="13" t="n">
        <v>9677.67</v>
      </c>
      <c r="U90" s="13" t="n">
        <v>761.39</v>
      </c>
      <c r="V90" s="13" t="n">
        <v>110.2</v>
      </c>
      <c r="W90" s="13" t="n">
        <v>-61.9</v>
      </c>
      <c r="X90" s="13" t="n">
        <v>786.5</v>
      </c>
      <c r="Y90" s="13" t="n">
        <v>223.7</v>
      </c>
      <c r="Z90" s="19" t="n"/>
      <c r="AA90" s="18" t="n"/>
      <c r="AB90" s="38" t="n">
        <v>11.91</v>
      </c>
      <c r="AC90" s="14">
        <f>IFERROR(AVERAGEIFS($E$16:$E$736,$W$16:$W$736,"&gt;="&amp;W90-$C$5,$W$16:$W$736,"&lt;="&amp;W90+$C$5,$B$16:$B$736,B90,$A$16:$A$736,"&lt;&gt;"&amp;A90),"")</f>
        <v/>
      </c>
      <c r="AD90" s="14">
        <f>IF(AND(ISNUMBER(E90),ISNUMBER(AC90)),E90-AC90,"")</f>
        <v/>
      </c>
    </row>
    <row r="91">
      <c r="A91" s="17" t="n">
        <v>46218</v>
      </c>
      <c r="B91" s="29">
        <f>MONTH(A91)</f>
        <v/>
      </c>
      <c r="C91" s="29">
        <f>IF(AND(ISNUMBER(W91),ISNUMBER($C$4),ABS(W91-$C$4)&lt;=$C$5,ABS(MOD(B91-$C$6+6,12)-6)&lt;=$C$7,OR($C$8="Any",P91=$C$8)),1,0)</f>
        <v/>
      </c>
      <c r="D91" s="29">
        <f>IF(C91=1,COUNTIF($C$16:C91,1),"")</f>
        <v/>
      </c>
      <c r="E91" s="18" t="n">
        <v>36.96</v>
      </c>
      <c r="F91" s="18" t="n">
        <v>48.49</v>
      </c>
      <c r="G91" s="18" t="n">
        <v>13.91</v>
      </c>
      <c r="H91" s="38" t="n">
        <v>25.9</v>
      </c>
      <c r="I91" s="38" t="n">
        <v>20.11</v>
      </c>
      <c r="J91" s="13" t="n">
        <v>12042</v>
      </c>
      <c r="K91" s="13" t="n">
        <v>11552.62</v>
      </c>
      <c r="L91" s="13" t="n">
        <v>765.1900000000001</v>
      </c>
      <c r="M91" s="13" t="n">
        <v>1072.71</v>
      </c>
      <c r="N91" s="13" t="n">
        <v>4437</v>
      </c>
      <c r="O91" s="38" t="n">
        <v>24.18</v>
      </c>
      <c r="P91" s="39" t="inlineStr">
        <is>
          <t>Windy</t>
        </is>
      </c>
      <c r="Q91" s="13" t="n">
        <v>1384</v>
      </c>
      <c r="R91" s="13" t="n">
        <v>723.45</v>
      </c>
      <c r="S91" s="13" t="n">
        <v>51.92</v>
      </c>
      <c r="T91" s="13" t="n">
        <v>9817.870000000001</v>
      </c>
      <c r="U91" s="13" t="n">
        <v>787.75</v>
      </c>
      <c r="V91" s="13" t="n">
        <v>228.55</v>
      </c>
      <c r="W91" s="13" t="n">
        <v>573.83</v>
      </c>
      <c r="X91" s="13" t="n">
        <v>1020.81</v>
      </c>
      <c r="Y91" s="13" t="n">
        <v>655.03</v>
      </c>
      <c r="Z91" s="19" t="n"/>
      <c r="AA91" s="18" t="n"/>
      <c r="AB91" s="38" t="n">
        <v>8.26</v>
      </c>
      <c r="AC91" s="14">
        <f>IFERROR(AVERAGEIFS($E$16:$E$736,$W$16:$W$736,"&gt;="&amp;W91-$C$5,$W$16:$W$736,"&lt;="&amp;W91+$C$5,$B$16:$B$736,B91,$A$16:$A$736,"&lt;&gt;"&amp;A91),"")</f>
        <v/>
      </c>
      <c r="AD91" s="14">
        <f>IF(AND(ISNUMBER(E91),ISNUMBER(AC91)),E91-AC91,"")</f>
        <v/>
      </c>
    </row>
    <row r="92">
      <c r="A92" s="17" t="n">
        <v>46217</v>
      </c>
      <c r="B92" s="29">
        <f>MONTH(A92)</f>
        <v/>
      </c>
      <c r="C92" s="29">
        <f>IF(AND(ISNUMBER(W92),ISNUMBER($C$4),ABS(W92-$C$4)&lt;=$C$5,ABS(MOD(B92-$C$6+6,12)-6)&lt;=$C$7,OR($C$8="Any",P92=$C$8)),1,0)</f>
        <v/>
      </c>
      <c r="D92" s="29">
        <f>IF(C92=1,COUNTIF($C$16:C92,1),"")</f>
        <v/>
      </c>
      <c r="E92" s="18" t="n">
        <v>38.93</v>
      </c>
      <c r="F92" s="18" t="n">
        <v>49.39</v>
      </c>
      <c r="G92" s="18" t="n">
        <v>18.01</v>
      </c>
      <c r="H92" s="38" t="n">
        <v>24.17</v>
      </c>
      <c r="I92" s="38" t="n">
        <v>19.12</v>
      </c>
      <c r="J92" s="13" t="n">
        <v>11746</v>
      </c>
      <c r="K92" s="13" t="n">
        <v>11362.25</v>
      </c>
      <c r="L92" s="13" t="n">
        <v>947.0599999999999</v>
      </c>
      <c r="M92" s="13" t="n">
        <v>1066.42</v>
      </c>
      <c r="N92" s="13" t="n">
        <v>4437</v>
      </c>
      <c r="O92" s="38" t="n">
        <v>24.03</v>
      </c>
      <c r="P92" s="39" t="inlineStr">
        <is>
          <t>Windy</t>
        </is>
      </c>
      <c r="Q92" s="13" t="n">
        <v>1194</v>
      </c>
      <c r="R92" s="13" t="n">
        <v>744.76</v>
      </c>
      <c r="S92" s="13" t="n">
        <v>82.5</v>
      </c>
      <c r="T92" s="13" t="n">
        <v>9744.24</v>
      </c>
      <c r="U92" s="13" t="n">
        <v>760.25</v>
      </c>
      <c r="V92" s="13" t="n">
        <v>468.68</v>
      </c>
      <c r="W92" s="13" t="n">
        <v>-85.65000000000001</v>
      </c>
      <c r="X92" s="13" t="n">
        <v>1079.75</v>
      </c>
      <c r="Y92" s="13" t="n">
        <v>244.55</v>
      </c>
      <c r="Z92" s="19" t="n"/>
      <c r="AA92" s="18" t="n"/>
      <c r="AB92" s="38" t="n">
        <v>14.37</v>
      </c>
      <c r="AC92" s="14">
        <f>IFERROR(AVERAGEIFS($E$16:$E$736,$W$16:$W$736,"&gt;="&amp;W92-$C$5,$W$16:$W$736,"&lt;="&amp;W92+$C$5,$B$16:$B$736,B92,$A$16:$A$736,"&lt;&gt;"&amp;A92),"")</f>
        <v/>
      </c>
      <c r="AD92" s="14">
        <f>IF(AND(ISNUMBER(E92),ISNUMBER(AC92)),E92-AC92,"")</f>
        <v/>
      </c>
    </row>
    <row r="93">
      <c r="A93" s="17" t="n">
        <v>46216</v>
      </c>
      <c r="B93" s="29">
        <f>MONTH(A93)</f>
        <v/>
      </c>
      <c r="C93" s="29">
        <f>IF(AND(ISNUMBER(W93),ISNUMBER($C$4),ABS(W93-$C$4)&lt;=$C$5,ABS(MOD(B93-$C$6+6,12)-6)&lt;=$C$7,OR($C$8="Any",P93=$C$8)),1,0)</f>
        <v/>
      </c>
      <c r="D93" s="29">
        <f>IF(C93=1,COUNTIF($C$16:C93,1),"")</f>
        <v/>
      </c>
      <c r="E93" s="18" t="n">
        <v>28.61</v>
      </c>
      <c r="F93" s="18" t="n">
        <v>38</v>
      </c>
      <c r="G93" s="18" t="n">
        <v>9.83</v>
      </c>
      <c r="H93" s="38" t="n">
        <v>25.67</v>
      </c>
      <c r="I93" s="38" t="n">
        <v>18.85</v>
      </c>
      <c r="J93" s="13" t="n">
        <v>11821</v>
      </c>
      <c r="K93" s="13" t="n">
        <v>11220.38</v>
      </c>
      <c r="L93" s="13" t="n">
        <v>510</v>
      </c>
      <c r="M93" s="13" t="n">
        <v>955.88</v>
      </c>
      <c r="N93" s="13" t="n">
        <v>4437</v>
      </c>
      <c r="O93" s="38" t="n">
        <v>21.54</v>
      </c>
      <c r="P93" s="39" t="inlineStr">
        <is>
          <t>Windy</t>
        </is>
      </c>
      <c r="Q93" s="13" t="n">
        <v>1780</v>
      </c>
      <c r="R93" s="13" t="n">
        <v>689.92</v>
      </c>
      <c r="S93" s="13" t="n">
        <v>140.42</v>
      </c>
      <c r="T93" s="13" t="n">
        <v>10126.04</v>
      </c>
      <c r="U93" s="13" t="n">
        <v>795.23</v>
      </c>
      <c r="V93" s="13" t="n">
        <v>105.58</v>
      </c>
      <c r="W93" s="13" t="n">
        <v>827.61</v>
      </c>
      <c r="X93" s="13" t="n">
        <v>1978.05</v>
      </c>
      <c r="Y93" s="13" t="n">
        <v>916.27</v>
      </c>
      <c r="Z93" s="19" t="n"/>
      <c r="AA93" s="18" t="n"/>
      <c r="AB93" s="38" t="n">
        <v>12.85</v>
      </c>
      <c r="AC93" s="14">
        <f>IFERROR(AVERAGEIFS($E$16:$E$736,$W$16:$W$736,"&gt;="&amp;W93-$C$5,$W$16:$W$736,"&lt;="&amp;W93+$C$5,$B$16:$B$736,B93,$A$16:$A$736,"&lt;&gt;"&amp;A93),"")</f>
        <v/>
      </c>
      <c r="AD93" s="14">
        <f>IF(AND(ISNUMBER(E93),ISNUMBER(AC93)),E93-AC93,"")</f>
        <v/>
      </c>
    </row>
    <row r="94">
      <c r="A94" s="17" t="n">
        <v>46215</v>
      </c>
      <c r="B94" s="29">
        <f>MONTH(A94)</f>
        <v/>
      </c>
      <c r="C94" s="29">
        <f>IF(AND(ISNUMBER(W94),ISNUMBER($C$4),ABS(W94-$C$4)&lt;=$C$5,ABS(MOD(B94-$C$6+6,12)-6)&lt;=$C$7,OR($C$8="Any",P94=$C$8)),1,0)</f>
        <v/>
      </c>
      <c r="D94" s="29">
        <f>IF(C94=1,COUNTIF($C$16:C94,1),"")</f>
        <v/>
      </c>
      <c r="E94" s="18" t="n">
        <v>9.98</v>
      </c>
      <c r="F94" s="18" t="n">
        <v>6.52</v>
      </c>
      <c r="G94" s="18" t="n">
        <v>16.9</v>
      </c>
      <c r="H94" s="38" t="n">
        <v>25.43</v>
      </c>
      <c r="I94" s="38" t="n">
        <v>19.93</v>
      </c>
      <c r="J94" s="13" t="n">
        <v>11293</v>
      </c>
      <c r="K94" s="13" t="n">
        <v>10711.25</v>
      </c>
      <c r="L94" s="13" t="n">
        <v>2353.38</v>
      </c>
      <c r="M94" s="13" t="n">
        <v>1958.92</v>
      </c>
      <c r="N94" s="13" t="n">
        <v>4437</v>
      </c>
      <c r="O94" s="38" t="n">
        <v>44.15</v>
      </c>
      <c r="P94" s="39" t="inlineStr">
        <is>
          <t>Windy</t>
        </is>
      </c>
      <c r="Q94" s="13" t="n">
        <v>1678</v>
      </c>
      <c r="R94" s="13" t="n">
        <v>685.89</v>
      </c>
      <c r="S94" s="13" t="n">
        <v>-108.12</v>
      </c>
      <c r="T94" s="13" t="n">
        <v>10097.06</v>
      </c>
      <c r="U94" s="13" t="n">
        <v>786.55</v>
      </c>
      <c r="V94" s="13" t="n">
        <v>36.41</v>
      </c>
      <c r="W94" s="13" t="n">
        <v>2513.48</v>
      </c>
      <c r="X94" s="13" t="n">
        <v>3520.75</v>
      </c>
      <c r="Y94" s="13" t="n">
        <v>2567.88</v>
      </c>
      <c r="Z94" s="19" t="n"/>
      <c r="AA94" s="18" t="n"/>
      <c r="AB94" s="38" t="n">
        <v>22.29</v>
      </c>
      <c r="AC94" s="14">
        <f>IFERROR(AVERAGEIFS($E$16:$E$736,$W$16:$W$736,"&gt;="&amp;W94-$C$5,$W$16:$W$736,"&lt;="&amp;W94+$C$5,$B$16:$B$736,B94,$A$16:$A$736,"&lt;&gt;"&amp;A94),"")</f>
        <v/>
      </c>
      <c r="AD94" s="14">
        <f>IF(AND(ISNUMBER(E94),ISNUMBER(AC94)),E94-AC94,"")</f>
        <v/>
      </c>
    </row>
    <row r="95">
      <c r="A95" s="17" t="n">
        <v>46214</v>
      </c>
      <c r="B95" s="29">
        <f>MONTH(A95)</f>
        <v/>
      </c>
      <c r="C95" s="29">
        <f>IF(AND(ISNUMBER(W95),ISNUMBER($C$4),ABS(W95-$C$4)&lt;=$C$5,ABS(MOD(B95-$C$6+6,12)-6)&lt;=$C$7,OR($C$8="Any",P95=$C$8)),1,0)</f>
        <v/>
      </c>
      <c r="D95" s="29">
        <f>IF(C95=1,COUNTIF($C$16:C95,1),"")</f>
        <v/>
      </c>
      <c r="E95" s="18" t="n">
        <v>9.18</v>
      </c>
      <c r="F95" s="18" t="n">
        <v>10.87</v>
      </c>
      <c r="G95" s="18" t="n">
        <v>5.78</v>
      </c>
      <c r="H95" s="38" t="n">
        <v>26.5</v>
      </c>
      <c r="I95" s="38" t="n">
        <v>20.23</v>
      </c>
      <c r="J95" s="13" t="n">
        <v>11155</v>
      </c>
      <c r="K95" s="13" t="n">
        <v>10705.81</v>
      </c>
      <c r="L95" s="13" t="n">
        <v>2013.38</v>
      </c>
      <c r="M95" s="13" t="n">
        <v>1990.25</v>
      </c>
      <c r="N95" s="13" t="n">
        <v>4437</v>
      </c>
      <c r="O95" s="38" t="n">
        <v>44.86</v>
      </c>
      <c r="P95" s="39" t="inlineStr">
        <is>
          <t>Windy</t>
        </is>
      </c>
      <c r="Q95" s="13" t="n">
        <v>1777</v>
      </c>
      <c r="R95" s="13" t="n">
        <v>687.61</v>
      </c>
      <c r="S95" s="13" t="n">
        <v>-121.75</v>
      </c>
      <c r="T95" s="13" t="n">
        <v>9975.040000000001</v>
      </c>
      <c r="U95" s="13" t="n">
        <v>804.23</v>
      </c>
      <c r="V95" s="13" t="n">
        <v>138.66</v>
      </c>
      <c r="W95" s="13" t="n">
        <v>2535.88</v>
      </c>
      <c r="X95" s="13" t="n">
        <v>3367.36</v>
      </c>
      <c r="Y95" s="13" t="n">
        <v>2625.42</v>
      </c>
      <c r="Z95" s="19" t="n"/>
      <c r="AA95" s="18" t="n"/>
      <c r="AB95" s="38" t="n">
        <v>22.29</v>
      </c>
      <c r="AC95" s="14">
        <f>IFERROR(AVERAGEIFS($E$16:$E$736,$W$16:$W$736,"&gt;="&amp;W95-$C$5,$W$16:$W$736,"&lt;="&amp;W95+$C$5,$B$16:$B$736,B95,$A$16:$A$736,"&lt;&gt;"&amp;A95),"")</f>
        <v/>
      </c>
      <c r="AD95" s="14">
        <f>IF(AND(ISNUMBER(E95),ISNUMBER(AC95)),E95-AC95,"")</f>
        <v/>
      </c>
    </row>
    <row r="96">
      <c r="A96" s="17" t="n">
        <v>46213</v>
      </c>
      <c r="B96" s="29">
        <f>MONTH(A96)</f>
        <v/>
      </c>
      <c r="C96" s="29">
        <f>IF(AND(ISNUMBER(W96),ISNUMBER($C$4),ABS(W96-$C$4)&lt;=$C$5,ABS(MOD(B96-$C$6+6,12)-6)&lt;=$C$7,OR($C$8="Any",P96=$C$8)),1,0)</f>
        <v/>
      </c>
      <c r="D96" s="29">
        <f>IF(C96=1,COUNTIF($C$16:C96,1),"")</f>
        <v/>
      </c>
      <c r="E96" s="18" t="n">
        <v>29.49</v>
      </c>
      <c r="F96" s="18" t="n">
        <v>41.42</v>
      </c>
      <c r="G96" s="18" t="n">
        <v>5.63</v>
      </c>
      <c r="H96" s="38" t="n">
        <v>25.9</v>
      </c>
      <c r="I96" s="38" t="n">
        <v>20.31</v>
      </c>
      <c r="J96" s="13" t="n">
        <v>11616</v>
      </c>
      <c r="K96" s="13" t="n">
        <v>11167.75</v>
      </c>
      <c r="L96" s="13" t="n">
        <v>1349.81</v>
      </c>
      <c r="M96" s="13" t="n">
        <v>1685.12</v>
      </c>
      <c r="N96" s="13" t="n">
        <v>4437</v>
      </c>
      <c r="O96" s="38" t="n">
        <v>37.98</v>
      </c>
      <c r="P96" s="39" t="inlineStr">
        <is>
          <t>Windy</t>
        </is>
      </c>
      <c r="Q96" s="13" t="n">
        <v>1783</v>
      </c>
      <c r="R96" s="13" t="n">
        <v>686.49</v>
      </c>
      <c r="S96" s="13" t="n">
        <v>-130.88</v>
      </c>
      <c r="T96" s="13" t="n">
        <v>10110.69</v>
      </c>
      <c r="U96" s="13" t="n">
        <v>771.08</v>
      </c>
      <c r="V96" s="13" t="n">
        <v>45</v>
      </c>
      <c r="W96" s="13" t="n">
        <v>1192.06</v>
      </c>
      <c r="X96" s="13" t="n">
        <v>2504.09</v>
      </c>
      <c r="Y96" s="13" t="n">
        <v>1269.42</v>
      </c>
      <c r="Z96" s="19" t="n"/>
      <c r="AA96" s="18" t="n"/>
      <c r="AB96" s="38" t="n">
        <v>14.23</v>
      </c>
      <c r="AC96" s="14">
        <f>IFERROR(AVERAGEIFS($E$16:$E$736,$W$16:$W$736,"&gt;="&amp;W96-$C$5,$W$16:$W$736,"&lt;="&amp;W96+$C$5,$B$16:$B$736,B96,$A$16:$A$736,"&lt;&gt;"&amp;A96),"")</f>
        <v/>
      </c>
      <c r="AD96" s="14">
        <f>IF(AND(ISNUMBER(E96),ISNUMBER(AC96)),E96-AC96,"")</f>
        <v/>
      </c>
    </row>
    <row r="97">
      <c r="A97" s="17" t="n">
        <v>46212</v>
      </c>
      <c r="B97" s="29">
        <f>MONTH(A97)</f>
        <v/>
      </c>
      <c r="C97" s="29">
        <f>IF(AND(ISNUMBER(W97),ISNUMBER($C$4),ABS(W97-$C$4)&lt;=$C$5,ABS(MOD(B97-$C$6+6,12)-6)&lt;=$C$7,OR($C$8="Any",P97=$C$8)),1,0)</f>
        <v/>
      </c>
      <c r="D97" s="29">
        <f>IF(C97=1,COUNTIF($C$16:C97,1),"")</f>
        <v/>
      </c>
      <c r="E97" s="18" t="n">
        <v>18.74</v>
      </c>
      <c r="F97" s="18" t="n">
        <v>20.87</v>
      </c>
      <c r="G97" s="18" t="n">
        <v>14.47</v>
      </c>
      <c r="H97" s="38" t="n">
        <v>24</v>
      </c>
      <c r="I97" s="38" t="n">
        <v>18.45</v>
      </c>
      <c r="J97" s="13" t="n">
        <v>11531</v>
      </c>
      <c r="K97" s="13" t="n">
        <v>10961.38</v>
      </c>
      <c r="L97" s="13" t="n">
        <v>854.12</v>
      </c>
      <c r="M97" s="13" t="n">
        <v>972.83</v>
      </c>
      <c r="N97" s="13" t="n">
        <v>4437</v>
      </c>
      <c r="O97" s="38" t="n">
        <v>21.93</v>
      </c>
      <c r="P97" s="39" t="inlineStr">
        <is>
          <t>Windy</t>
        </is>
      </c>
      <c r="Q97" s="13" t="n">
        <v>1720</v>
      </c>
      <c r="R97" s="13" t="n">
        <v>685.0700000000001</v>
      </c>
      <c r="S97" s="13" t="n">
        <v>157.12</v>
      </c>
      <c r="T97" s="13" t="n">
        <v>10239.78</v>
      </c>
      <c r="U97" s="13" t="n">
        <v>806.83</v>
      </c>
      <c r="V97" s="13" t="n">
        <v>50.8</v>
      </c>
      <c r="W97" s="13" t="n">
        <v>1379.44</v>
      </c>
      <c r="X97" s="13" t="n">
        <v>2439.94</v>
      </c>
      <c r="Y97" s="13" t="n">
        <v>1444.45</v>
      </c>
      <c r="Z97" s="19" t="n"/>
      <c r="AA97" s="18" t="n"/>
      <c r="AB97" s="38" t="n">
        <v>16.59</v>
      </c>
      <c r="AC97" s="14">
        <f>IFERROR(AVERAGEIFS($E$16:$E$736,$W$16:$W$736,"&gt;="&amp;W97-$C$5,$W$16:$W$736,"&lt;="&amp;W97+$C$5,$B$16:$B$736,B97,$A$16:$A$736,"&lt;&gt;"&amp;A97),"")</f>
        <v/>
      </c>
      <c r="AD97" s="14">
        <f>IF(AND(ISNUMBER(E97),ISNUMBER(AC97)),E97-AC97,"")</f>
        <v/>
      </c>
    </row>
    <row r="98">
      <c r="A98" s="17" t="n">
        <v>46211</v>
      </c>
      <c r="B98" s="29">
        <f>MONTH(A98)</f>
        <v/>
      </c>
      <c r="C98" s="29">
        <f>IF(AND(ISNUMBER(W98),ISNUMBER($C$4),ABS(W98-$C$4)&lt;=$C$5,ABS(MOD(B98-$C$6+6,12)-6)&lt;=$C$7,OR($C$8="Any",P98=$C$8)),1,0)</f>
        <v/>
      </c>
      <c r="D98" s="29">
        <f>IF(C98=1,COUNTIF($C$16:C98,1),"")</f>
        <v/>
      </c>
      <c r="E98" s="18" t="n">
        <v>9.199999999999999</v>
      </c>
      <c r="F98" s="18" t="n">
        <v>13.5</v>
      </c>
      <c r="G98" s="18" t="n">
        <v>0.58</v>
      </c>
      <c r="H98" s="38" t="n">
        <v>24.53</v>
      </c>
      <c r="I98" s="38" t="n">
        <v>19.62</v>
      </c>
      <c r="J98" s="13" t="n">
        <v>11531</v>
      </c>
      <c r="K98" s="13" t="n">
        <v>11088.5</v>
      </c>
      <c r="L98" s="13" t="n">
        <v>2244.5</v>
      </c>
      <c r="M98" s="13" t="n">
        <v>2351.75</v>
      </c>
      <c r="N98" s="13" t="n">
        <v>4437</v>
      </c>
      <c r="O98" s="38" t="n">
        <v>53</v>
      </c>
      <c r="P98" s="39" t="inlineStr">
        <is>
          <t>Windy</t>
        </is>
      </c>
      <c r="Q98" s="13" t="n">
        <v>1676</v>
      </c>
      <c r="R98" s="13" t="n">
        <v>672.15</v>
      </c>
      <c r="S98" s="13" t="n">
        <v>-150.42</v>
      </c>
      <c r="T98" s="13" t="n">
        <v>9670.299999999999</v>
      </c>
      <c r="U98" s="13" t="n">
        <v>790.73</v>
      </c>
      <c r="V98" s="13" t="n">
        <v>215.78</v>
      </c>
      <c r="W98" s="13" t="n">
        <v>2147.53</v>
      </c>
      <c r="X98" s="13" t="n">
        <v>2833.23</v>
      </c>
      <c r="Y98" s="13" t="n">
        <v>2177.8</v>
      </c>
      <c r="Z98" s="19" t="n"/>
      <c r="AA98" s="18" t="n"/>
      <c r="AB98" s="38" t="n">
        <v>20.29</v>
      </c>
      <c r="AC98" s="14">
        <f>IFERROR(AVERAGEIFS($E$16:$E$736,$W$16:$W$736,"&gt;="&amp;W98-$C$5,$W$16:$W$736,"&lt;="&amp;W98+$C$5,$B$16:$B$736,B98,$A$16:$A$736,"&lt;&gt;"&amp;A98),"")</f>
        <v/>
      </c>
      <c r="AD98" s="14">
        <f>IF(AND(ISNUMBER(E98),ISNUMBER(AC98)),E98-AC98,"")</f>
        <v/>
      </c>
    </row>
    <row r="99">
      <c r="A99" s="17" t="n">
        <v>46210</v>
      </c>
      <c r="B99" s="29">
        <f>MONTH(A99)</f>
        <v/>
      </c>
      <c r="C99" s="29">
        <f>IF(AND(ISNUMBER(W99),ISNUMBER($C$4),ABS(W99-$C$4)&lt;=$C$5,ABS(MOD(B99-$C$6+6,12)-6)&lt;=$C$7,OR($C$8="Any",P99=$C$8)),1,0)</f>
        <v/>
      </c>
      <c r="D99" s="29">
        <f>IF(C99=1,COUNTIF($C$16:C99,1),"")</f>
        <v/>
      </c>
      <c r="E99" s="18" t="n">
        <v>14.79</v>
      </c>
      <c r="F99" s="18" t="n">
        <v>19.96</v>
      </c>
      <c r="G99" s="18" t="n">
        <v>4.44</v>
      </c>
      <c r="H99" s="38" t="n">
        <v>25.27</v>
      </c>
      <c r="I99" s="38" t="n">
        <v>18.9</v>
      </c>
      <c r="J99" s="13" t="n">
        <v>11585</v>
      </c>
      <c r="K99" s="13" t="n">
        <v>11080</v>
      </c>
      <c r="L99" s="13" t="n">
        <v>1312.88</v>
      </c>
      <c r="M99" s="13" t="n">
        <v>1611.83</v>
      </c>
      <c r="N99" s="13" t="n">
        <v>4437</v>
      </c>
      <c r="O99" s="38" t="n">
        <v>36.33</v>
      </c>
      <c r="P99" s="39" t="inlineStr">
        <is>
          <t>Windy</t>
        </is>
      </c>
      <c r="Q99" s="13" t="n">
        <v>1745</v>
      </c>
      <c r="R99" s="13" t="n">
        <v>673.05</v>
      </c>
      <c r="S99" s="13" t="n">
        <v>-59.46</v>
      </c>
      <c r="T99" s="13" t="n">
        <v>9468.02</v>
      </c>
      <c r="U99" s="13" t="n">
        <v>760.9400000000001</v>
      </c>
      <c r="V99" s="13" t="n">
        <v>89.68000000000001</v>
      </c>
      <c r="W99" s="13" t="n">
        <v>1305.67</v>
      </c>
      <c r="X99" s="13" t="n">
        <v>1898.28</v>
      </c>
      <c r="Y99" s="13" t="n">
        <v>1392.56</v>
      </c>
      <c r="Z99" s="19" t="n"/>
      <c r="AA99" s="18" t="n"/>
      <c r="AB99" s="38" t="n">
        <v>15.78</v>
      </c>
      <c r="AC99" s="14">
        <f>IFERROR(AVERAGEIFS($E$16:$E$736,$W$16:$W$736,"&gt;="&amp;W99-$C$5,$W$16:$W$736,"&lt;="&amp;W99+$C$5,$B$16:$B$736,B99,$A$16:$A$736,"&lt;&gt;"&amp;A99),"")</f>
        <v/>
      </c>
      <c r="AD99" s="14">
        <f>IF(AND(ISNUMBER(E99),ISNUMBER(AC99)),E99-AC99,"")</f>
        <v/>
      </c>
    </row>
    <row r="100">
      <c r="A100" s="17" t="n">
        <v>46209</v>
      </c>
      <c r="B100" s="29">
        <f>MONTH(A100)</f>
        <v/>
      </c>
      <c r="C100" s="29">
        <f>IF(AND(ISNUMBER(W100),ISNUMBER($C$4),ABS(W100-$C$4)&lt;=$C$5,ABS(MOD(B100-$C$6+6,12)-6)&lt;=$C$7,OR($C$8="Any",P100=$C$8)),1,0)</f>
        <v/>
      </c>
      <c r="D100" s="29">
        <f>IF(C100=1,COUNTIF($C$16:C100,1),"")</f>
        <v/>
      </c>
      <c r="E100" s="18" t="n">
        <v>23.36</v>
      </c>
      <c r="F100" s="18" t="n">
        <v>26.58</v>
      </c>
      <c r="G100" s="18" t="n">
        <v>16.93</v>
      </c>
      <c r="H100" s="38" t="n">
        <v>20.97</v>
      </c>
      <c r="I100" s="38" t="n">
        <v>15.18</v>
      </c>
      <c r="J100" s="13" t="n">
        <v>11080</v>
      </c>
      <c r="K100" s="13" t="n">
        <v>10684.62</v>
      </c>
      <c r="L100" s="13" t="n">
        <v>443.44</v>
      </c>
      <c r="M100" s="13" t="n">
        <v>573.62</v>
      </c>
      <c r="N100" s="13" t="n">
        <v>4437</v>
      </c>
      <c r="O100" s="38" t="n">
        <v>12.93</v>
      </c>
      <c r="P100" s="39" t="inlineStr">
        <is>
          <t>Calm</t>
        </is>
      </c>
      <c r="Q100" s="13" t="n">
        <v>1797</v>
      </c>
      <c r="R100" s="13" t="n">
        <v>665.73</v>
      </c>
      <c r="S100" s="13" t="n">
        <v>160.29</v>
      </c>
      <c r="T100" s="13" t="n">
        <v>9329.450000000001</v>
      </c>
      <c r="U100" s="13" t="n">
        <v>755.87</v>
      </c>
      <c r="V100" s="13" t="n">
        <v>356.03</v>
      </c>
      <c r="W100" s="13" t="n">
        <v>1019.26</v>
      </c>
      <c r="X100" s="13" t="n">
        <v>1508.5</v>
      </c>
      <c r="Y100" s="13" t="n">
        <v>1068.26</v>
      </c>
      <c r="Z100" s="19" t="n"/>
      <c r="AA100" s="18" t="n"/>
      <c r="AB100" s="38" t="n">
        <v>15.36</v>
      </c>
      <c r="AC100" s="14">
        <f>IFERROR(AVERAGEIFS($E$16:$E$736,$W$16:$W$736,"&gt;="&amp;W100-$C$5,$W$16:$W$736,"&lt;="&amp;W100+$C$5,$B$16:$B$736,B100,$A$16:$A$736,"&lt;&gt;"&amp;A100),"")</f>
        <v/>
      </c>
      <c r="AD100" s="14">
        <f>IF(AND(ISNUMBER(E100),ISNUMBER(AC100)),E100-AC100,"")</f>
        <v/>
      </c>
    </row>
    <row r="101">
      <c r="A101" s="17" t="n">
        <v>46208</v>
      </c>
      <c r="B101" s="29">
        <f>MONTH(A101)</f>
        <v/>
      </c>
      <c r="C101" s="29">
        <f>IF(AND(ISNUMBER(W101),ISNUMBER($C$4),ABS(W101-$C$4)&lt;=$C$5,ABS(MOD(B101-$C$6+6,12)-6)&lt;=$C$7,OR($C$8="Any",P101=$C$8)),1,0)</f>
        <v/>
      </c>
      <c r="D101" s="29">
        <f>IF(C101=1,COUNTIF($C$16:C101,1),"")</f>
        <v/>
      </c>
      <c r="E101" s="18" t="n">
        <v>12.89</v>
      </c>
      <c r="F101" s="18" t="n">
        <v>12.59</v>
      </c>
      <c r="G101" s="18" t="n">
        <v>13.49</v>
      </c>
      <c r="H101" s="38" t="n">
        <v>19.83</v>
      </c>
      <c r="I101" s="38" t="n">
        <v>14.5</v>
      </c>
      <c r="J101" s="13" t="n">
        <v>10407</v>
      </c>
      <c r="K101" s="13" t="n">
        <v>9999.940000000001</v>
      </c>
      <c r="L101" s="13" t="n">
        <v>946.9400000000001</v>
      </c>
      <c r="M101" s="13" t="n">
        <v>1034.79</v>
      </c>
      <c r="N101" s="13" t="n">
        <v>4437</v>
      </c>
      <c r="O101" s="38" t="n">
        <v>23.32</v>
      </c>
      <c r="P101" s="39" t="inlineStr">
        <is>
          <t>Windy</t>
        </is>
      </c>
      <c r="Q101" s="13" t="n">
        <v>1699</v>
      </c>
      <c r="R101" s="13" t="n">
        <v>664.16</v>
      </c>
      <c r="S101" s="13" t="n">
        <v>98.5</v>
      </c>
      <c r="T101" s="13" t="n">
        <v>9615.219999999999</v>
      </c>
      <c r="U101" s="13" t="n">
        <v>709.36</v>
      </c>
      <c r="V101" s="13" t="n">
        <v>232.64</v>
      </c>
      <c r="W101" s="13" t="n">
        <v>1683.61</v>
      </c>
      <c r="X101" s="13" t="n">
        <v>2587.99</v>
      </c>
      <c r="Y101" s="13" t="n">
        <v>1830.69</v>
      </c>
      <c r="Z101" s="19" t="n"/>
      <c r="AA101" s="18" t="n"/>
      <c r="AB101" s="38" t="n">
        <v>15.1</v>
      </c>
      <c r="AC101" s="14">
        <f>IFERROR(AVERAGEIFS($E$16:$E$736,$W$16:$W$736,"&gt;="&amp;W101-$C$5,$W$16:$W$736,"&lt;="&amp;W101+$C$5,$B$16:$B$736,B101,$A$16:$A$736,"&lt;&gt;"&amp;A101),"")</f>
        <v/>
      </c>
      <c r="AD101" s="14">
        <f>IF(AND(ISNUMBER(E101),ISNUMBER(AC101)),E101-AC101,"")</f>
        <v/>
      </c>
    </row>
    <row r="102">
      <c r="A102" s="17" t="n">
        <v>46207</v>
      </c>
      <c r="B102" s="29">
        <f>MONTH(A102)</f>
        <v/>
      </c>
      <c r="C102" s="29">
        <f>IF(AND(ISNUMBER(W102),ISNUMBER($C$4),ABS(W102-$C$4)&lt;=$C$5,ABS(MOD(B102-$C$6+6,12)-6)&lt;=$C$7,OR($C$8="Any",P102=$C$8)),1,0)</f>
        <v/>
      </c>
      <c r="D102" s="29">
        <f>IF(C102=1,COUNTIF($C$16:C102,1),"")</f>
        <v/>
      </c>
      <c r="E102" s="18" t="n">
        <v>7.48</v>
      </c>
      <c r="F102" s="18" t="n">
        <v>3.47</v>
      </c>
      <c r="G102" s="18" t="n">
        <v>15.48</v>
      </c>
      <c r="H102" s="38" t="n">
        <v>22.77</v>
      </c>
      <c r="I102" s="38" t="n">
        <v>17.82</v>
      </c>
      <c r="J102" s="13" t="n">
        <v>10629</v>
      </c>
      <c r="K102" s="13" t="n">
        <v>10271.44</v>
      </c>
      <c r="L102" s="13" t="n">
        <v>2166.5</v>
      </c>
      <c r="M102" s="13" t="n">
        <v>1823.5</v>
      </c>
      <c r="N102" s="13" t="n">
        <v>4437</v>
      </c>
      <c r="O102" s="38" t="n">
        <v>41.1</v>
      </c>
      <c r="P102" s="39" t="inlineStr">
        <is>
          <t>Windy</t>
        </is>
      </c>
      <c r="Q102" s="13" t="n">
        <v>1714</v>
      </c>
      <c r="R102" s="13" t="n">
        <v>662.48</v>
      </c>
      <c r="S102" s="13" t="n">
        <v>-98.12</v>
      </c>
      <c r="T102" s="13" t="n">
        <v>9662.73</v>
      </c>
      <c r="U102" s="13" t="n">
        <v>711.13</v>
      </c>
      <c r="V102" s="13" t="n">
        <v>462.81</v>
      </c>
      <c r="W102" s="13" t="n">
        <v>3167.18</v>
      </c>
      <c r="X102" s="13" t="n">
        <v>3550.35</v>
      </c>
      <c r="Y102" s="13" t="n">
        <v>3310.54</v>
      </c>
      <c r="Z102" s="19" t="n"/>
      <c r="AA102" s="18" t="n"/>
      <c r="AB102" s="38" t="n">
        <v>18</v>
      </c>
      <c r="AC102" s="14">
        <f>IFERROR(AVERAGEIFS($E$16:$E$736,$W$16:$W$736,"&gt;="&amp;W102-$C$5,$W$16:$W$736,"&lt;="&amp;W102+$C$5,$B$16:$B$736,B102,$A$16:$A$736,"&lt;&gt;"&amp;A102),"")</f>
        <v/>
      </c>
      <c r="AD102" s="14">
        <f>IF(AND(ISNUMBER(E102),ISNUMBER(AC102)),E102-AC102,"")</f>
        <v/>
      </c>
    </row>
    <row r="103">
      <c r="A103" s="17" t="n">
        <v>46206</v>
      </c>
      <c r="B103" s="29">
        <f>MONTH(A103)</f>
        <v/>
      </c>
      <c r="C103" s="29">
        <f>IF(AND(ISNUMBER(W103),ISNUMBER($C$4),ABS(W103-$C$4)&lt;=$C$5,ABS(MOD(B103-$C$6+6,12)-6)&lt;=$C$7,OR($C$8="Any",P103=$C$8)),1,0)</f>
        <v/>
      </c>
      <c r="D103" s="29">
        <f>IF(C103=1,COUNTIF($C$16:C103,1),"")</f>
        <v/>
      </c>
      <c r="E103" s="18" t="n">
        <v>6.07</v>
      </c>
      <c r="F103" s="18" t="n">
        <v>5.84</v>
      </c>
      <c r="G103" s="18" t="n">
        <v>6.53</v>
      </c>
      <c r="H103" s="38" t="n">
        <v>21.4</v>
      </c>
      <c r="I103" s="38" t="n">
        <v>17.3</v>
      </c>
      <c r="J103" s="13" t="n">
        <v>10701</v>
      </c>
      <c r="K103" s="13" t="n">
        <v>10484.56</v>
      </c>
      <c r="L103" s="13" t="n">
        <v>1780.75</v>
      </c>
      <c r="M103" s="13" t="n">
        <v>1824.54</v>
      </c>
      <c r="N103" s="13" t="n">
        <v>4437</v>
      </c>
      <c r="O103" s="38" t="n">
        <v>41.12</v>
      </c>
      <c r="P103" s="39" t="inlineStr">
        <is>
          <t>Windy</t>
        </is>
      </c>
      <c r="Q103" s="13" t="n">
        <v>1609</v>
      </c>
      <c r="R103" s="13" t="n">
        <v>655.13</v>
      </c>
      <c r="S103" s="13" t="n">
        <v>-42.42</v>
      </c>
      <c r="T103" s="13" t="n">
        <v>10143.34</v>
      </c>
      <c r="U103" s="13" t="n">
        <v>709.99</v>
      </c>
      <c r="V103" s="13" t="n">
        <v>26.31</v>
      </c>
      <c r="W103" s="13" t="n">
        <v>1912.7</v>
      </c>
      <c r="X103" s="13" t="n">
        <v>3481.23</v>
      </c>
      <c r="Y103" s="13" t="n">
        <v>2058.67</v>
      </c>
      <c r="Z103" s="19" t="n"/>
      <c r="AA103" s="18" t="n"/>
      <c r="AB103" s="38" t="n">
        <v>18.85</v>
      </c>
      <c r="AC103" s="14">
        <f>IFERROR(AVERAGEIFS($E$16:$E$736,$W$16:$W$736,"&gt;="&amp;W103-$C$5,$W$16:$W$736,"&lt;="&amp;W103+$C$5,$B$16:$B$736,B103,$A$16:$A$736,"&lt;&gt;"&amp;A103),"")</f>
        <v/>
      </c>
      <c r="AD103" s="14">
        <f>IF(AND(ISNUMBER(E103),ISNUMBER(AC103)),E103-AC103,"")</f>
        <v/>
      </c>
    </row>
    <row r="104">
      <c r="A104" s="17" t="n">
        <v>46205</v>
      </c>
      <c r="B104" s="29">
        <f>MONTH(A104)</f>
        <v/>
      </c>
      <c r="C104" s="29">
        <f>IF(AND(ISNUMBER(W104),ISNUMBER($C$4),ABS(W104-$C$4)&lt;=$C$5,ABS(MOD(B104-$C$6+6,12)-6)&lt;=$C$7,OR($C$8="Any",P104=$C$8)),1,0)</f>
        <v/>
      </c>
      <c r="D104" s="29">
        <f>IF(C104=1,COUNTIF($C$16:C104,1),"")</f>
        <v/>
      </c>
      <c r="E104" s="18" t="n">
        <v>18.48</v>
      </c>
      <c r="F104" s="18" t="n">
        <v>21.09</v>
      </c>
      <c r="G104" s="18" t="n">
        <v>13.25</v>
      </c>
      <c r="H104" s="38" t="n">
        <v>20.63</v>
      </c>
      <c r="I104" s="38" t="n">
        <v>16.21</v>
      </c>
      <c r="J104" s="13" t="n">
        <v>10902</v>
      </c>
      <c r="K104" s="13" t="n">
        <v>10497.94</v>
      </c>
      <c r="L104" s="13" t="n">
        <v>619.4400000000001</v>
      </c>
      <c r="M104" s="13" t="n">
        <v>836.54</v>
      </c>
      <c r="N104" s="13" t="n">
        <v>4437</v>
      </c>
      <c r="O104" s="38" t="n">
        <v>18.85</v>
      </c>
      <c r="P104" s="39" t="inlineStr">
        <is>
          <t>Windy</t>
        </is>
      </c>
      <c r="Q104" s="13" t="n">
        <v>1671</v>
      </c>
      <c r="R104" s="13" t="n">
        <v>651.3200000000001</v>
      </c>
      <c r="S104" s="13" t="n">
        <v>150.08</v>
      </c>
      <c r="T104" s="13" t="n">
        <v>9967.040000000001</v>
      </c>
      <c r="U104" s="13" t="n">
        <v>705.8099999999999</v>
      </c>
      <c r="V104" s="13" t="n">
        <v>69.70999999999999</v>
      </c>
      <c r="W104" s="13" t="n">
        <v>1294.28</v>
      </c>
      <c r="X104" s="13" t="n">
        <v>2392.25</v>
      </c>
      <c r="Y104" s="13" t="n">
        <v>1433.28</v>
      </c>
      <c r="Z104" s="19" t="n"/>
      <c r="AA104" s="18" t="n"/>
      <c r="AB104" s="38" t="n">
        <v>13.78</v>
      </c>
      <c r="AC104" s="14">
        <f>IFERROR(AVERAGEIFS($E$16:$E$736,$W$16:$W$736,"&gt;="&amp;W104-$C$5,$W$16:$W$736,"&lt;="&amp;W104+$C$5,$B$16:$B$736,B104,$A$16:$A$736,"&lt;&gt;"&amp;A104),"")</f>
        <v/>
      </c>
      <c r="AD104" s="14">
        <f>IF(AND(ISNUMBER(E104),ISNUMBER(AC104)),E104-AC104,"")</f>
        <v/>
      </c>
    </row>
    <row r="105">
      <c r="A105" s="17" t="n">
        <v>46204</v>
      </c>
      <c r="B105" s="29">
        <f>MONTH(A105)</f>
        <v/>
      </c>
      <c r="C105" s="29">
        <f>IF(AND(ISNUMBER(W105),ISNUMBER($C$4),ABS(W105-$C$4)&lt;=$C$5,ABS(MOD(B105-$C$6+6,12)-6)&lt;=$C$7,OR($C$8="Any",P105=$C$8)),1,0)</f>
        <v/>
      </c>
      <c r="D105" s="29">
        <f>IF(C105=1,COUNTIF($C$16:C105,1),"")</f>
        <v/>
      </c>
      <c r="E105" s="18" t="n">
        <v>9.94</v>
      </c>
      <c r="F105" s="18" t="n">
        <v>8.800000000000001</v>
      </c>
      <c r="G105" s="18" t="n">
        <v>12.23</v>
      </c>
      <c r="H105" s="38" t="n">
        <v>20.6</v>
      </c>
      <c r="I105" s="38" t="n">
        <v>16.23</v>
      </c>
      <c r="J105" s="13" t="n">
        <v>10655</v>
      </c>
      <c r="K105" s="13" t="n">
        <v>10235.56</v>
      </c>
      <c r="L105" s="13" t="n">
        <v>990.25</v>
      </c>
      <c r="M105" s="13" t="n">
        <v>950.79</v>
      </c>
      <c r="N105" s="13" t="n">
        <v>4437</v>
      </c>
      <c r="O105" s="38" t="n">
        <v>21.43</v>
      </c>
      <c r="P105" s="39" t="inlineStr">
        <is>
          <t>Windy</t>
        </is>
      </c>
      <c r="Q105" s="13" t="n">
        <v>1573</v>
      </c>
      <c r="R105" s="13" t="n">
        <v>647.21</v>
      </c>
      <c r="S105" s="13" t="n">
        <v>295.54</v>
      </c>
      <c r="T105" s="13" t="n">
        <v>9880.52</v>
      </c>
      <c r="U105" s="13" t="n">
        <v>710.12</v>
      </c>
      <c r="V105" s="13" t="n">
        <v>105.47</v>
      </c>
      <c r="W105" s="13" t="n">
        <v>2245.8</v>
      </c>
      <c r="X105" s="13" t="n">
        <v>2898.36</v>
      </c>
      <c r="Y105" s="13" t="n">
        <v>2377.32</v>
      </c>
      <c r="Z105" s="19" t="n"/>
      <c r="AA105" s="18" t="n"/>
      <c r="AB105" s="38" t="n">
        <v>13.39</v>
      </c>
      <c r="AC105" s="14">
        <f>IFERROR(AVERAGEIFS($E$16:$E$736,$W$16:$W$736,"&gt;="&amp;W105-$C$5,$W$16:$W$736,"&lt;="&amp;W105+$C$5,$B$16:$B$736,B105,$A$16:$A$736,"&lt;&gt;"&amp;A105),"")</f>
        <v/>
      </c>
      <c r="AD105" s="14">
        <f>IF(AND(ISNUMBER(E105),ISNUMBER(AC105)),E105-AC105,"")</f>
        <v/>
      </c>
    </row>
    <row r="106">
      <c r="A106" s="17" t="n">
        <v>46203</v>
      </c>
      <c r="B106" s="29">
        <f>MONTH(A106)</f>
        <v/>
      </c>
      <c r="C106" s="29">
        <f>IF(AND(ISNUMBER(W106),ISNUMBER($C$4),ABS(W106-$C$4)&lt;=$C$5,ABS(MOD(B106-$C$6+6,12)-6)&lt;=$C$7,OR($C$8="Any",P106=$C$8)),1,0)</f>
        <v/>
      </c>
      <c r="D106" s="29">
        <f>IF(C106=1,COUNTIF($C$16:C106,1),"")</f>
        <v/>
      </c>
      <c r="E106" s="18" t="n">
        <v>11.25</v>
      </c>
      <c r="F106" s="18" t="n">
        <v>14.87</v>
      </c>
      <c r="G106" s="18" t="n">
        <v>3.99</v>
      </c>
      <c r="H106" s="38" t="n">
        <v>20.13</v>
      </c>
      <c r="I106" s="38" t="n">
        <v>16.19</v>
      </c>
      <c r="J106" s="13" t="n">
        <v>10977</v>
      </c>
      <c r="K106" s="13" t="n">
        <v>10657.5</v>
      </c>
      <c r="L106" s="13" t="n">
        <v>1070.06</v>
      </c>
      <c r="M106" s="13" t="n">
        <v>1448.96</v>
      </c>
      <c r="N106" s="13" t="n">
        <v>4437</v>
      </c>
      <c r="O106" s="38" t="n">
        <v>32.66</v>
      </c>
      <c r="P106" s="39" t="inlineStr">
        <is>
          <t>Windy</t>
        </is>
      </c>
      <c r="Q106" s="13" t="n">
        <v>1482</v>
      </c>
      <c r="R106" s="13" t="n">
        <v>641.5</v>
      </c>
      <c r="S106" s="13" t="n">
        <v>309.5</v>
      </c>
      <c r="T106" s="13" t="n">
        <v>9861.209999999999</v>
      </c>
      <c r="U106" s="13" t="n">
        <v>724.63</v>
      </c>
      <c r="V106" s="13" t="n">
        <v>71.53</v>
      </c>
      <c r="W106" s="13" t="n">
        <v>1435.16</v>
      </c>
      <c r="X106" s="13" t="n">
        <v>2564.57</v>
      </c>
      <c r="Y106" s="13" t="n">
        <v>1568.24</v>
      </c>
      <c r="Z106" s="19" t="n"/>
      <c r="AA106" s="18" t="n"/>
      <c r="AB106" s="38" t="n">
        <v>15.84</v>
      </c>
      <c r="AC106" s="14">
        <f>IFERROR(AVERAGEIFS($E$16:$E$736,$W$16:$W$736,"&gt;="&amp;W106-$C$5,$W$16:$W$736,"&lt;="&amp;W106+$C$5,$B$16:$B$736,B106,$A$16:$A$736,"&lt;&gt;"&amp;A106),"")</f>
        <v/>
      </c>
      <c r="AD106" s="14">
        <f>IF(AND(ISNUMBER(E106),ISNUMBER(AC106)),E106-AC106,"")</f>
        <v/>
      </c>
    </row>
    <row r="107">
      <c r="A107" s="17" t="n">
        <v>46202</v>
      </c>
      <c r="B107" s="29">
        <f>MONTH(A107)</f>
        <v/>
      </c>
      <c r="C107" s="29">
        <f>IF(AND(ISNUMBER(W107),ISNUMBER($C$4),ABS(W107-$C$4)&lt;=$C$5,ABS(MOD(B107-$C$6+6,12)-6)&lt;=$C$7,OR($C$8="Any",P107=$C$8)),1,0)</f>
        <v/>
      </c>
      <c r="D107" s="29">
        <f>IF(C107=1,COUNTIF($C$16:C107,1),"")</f>
        <v/>
      </c>
      <c r="E107" s="18" t="n">
        <v>9.880000000000001</v>
      </c>
      <c r="F107" s="18" t="n">
        <v>14.13</v>
      </c>
      <c r="G107" s="18" t="n">
        <v>1.38</v>
      </c>
      <c r="H107" s="38" t="n">
        <v>20.23</v>
      </c>
      <c r="I107" s="38" t="n">
        <v>16.56</v>
      </c>
      <c r="J107" s="13" t="n">
        <v>11139</v>
      </c>
      <c r="K107" s="13" t="n">
        <v>10751.12</v>
      </c>
      <c r="L107" s="13" t="n">
        <v>2285.75</v>
      </c>
      <c r="M107" s="13" t="n">
        <v>2462.08</v>
      </c>
      <c r="N107" s="13" t="n">
        <v>4437</v>
      </c>
      <c r="O107" s="38" t="n">
        <v>55.49</v>
      </c>
      <c r="P107" s="39" t="inlineStr">
        <is>
          <t>Windy</t>
        </is>
      </c>
      <c r="Q107" s="13" t="n">
        <v>1238</v>
      </c>
      <c r="R107" s="13" t="n">
        <v>661.8099999999999</v>
      </c>
      <c r="S107" s="13" t="n">
        <v>222.21</v>
      </c>
      <c r="T107" s="13" t="n">
        <v>9470.24</v>
      </c>
      <c r="U107" s="13" t="n">
        <v>745.23</v>
      </c>
      <c r="V107" s="13" t="n">
        <v>329.14</v>
      </c>
      <c r="W107" s="13" t="n">
        <v>2045.11</v>
      </c>
      <c r="X107" s="13" t="n">
        <v>2892.42</v>
      </c>
      <c r="Y107" s="13" t="n">
        <v>2155.27</v>
      </c>
      <c r="Z107" s="19" t="n"/>
      <c r="AA107" s="18" t="n"/>
      <c r="AB107" s="38" t="n">
        <v>21.78</v>
      </c>
      <c r="AC107" s="14">
        <f>IFERROR(AVERAGEIFS($E$16:$E$736,$W$16:$W$736,"&gt;="&amp;W107-$C$5,$W$16:$W$736,"&lt;="&amp;W107+$C$5,$B$16:$B$736,B107,$A$16:$A$736,"&lt;&gt;"&amp;A107),"")</f>
        <v/>
      </c>
      <c r="AD107" s="14">
        <f>IF(AND(ISNUMBER(E107),ISNUMBER(AC107)),E107-AC107,"")</f>
        <v/>
      </c>
    </row>
    <row r="108">
      <c r="A108" s="17" t="n">
        <v>46201</v>
      </c>
      <c r="B108" s="29">
        <f>MONTH(A108)</f>
        <v/>
      </c>
      <c r="C108" s="29">
        <f>IF(AND(ISNUMBER(W108),ISNUMBER($C$4),ABS(W108-$C$4)&lt;=$C$5,ABS(MOD(B108-$C$6+6,12)-6)&lt;=$C$7,OR($C$8="Any",P108=$C$8)),1,0)</f>
        <v/>
      </c>
      <c r="D108" s="29">
        <f>IF(C108=1,COUNTIF($C$16:C108,1),"")</f>
        <v/>
      </c>
      <c r="E108" s="18" t="n">
        <v>1.43</v>
      </c>
      <c r="F108" s="18" t="n">
        <v>0</v>
      </c>
      <c r="G108" s="18" t="n">
        <v>4.28</v>
      </c>
      <c r="H108" s="38" t="n">
        <v>16.03</v>
      </c>
      <c r="I108" s="38" t="n">
        <v>14.35</v>
      </c>
      <c r="J108" s="13" t="n">
        <v>10715</v>
      </c>
      <c r="K108" s="13" t="n">
        <v>10361.38</v>
      </c>
      <c r="L108" s="13" t="n">
        <v>3735</v>
      </c>
      <c r="M108" s="13" t="n">
        <v>3362.42</v>
      </c>
      <c r="N108" s="13" t="n">
        <v>4437</v>
      </c>
      <c r="O108" s="38" t="n">
        <v>75.78</v>
      </c>
      <c r="P108" s="39" t="inlineStr">
        <is>
          <t>Windy</t>
        </is>
      </c>
      <c r="Q108" s="13" t="n">
        <v>438</v>
      </c>
      <c r="R108" s="13" t="n">
        <v>669.24</v>
      </c>
      <c r="S108" s="13" t="n">
        <v>-16.62</v>
      </c>
      <c r="T108" s="13" t="n">
        <v>9364.68</v>
      </c>
      <c r="U108" s="13" t="n">
        <v>784.58</v>
      </c>
      <c r="V108" s="13" t="n">
        <v>42.85</v>
      </c>
      <c r="W108" s="13" t="n">
        <v>3702.92</v>
      </c>
      <c r="X108" s="13" t="n">
        <v>3879.34</v>
      </c>
      <c r="Y108" s="13" t="n">
        <v>3728.46</v>
      </c>
      <c r="Z108" s="19" t="n"/>
      <c r="AA108" s="18" t="n"/>
      <c r="AB108" s="38" t="n">
        <v>33.28</v>
      </c>
      <c r="AC108" s="14">
        <f>IFERROR(AVERAGEIFS($E$16:$E$736,$W$16:$W$736,"&gt;="&amp;W108-$C$5,$W$16:$W$736,"&lt;="&amp;W108+$C$5,$B$16:$B$736,B108,$A$16:$A$736,"&lt;&gt;"&amp;A108),"")</f>
        <v/>
      </c>
      <c r="AD108" s="14">
        <f>IF(AND(ISNUMBER(E108),ISNUMBER(AC108)),E108-AC108,"")</f>
        <v/>
      </c>
    </row>
    <row r="109">
      <c r="A109" s="17" t="n">
        <v>46200</v>
      </c>
      <c r="B109" s="29">
        <f>MONTH(A109)</f>
        <v/>
      </c>
      <c r="C109" s="29">
        <f>IF(AND(ISNUMBER(W109),ISNUMBER($C$4),ABS(W109-$C$4)&lt;=$C$5,ABS(MOD(B109-$C$6+6,12)-6)&lt;=$C$7,OR($C$8="Any",P109=$C$8)),1,0)</f>
        <v/>
      </c>
      <c r="D109" s="29">
        <f>IF(C109=1,COUNTIF($C$16:C109,1),"")</f>
        <v/>
      </c>
      <c r="E109" s="18" t="n">
        <v>9.66</v>
      </c>
      <c r="F109" s="18" t="n">
        <v>10.83</v>
      </c>
      <c r="G109" s="18" t="n">
        <v>7.3</v>
      </c>
      <c r="H109" s="38" t="n">
        <v>19.67</v>
      </c>
      <c r="I109" s="38" t="n">
        <v>15.98</v>
      </c>
      <c r="J109" s="13" t="n">
        <v>10487</v>
      </c>
      <c r="K109" s="13" t="n">
        <v>10229.25</v>
      </c>
      <c r="L109" s="13" t="n">
        <v>1311.25</v>
      </c>
      <c r="M109" s="13" t="n">
        <v>1511.88</v>
      </c>
      <c r="N109" s="13" t="n">
        <v>4437</v>
      </c>
      <c r="O109" s="38" t="n">
        <v>34.07</v>
      </c>
      <c r="P109" s="39" t="inlineStr">
        <is>
          <t>Windy</t>
        </is>
      </c>
      <c r="Q109" s="13" t="n">
        <v>1559</v>
      </c>
      <c r="R109" s="13" t="n">
        <v>674.3099999999999</v>
      </c>
      <c r="S109" s="13" t="n">
        <v>263.5</v>
      </c>
      <c r="T109" s="13" t="n">
        <v>9406.200000000001</v>
      </c>
      <c r="U109" s="13" t="n">
        <v>763.61</v>
      </c>
      <c r="V109" s="13" t="n">
        <v>55.1</v>
      </c>
      <c r="W109" s="13" t="n">
        <v>2374.78</v>
      </c>
      <c r="X109" s="13" t="n">
        <v>2775.04</v>
      </c>
      <c r="Y109" s="13" t="n">
        <v>2469.87</v>
      </c>
      <c r="Z109" s="19" t="n"/>
      <c r="AA109" s="18" t="n"/>
      <c r="AB109" s="38" t="n">
        <v>16.17</v>
      </c>
      <c r="AC109" s="14">
        <f>IFERROR(AVERAGEIFS($E$16:$E$736,$W$16:$W$736,"&gt;="&amp;W109-$C$5,$W$16:$W$736,"&lt;="&amp;W109+$C$5,$B$16:$B$736,B109,$A$16:$A$736,"&lt;&gt;"&amp;A109),"")</f>
        <v/>
      </c>
      <c r="AD109" s="14">
        <f>IF(AND(ISNUMBER(E109),ISNUMBER(AC109)),E109-AC109,"")</f>
        <v/>
      </c>
    </row>
    <row r="110">
      <c r="A110" s="17" t="n">
        <v>46199</v>
      </c>
      <c r="B110" s="29">
        <f>MONTH(A110)</f>
        <v/>
      </c>
      <c r="C110" s="29">
        <f>IF(AND(ISNUMBER(W110),ISNUMBER($C$4),ABS(W110-$C$4)&lt;=$C$5,ABS(MOD(B110-$C$6+6,12)-6)&lt;=$C$7,OR($C$8="Any",P110=$C$8)),1,0)</f>
        <v/>
      </c>
      <c r="D110" s="29">
        <f>IF(C110=1,COUNTIF($C$16:C110,1),"")</f>
        <v/>
      </c>
      <c r="E110" s="18" t="n">
        <v>17.5</v>
      </c>
      <c r="F110" s="18" t="n">
        <v>19.85</v>
      </c>
      <c r="G110" s="18" t="n">
        <v>12.78</v>
      </c>
      <c r="H110" s="38" t="n">
        <v>21.53</v>
      </c>
      <c r="I110" s="38" t="n">
        <v>17.37</v>
      </c>
      <c r="J110" s="13" t="n">
        <v>11052</v>
      </c>
      <c r="K110" s="13" t="n">
        <v>10687.69</v>
      </c>
      <c r="L110" s="13" t="n">
        <v>1469.12</v>
      </c>
      <c r="M110" s="13" t="n">
        <v>1667.96</v>
      </c>
      <c r="N110" s="13" t="n">
        <v>4437</v>
      </c>
      <c r="O110" s="38" t="n">
        <v>37.59</v>
      </c>
      <c r="P110" s="39" t="inlineStr">
        <is>
          <t>Windy</t>
        </is>
      </c>
      <c r="Q110" s="13" t="n">
        <v>1609</v>
      </c>
      <c r="R110" s="13" t="n">
        <v>667.89</v>
      </c>
      <c r="S110" s="13" t="n">
        <v>236.54</v>
      </c>
      <c r="T110" s="13" t="n">
        <v>9041.74</v>
      </c>
      <c r="U110" s="13" t="n">
        <v>781.73</v>
      </c>
      <c r="V110" s="13" t="n">
        <v>363.73</v>
      </c>
      <c r="W110" s="13" t="n">
        <v>1565.31</v>
      </c>
      <c r="X110" s="13" t="n">
        <v>1929.93</v>
      </c>
      <c r="Y110" s="13" t="n">
        <v>1648.32</v>
      </c>
      <c r="Z110" s="19" t="n"/>
      <c r="AA110" s="18" t="n"/>
      <c r="AB110" s="38" t="n">
        <v>20.07</v>
      </c>
      <c r="AC110" s="14">
        <f>IFERROR(AVERAGEIFS($E$16:$E$736,$W$16:$W$736,"&gt;="&amp;W110-$C$5,$W$16:$W$736,"&lt;="&amp;W110+$C$5,$B$16:$B$736,B110,$A$16:$A$736,"&lt;&gt;"&amp;A110),"")</f>
        <v/>
      </c>
      <c r="AD110" s="14">
        <f>IF(AND(ISNUMBER(E110),ISNUMBER(AC110)),E110-AC110,"")</f>
        <v/>
      </c>
    </row>
    <row r="111">
      <c r="A111" s="17" t="n">
        <v>46198</v>
      </c>
      <c r="B111" s="29">
        <f>MONTH(A111)</f>
        <v/>
      </c>
      <c r="C111" s="29">
        <f>IF(AND(ISNUMBER(W111),ISNUMBER($C$4),ABS(W111-$C$4)&lt;=$C$5,ABS(MOD(B111-$C$6+6,12)-6)&lt;=$C$7,OR($C$8="Any",P111=$C$8)),1,0)</f>
        <v/>
      </c>
      <c r="D111" s="29">
        <f>IF(C111=1,COUNTIF($C$16:C111,1),"")</f>
        <v/>
      </c>
      <c r="E111" s="18" t="n">
        <v>13.66</v>
      </c>
      <c r="F111" s="18" t="n">
        <v>18.53</v>
      </c>
      <c r="G111" s="18" t="n">
        <v>3.94</v>
      </c>
      <c r="H111" s="38" t="n">
        <v>22.43</v>
      </c>
      <c r="I111" s="38" t="n">
        <v>17.57</v>
      </c>
      <c r="J111" s="13" t="n">
        <v>11232</v>
      </c>
      <c r="K111" s="13" t="n">
        <v>10907.12</v>
      </c>
      <c r="L111" s="13" t="n">
        <v>1581.25</v>
      </c>
      <c r="M111" s="13" t="n">
        <v>1860.71</v>
      </c>
      <c r="N111" s="13" t="n">
        <v>4437</v>
      </c>
      <c r="O111" s="38" t="n">
        <v>41.94</v>
      </c>
      <c r="P111" s="39" t="inlineStr">
        <is>
          <t>Windy</t>
        </is>
      </c>
      <c r="Q111" s="13" t="n">
        <v>1749</v>
      </c>
      <c r="R111" s="13" t="n">
        <v>659.23</v>
      </c>
      <c r="S111" s="13" t="n">
        <v>119.5</v>
      </c>
      <c r="T111" s="13" t="n">
        <v>8875.07</v>
      </c>
      <c r="U111" s="13" t="n">
        <v>763.61</v>
      </c>
      <c r="V111" s="13" t="n">
        <v>367.11</v>
      </c>
      <c r="W111" s="13" t="n">
        <v>1090.1</v>
      </c>
      <c r="X111" s="13" t="n">
        <v>1898.49</v>
      </c>
      <c r="Y111" s="13" t="n">
        <v>1160.33</v>
      </c>
      <c r="Z111" s="19" t="n"/>
      <c r="AA111" s="18" t="n"/>
      <c r="AB111" s="38" t="n">
        <v>17.39</v>
      </c>
      <c r="AC111" s="14">
        <f>IFERROR(AVERAGEIFS($E$16:$E$736,$W$16:$W$736,"&gt;="&amp;W111-$C$5,$W$16:$W$736,"&lt;="&amp;W111+$C$5,$B$16:$B$736,B111,$A$16:$A$736,"&lt;&gt;"&amp;A111),"")</f>
        <v/>
      </c>
      <c r="AD111" s="14">
        <f>IF(AND(ISNUMBER(E111),ISNUMBER(AC111)),E111-AC111,"")</f>
        <v/>
      </c>
    </row>
    <row r="112">
      <c r="A112" s="17" t="n">
        <v>46197</v>
      </c>
      <c r="B112" s="29">
        <f>MONTH(A112)</f>
        <v/>
      </c>
      <c r="C112" s="29">
        <f>IF(AND(ISNUMBER(W112),ISNUMBER($C$4),ABS(W112-$C$4)&lt;=$C$5,ABS(MOD(B112-$C$6+6,12)-6)&lt;=$C$7,OR($C$8="Any",P112=$C$8)),1,0)</f>
        <v/>
      </c>
      <c r="D112" s="29">
        <f>IF(C112=1,COUNTIF($C$16:C112,1),"")</f>
        <v/>
      </c>
      <c r="E112" s="18" t="n">
        <v>40.65</v>
      </c>
      <c r="F112" s="18" t="n">
        <v>49.39</v>
      </c>
      <c r="G112" s="18" t="n">
        <v>23.17</v>
      </c>
      <c r="H112" s="38" t="n">
        <v>22.97</v>
      </c>
      <c r="I112" s="38" t="n">
        <v>16.86</v>
      </c>
      <c r="J112" s="13" t="n">
        <v>11207</v>
      </c>
      <c r="K112" s="13" t="n">
        <v>10746.69</v>
      </c>
      <c r="L112" s="13" t="n">
        <v>568.25</v>
      </c>
      <c r="M112" s="13" t="n">
        <v>689.33</v>
      </c>
      <c r="N112" s="13" t="n">
        <v>4437</v>
      </c>
      <c r="O112" s="38" t="n">
        <v>15.54</v>
      </c>
      <c r="P112" s="39" t="inlineStr">
        <is>
          <t>Calm</t>
        </is>
      </c>
      <c r="Q112" s="13" t="n">
        <v>1755</v>
      </c>
      <c r="R112" s="13" t="n">
        <v>652.0599999999999</v>
      </c>
      <c r="S112" s="13" t="n">
        <v>197.5</v>
      </c>
      <c r="T112" s="13" t="n">
        <v>9190.809999999999</v>
      </c>
      <c r="U112" s="13" t="n">
        <v>692.25</v>
      </c>
      <c r="V112" s="13" t="n">
        <v>121.15</v>
      </c>
      <c r="W112" s="13" t="n">
        <v>594.04</v>
      </c>
      <c r="X112" s="13" t="n">
        <v>1353.66</v>
      </c>
      <c r="Y112" s="13" t="n">
        <v>669.8</v>
      </c>
      <c r="Z112" s="19" t="n"/>
      <c r="AA112" s="18" t="n"/>
      <c r="AB112" s="38" t="n">
        <v>15.2</v>
      </c>
      <c r="AC112" s="14">
        <f>IFERROR(AVERAGEIFS($E$16:$E$736,$W$16:$W$736,"&gt;="&amp;W112-$C$5,$W$16:$W$736,"&lt;="&amp;W112+$C$5,$B$16:$B$736,B112,$A$16:$A$736,"&lt;&gt;"&amp;A112),"")</f>
        <v/>
      </c>
      <c r="AD112" s="14">
        <f>IF(AND(ISNUMBER(E112),ISNUMBER(AC112)),E112-AC112,"")</f>
        <v/>
      </c>
    </row>
    <row r="113">
      <c r="A113" s="17" t="n">
        <v>46196</v>
      </c>
      <c r="B113" s="29">
        <f>MONTH(A113)</f>
        <v/>
      </c>
      <c r="C113" s="29">
        <f>IF(AND(ISNUMBER(W113),ISNUMBER($C$4),ABS(W113-$C$4)&lt;=$C$5,ABS(MOD(B113-$C$6+6,12)-6)&lt;=$C$7,OR($C$8="Any",P113=$C$8)),1,0)</f>
        <v/>
      </c>
      <c r="D113" s="29">
        <f>IF(C113=1,COUNTIF($C$16:C113,1),"")</f>
        <v/>
      </c>
      <c r="E113" s="18" t="n">
        <v>94.58</v>
      </c>
      <c r="F113" s="18" t="n">
        <v>128.73</v>
      </c>
      <c r="G113" s="18" t="n">
        <v>26.3</v>
      </c>
      <c r="H113" s="38" t="n">
        <v>19.93</v>
      </c>
      <c r="I113" s="38" t="n">
        <v>13.71</v>
      </c>
      <c r="J113" s="13" t="n">
        <v>10700</v>
      </c>
      <c r="K113" s="13" t="n">
        <v>10406.56</v>
      </c>
      <c r="L113" s="13" t="n">
        <v>81.25</v>
      </c>
      <c r="M113" s="13" t="n">
        <v>258.54</v>
      </c>
      <c r="N113" s="13" t="n">
        <v>4437</v>
      </c>
      <c r="O113" s="38" t="n">
        <v>5.83</v>
      </c>
      <c r="P113" s="39" t="inlineStr">
        <is>
          <t>Calm</t>
        </is>
      </c>
      <c r="Q113" s="13" t="n">
        <v>1587</v>
      </c>
      <c r="R113" s="13" t="n">
        <v>652.92</v>
      </c>
      <c r="S113" s="13" t="n">
        <v>299.12</v>
      </c>
      <c r="T113" s="13" t="n">
        <v>8955.83</v>
      </c>
      <c r="U113" s="13" t="n">
        <v>656.63</v>
      </c>
      <c r="V113" s="13" t="n">
        <v>349.59</v>
      </c>
      <c r="W113" s="13" t="n">
        <v>-270.57</v>
      </c>
      <c r="X113" s="13" t="n">
        <v>961.23</v>
      </c>
      <c r="Y113" s="13" t="n">
        <v>-102.6</v>
      </c>
      <c r="Z113" s="19" t="n"/>
      <c r="AA113" s="18" t="n"/>
      <c r="AB113" s="38" t="n">
        <v>8.94</v>
      </c>
      <c r="AC113" s="14">
        <f>IFERROR(AVERAGEIFS($E$16:$E$736,$W$16:$W$736,"&gt;="&amp;W113-$C$5,$W$16:$W$736,"&lt;="&amp;W113+$C$5,$B$16:$B$736,B113,$A$16:$A$736,"&lt;&gt;"&amp;A113),"")</f>
        <v/>
      </c>
      <c r="AD113" s="14">
        <f>IF(AND(ISNUMBER(E113),ISNUMBER(AC113)),E113-AC113,"")</f>
        <v/>
      </c>
    </row>
    <row r="114">
      <c r="A114" s="17" t="n">
        <v>46195</v>
      </c>
      <c r="B114" s="29">
        <f>MONTH(A114)</f>
        <v/>
      </c>
      <c r="C114" s="29">
        <f>IF(AND(ISNUMBER(W114),ISNUMBER($C$4),ABS(W114-$C$4)&lt;=$C$5,ABS(MOD(B114-$C$6+6,12)-6)&lt;=$C$7,OR($C$8="Any",P114=$C$8)),1,0)</f>
        <v/>
      </c>
      <c r="D114" s="29">
        <f>IF(C114=1,COUNTIF($C$16:C114,1),"")</f>
        <v/>
      </c>
      <c r="E114" s="18" t="n">
        <v>9.380000000000001</v>
      </c>
      <c r="F114" s="18" t="n">
        <v>8.119999999999999</v>
      </c>
      <c r="G114" s="18" t="n">
        <v>11.91</v>
      </c>
      <c r="H114" s="38" t="n">
        <v>14.93</v>
      </c>
      <c r="I114" s="38" t="n">
        <v>11.31</v>
      </c>
      <c r="J114" s="13" t="n">
        <v>10815</v>
      </c>
      <c r="K114" s="13" t="n">
        <v>10518.06</v>
      </c>
      <c r="L114" s="13" t="n">
        <v>2614.5</v>
      </c>
      <c r="M114" s="13" t="n">
        <v>2553.04</v>
      </c>
      <c r="N114" s="13" t="n">
        <v>4437</v>
      </c>
      <c r="O114" s="38" t="n">
        <v>57.54</v>
      </c>
      <c r="P114" s="39" t="inlineStr">
        <is>
          <t>Windy</t>
        </is>
      </c>
      <c r="Q114" s="13" t="n">
        <v>1113</v>
      </c>
      <c r="R114" s="13" t="n">
        <v>656.54</v>
      </c>
      <c r="S114" s="13" t="n">
        <v>-202.67</v>
      </c>
      <c r="T114" s="13" t="n">
        <v>8902.870000000001</v>
      </c>
      <c r="U114" s="13" t="n">
        <v>664.42</v>
      </c>
      <c r="V114" s="13" t="n">
        <v>595.67</v>
      </c>
      <c r="W114" s="13" t="n">
        <v>1143.15</v>
      </c>
      <c r="X114" s="13" t="n">
        <v>2372.32</v>
      </c>
      <c r="Y114" s="13" t="n">
        <v>1373.52</v>
      </c>
      <c r="Z114" s="19" t="n"/>
      <c r="AA114" s="18" t="n"/>
      <c r="AB114" s="38" t="n">
        <v>18.28</v>
      </c>
      <c r="AC114" s="14">
        <f>IFERROR(AVERAGEIFS($E$16:$E$736,$W$16:$W$736,"&gt;="&amp;W114-$C$5,$W$16:$W$736,"&lt;="&amp;W114+$C$5,$B$16:$B$736,B114,$A$16:$A$736,"&lt;&gt;"&amp;A114),"")</f>
        <v/>
      </c>
      <c r="AD114" s="14">
        <f>IF(AND(ISNUMBER(E114),ISNUMBER(AC114)),E114-AC114,"")</f>
        <v/>
      </c>
    </row>
    <row r="115">
      <c r="A115" s="17" t="n">
        <v>46194</v>
      </c>
      <c r="B115" s="29">
        <f>MONTH(A115)</f>
        <v/>
      </c>
      <c r="C115" s="29">
        <f>IF(AND(ISNUMBER(W115),ISNUMBER($C$4),ABS(W115-$C$4)&lt;=$C$5,ABS(MOD(B115-$C$6+6,12)-6)&lt;=$C$7,OR($C$8="Any",P115=$C$8)),1,0)</f>
        <v/>
      </c>
      <c r="D115" s="29">
        <f>IF(C115=1,COUNTIF($C$16:C115,1),"")</f>
        <v/>
      </c>
      <c r="E115" s="18" t="n">
        <v>10.51</v>
      </c>
      <c r="F115" s="18" t="n">
        <v>9.81</v>
      </c>
      <c r="G115" s="18" t="n">
        <v>11.93</v>
      </c>
      <c r="H115" s="38" t="n">
        <v>14.6</v>
      </c>
      <c r="I115" s="38" t="n">
        <v>11.53</v>
      </c>
      <c r="J115" s="13" t="n">
        <v>10429</v>
      </c>
      <c r="K115" s="13" t="n">
        <v>10161.75</v>
      </c>
      <c r="L115" s="13" t="n">
        <v>2596.81</v>
      </c>
      <c r="M115" s="13" t="n">
        <v>2556.04</v>
      </c>
      <c r="N115" s="13" t="n">
        <v>4437</v>
      </c>
      <c r="O115" s="38" t="n">
        <v>57.61</v>
      </c>
      <c r="P115" s="39" t="inlineStr">
        <is>
          <t>Windy</t>
        </is>
      </c>
      <c r="Q115" s="13" t="n">
        <v>1294</v>
      </c>
      <c r="R115" s="13" t="n">
        <v>656.0599999999999</v>
      </c>
      <c r="S115" s="13" t="n">
        <v>-119.92</v>
      </c>
      <c r="T115" s="13" t="n">
        <v>8627.59</v>
      </c>
      <c r="U115" s="13" t="n">
        <v>690.28</v>
      </c>
      <c r="V115" s="13" t="n">
        <v>301.49</v>
      </c>
      <c r="W115" s="13" t="n">
        <v>1642.44</v>
      </c>
      <c r="X115" s="13" t="n">
        <v>2692.77</v>
      </c>
      <c r="Y115" s="13" t="n">
        <v>1799.93</v>
      </c>
      <c r="Z115" s="19" t="n"/>
      <c r="AA115" s="18" t="n"/>
      <c r="AB115" s="38" t="n">
        <v>27.22</v>
      </c>
      <c r="AC115" s="14">
        <f>IFERROR(AVERAGEIFS($E$16:$E$736,$W$16:$W$736,"&gt;="&amp;W115-$C$5,$W$16:$W$736,"&lt;="&amp;W115+$C$5,$B$16:$B$736,B115,$A$16:$A$736,"&lt;&gt;"&amp;A115),"")</f>
        <v/>
      </c>
      <c r="AD115" s="14">
        <f>IF(AND(ISNUMBER(E115),ISNUMBER(AC115)),E115-AC115,"")</f>
        <v/>
      </c>
    </row>
    <row r="116">
      <c r="A116" s="17" t="n">
        <v>46193</v>
      </c>
      <c r="B116" s="29">
        <f>MONTH(A116)</f>
        <v/>
      </c>
      <c r="C116" s="29">
        <f>IF(AND(ISNUMBER(W116),ISNUMBER($C$4),ABS(W116-$C$4)&lt;=$C$5,ABS(MOD(B116-$C$6+6,12)-6)&lt;=$C$7,OR($C$8="Any",P116=$C$8)),1,0)</f>
        <v/>
      </c>
      <c r="D116" s="29">
        <f>IF(C116=1,COUNTIF($C$16:C116,1),"")</f>
        <v/>
      </c>
      <c r="E116" s="18" t="n">
        <v>3.54</v>
      </c>
      <c r="F116" s="18" t="n">
        <v>3.93</v>
      </c>
      <c r="G116" s="18" t="n">
        <v>2.77</v>
      </c>
      <c r="H116" s="38" t="n">
        <v>18.73</v>
      </c>
      <c r="I116" s="38" t="n">
        <v>14.05</v>
      </c>
      <c r="J116" s="13" t="n">
        <v>10478</v>
      </c>
      <c r="K116" s="13" t="n">
        <v>10223.88</v>
      </c>
      <c r="L116" s="13" t="n">
        <v>2622.56</v>
      </c>
      <c r="M116" s="13" t="n">
        <v>2675.67</v>
      </c>
      <c r="N116" s="13" t="n">
        <v>4437</v>
      </c>
      <c r="O116" s="38" t="n">
        <v>60.3</v>
      </c>
      <c r="P116" s="39" t="inlineStr">
        <is>
          <t>Windy</t>
        </is>
      </c>
      <c r="Q116" s="13" t="n">
        <v>1560</v>
      </c>
      <c r="R116" s="13" t="n">
        <v>657.25</v>
      </c>
      <c r="S116" s="13" t="n">
        <v>-95.33</v>
      </c>
      <c r="T116" s="13" t="n">
        <v>8726.49</v>
      </c>
      <c r="U116" s="13" t="n">
        <v>685.27</v>
      </c>
      <c r="V116" s="13" t="n">
        <v>49.84</v>
      </c>
      <c r="W116" s="13" t="n">
        <v>1998.99</v>
      </c>
      <c r="X116" s="13" t="n">
        <v>2932</v>
      </c>
      <c r="Y116" s="13" t="n">
        <v>2140.92</v>
      </c>
      <c r="Z116" s="19" t="n"/>
      <c r="AA116" s="18" t="n"/>
      <c r="AB116" s="38" t="n">
        <v>24.15</v>
      </c>
      <c r="AC116" s="14">
        <f>IFERROR(AVERAGEIFS($E$16:$E$736,$W$16:$W$736,"&gt;="&amp;W116-$C$5,$W$16:$W$736,"&lt;="&amp;W116+$C$5,$B$16:$B$736,B116,$A$16:$A$736,"&lt;&gt;"&amp;A116),"")</f>
        <v/>
      </c>
      <c r="AD116" s="14">
        <f>IF(AND(ISNUMBER(E116),ISNUMBER(AC116)),E116-AC116,"")</f>
        <v/>
      </c>
    </row>
    <row r="117">
      <c r="A117" s="17" t="n">
        <v>46192</v>
      </c>
      <c r="B117" s="29">
        <f>MONTH(A117)</f>
        <v/>
      </c>
      <c r="C117" s="29">
        <f>IF(AND(ISNUMBER(W117),ISNUMBER($C$4),ABS(W117-$C$4)&lt;=$C$5,ABS(MOD(B117-$C$6+6,12)-6)&lt;=$C$7,OR($C$8="Any",P117=$C$8)),1,0)</f>
        <v/>
      </c>
      <c r="D117" s="29">
        <f>IF(C117=1,COUNTIF($C$16:C117,1),"")</f>
        <v/>
      </c>
      <c r="E117" s="18" t="n">
        <v>22.08</v>
      </c>
      <c r="F117" s="18" t="n">
        <v>21.48</v>
      </c>
      <c r="G117" s="18" t="n">
        <v>23.27</v>
      </c>
      <c r="H117" s="38" t="n">
        <v>19.73</v>
      </c>
      <c r="I117" s="38" t="n">
        <v>13.72</v>
      </c>
      <c r="J117" s="13" t="n">
        <v>10629</v>
      </c>
      <c r="K117" s="13" t="n">
        <v>10399.31</v>
      </c>
      <c r="L117" s="13" t="n">
        <v>700.62</v>
      </c>
      <c r="M117" s="13" t="n">
        <v>733.88</v>
      </c>
      <c r="N117" s="13" t="n">
        <v>4437</v>
      </c>
      <c r="O117" s="38" t="n">
        <v>16.54</v>
      </c>
      <c r="P117" s="39" t="inlineStr">
        <is>
          <t>Windy</t>
        </is>
      </c>
      <c r="Q117" s="13" t="n">
        <v>1753</v>
      </c>
      <c r="R117" s="13" t="n">
        <v>658.11</v>
      </c>
      <c r="S117" s="13" t="n">
        <v>124.33</v>
      </c>
      <c r="T117" s="13" t="n">
        <v>8972.1</v>
      </c>
      <c r="U117" s="13" t="n">
        <v>610.6799999999999</v>
      </c>
      <c r="V117" s="13" t="n">
        <v>38.56</v>
      </c>
      <c r="W117" s="13" t="n">
        <v>1032.87</v>
      </c>
      <c r="X117" s="13" t="n">
        <v>1431.14</v>
      </c>
      <c r="Y117" s="13" t="n">
        <v>1263.13</v>
      </c>
      <c r="Z117" s="19" t="n"/>
      <c r="AA117" s="18" t="n"/>
      <c r="AB117" s="38" t="n">
        <v>15.38</v>
      </c>
      <c r="AC117" s="14">
        <f>IFERROR(AVERAGEIFS($E$16:$E$736,$W$16:$W$736,"&gt;="&amp;W117-$C$5,$W$16:$W$736,"&lt;="&amp;W117+$C$5,$B$16:$B$736,B117,$A$16:$A$736,"&lt;&gt;"&amp;A117),"")</f>
        <v/>
      </c>
      <c r="AD117" s="14">
        <f>IF(AND(ISNUMBER(E117),ISNUMBER(AC117)),E117-AC117,"")</f>
        <v/>
      </c>
    </row>
    <row r="118">
      <c r="A118" s="17" t="n">
        <v>46191</v>
      </c>
      <c r="B118" s="29">
        <f>MONTH(A118)</f>
        <v/>
      </c>
      <c r="C118" s="29">
        <f>IF(AND(ISNUMBER(W118),ISNUMBER($C$4),ABS(W118-$C$4)&lt;=$C$5,ABS(MOD(B118-$C$6+6,12)-6)&lt;=$C$7,OR($C$8="Any",P118=$C$8)),1,0)</f>
        <v/>
      </c>
      <c r="D118" s="29">
        <f>IF(C118=1,COUNTIF($C$16:C118,1),"")</f>
        <v/>
      </c>
      <c r="E118" s="18" t="n">
        <v>11.66</v>
      </c>
      <c r="F118" s="18" t="n">
        <v>9.76</v>
      </c>
      <c r="G118" s="18" t="n">
        <v>15.46</v>
      </c>
      <c r="H118" s="38" t="n">
        <v>15.93</v>
      </c>
      <c r="I118" s="38" t="n">
        <v>12.1</v>
      </c>
      <c r="J118" s="13" t="n">
        <v>10578</v>
      </c>
      <c r="K118" s="13" t="n">
        <v>10334.19</v>
      </c>
      <c r="L118" s="13" t="n">
        <v>2148.62</v>
      </c>
      <c r="M118" s="13" t="n">
        <v>1957.83</v>
      </c>
      <c r="N118" s="13" t="n">
        <v>4437</v>
      </c>
      <c r="O118" s="38" t="n">
        <v>44.13</v>
      </c>
      <c r="P118" s="39" t="inlineStr">
        <is>
          <t>Windy</t>
        </is>
      </c>
      <c r="Q118" s="13" t="n">
        <v>1332</v>
      </c>
      <c r="R118" s="13" t="n">
        <v>657.59</v>
      </c>
      <c r="S118" s="13" t="n">
        <v>-11.04</v>
      </c>
      <c r="T118" s="13" t="n">
        <v>8633.120000000001</v>
      </c>
      <c r="U118" s="13" t="n">
        <v>591.86</v>
      </c>
      <c r="V118" s="13" t="n">
        <v>387.9</v>
      </c>
      <c r="W118" s="13" t="n">
        <v>697.16</v>
      </c>
      <c r="X118" s="13" t="n">
        <v>1925.92</v>
      </c>
      <c r="Y118" s="13" t="n">
        <v>983.02</v>
      </c>
      <c r="Z118" s="19" t="n"/>
      <c r="AA118" s="18" t="n"/>
      <c r="AB118" s="38" t="n">
        <v>15.14</v>
      </c>
      <c r="AC118" s="14">
        <f>IFERROR(AVERAGEIFS($E$16:$E$736,$W$16:$W$736,"&gt;="&amp;W118-$C$5,$W$16:$W$736,"&lt;="&amp;W118+$C$5,$B$16:$B$736,B118,$A$16:$A$736,"&lt;&gt;"&amp;A118),"")</f>
        <v/>
      </c>
      <c r="AD118" s="14">
        <f>IF(AND(ISNUMBER(E118),ISNUMBER(AC118)),E118-AC118,"")</f>
        <v/>
      </c>
    </row>
    <row r="119">
      <c r="A119" s="17" t="n">
        <v>46190</v>
      </c>
      <c r="B119" s="29">
        <f>MONTH(A119)</f>
        <v/>
      </c>
      <c r="C119" s="29">
        <f>IF(AND(ISNUMBER(W119),ISNUMBER($C$4),ABS(W119-$C$4)&lt;=$C$5,ABS(MOD(B119-$C$6+6,12)-6)&lt;=$C$7,OR($C$8="Any",P119=$C$8)),1,0)</f>
        <v/>
      </c>
      <c r="D119" s="29">
        <f>IF(C119=1,COUNTIF($C$16:C119,1),"")</f>
        <v/>
      </c>
      <c r="E119" s="18" t="n">
        <v>8.960000000000001</v>
      </c>
      <c r="F119" s="18" t="n">
        <v>9.25</v>
      </c>
      <c r="G119" s="18" t="n">
        <v>8.369999999999999</v>
      </c>
      <c r="H119" s="38" t="n">
        <v>16.63</v>
      </c>
      <c r="I119" s="38" t="n">
        <v>12.81</v>
      </c>
      <c r="J119" s="13" t="n">
        <v>10576</v>
      </c>
      <c r="K119" s="13" t="n">
        <v>10329.31</v>
      </c>
      <c r="L119" s="13" t="n">
        <v>1842.06</v>
      </c>
      <c r="M119" s="13" t="n">
        <v>2019.17</v>
      </c>
      <c r="N119" s="13" t="n">
        <v>4437</v>
      </c>
      <c r="O119" s="38" t="n">
        <v>45.51</v>
      </c>
      <c r="P119" s="39" t="inlineStr">
        <is>
          <t>Windy</t>
        </is>
      </c>
      <c r="Q119" s="13" t="n">
        <v>1119</v>
      </c>
      <c r="R119" s="13" t="n">
        <v>646.02</v>
      </c>
      <c r="S119" s="13" t="n">
        <v>22.46</v>
      </c>
      <c r="T119" s="13" t="n">
        <v>8850.549999999999</v>
      </c>
      <c r="U119" s="13" t="n">
        <v>605.55</v>
      </c>
      <c r="V119" s="13" t="n">
        <v>464.96</v>
      </c>
      <c r="W119" s="13" t="n">
        <v>775.27</v>
      </c>
      <c r="X119" s="13" t="n">
        <v>1963.44</v>
      </c>
      <c r="Y119" s="13" t="n">
        <v>1007.51</v>
      </c>
      <c r="Z119" s="19" t="n"/>
      <c r="AA119" s="18" t="n"/>
      <c r="AB119" s="38" t="n">
        <v>19.59</v>
      </c>
      <c r="AC119" s="14">
        <f>IFERROR(AVERAGEIFS($E$16:$E$736,$W$16:$W$736,"&gt;="&amp;W119-$C$5,$W$16:$W$736,"&lt;="&amp;W119+$C$5,$B$16:$B$736,B119,$A$16:$A$736,"&lt;&gt;"&amp;A119),"")</f>
        <v/>
      </c>
      <c r="AD119" s="14">
        <f>IF(AND(ISNUMBER(E119),ISNUMBER(AC119)),E119-AC119,"")</f>
        <v/>
      </c>
    </row>
    <row r="120">
      <c r="A120" s="17" t="n">
        <v>46189</v>
      </c>
      <c r="B120" s="29">
        <f>MONTH(A120)</f>
        <v/>
      </c>
      <c r="C120" s="29">
        <f>IF(AND(ISNUMBER(W120),ISNUMBER($C$4),ABS(W120-$C$4)&lt;=$C$5,ABS(MOD(B120-$C$6+6,12)-6)&lt;=$C$7,OR($C$8="Any",P120=$C$8)),1,0)</f>
        <v/>
      </c>
      <c r="D120" s="29">
        <f>IF(C120=1,COUNTIF($C$16:C120,1),"")</f>
        <v/>
      </c>
      <c r="E120" s="18" t="n">
        <v>18.1</v>
      </c>
      <c r="F120" s="18" t="n">
        <v>16.17</v>
      </c>
      <c r="G120" s="18" t="n">
        <v>21.95</v>
      </c>
      <c r="H120" s="38" t="n">
        <v>20.67</v>
      </c>
      <c r="I120" s="38" t="n">
        <v>16.35</v>
      </c>
      <c r="J120" s="13" t="n">
        <v>10890</v>
      </c>
      <c r="K120" s="13" t="n">
        <v>10465.5</v>
      </c>
      <c r="L120" s="13" t="n">
        <v>2138.5</v>
      </c>
      <c r="M120" s="13" t="n">
        <v>1869.25</v>
      </c>
      <c r="N120" s="13" t="n">
        <v>4437</v>
      </c>
      <c r="O120" s="38" t="n">
        <v>42.13</v>
      </c>
      <c r="P120" s="39" t="inlineStr">
        <is>
          <t>Windy</t>
        </is>
      </c>
      <c r="Q120" s="13" t="n">
        <v>1368</v>
      </c>
      <c r="R120" s="13" t="n">
        <v>601.22</v>
      </c>
      <c r="S120" s="13" t="n">
        <v>178.29</v>
      </c>
      <c r="T120" s="13" t="n">
        <v>9196.139999999999</v>
      </c>
      <c r="U120" s="13" t="n">
        <v>682.49</v>
      </c>
      <c r="V120" s="13" t="n">
        <v>393.98</v>
      </c>
      <c r="W120" s="13" t="n">
        <v>1567.27</v>
      </c>
      <c r="X120" s="13" t="n">
        <v>2672.64</v>
      </c>
      <c r="Y120" s="13" t="n">
        <v>1690.47</v>
      </c>
      <c r="Z120" s="19" t="n"/>
      <c r="AA120" s="18" t="n"/>
      <c r="AB120" s="38" t="n">
        <v>25.3</v>
      </c>
      <c r="AC120" s="14">
        <f>IFERROR(AVERAGEIFS($E$16:$E$736,$W$16:$W$736,"&gt;="&amp;W120-$C$5,$W$16:$W$736,"&lt;="&amp;W120+$C$5,$B$16:$B$736,B120,$A$16:$A$736,"&lt;&gt;"&amp;A120),"")</f>
        <v/>
      </c>
      <c r="AD120" s="14">
        <f>IF(AND(ISNUMBER(E120),ISNUMBER(AC120)),E120-AC120,"")</f>
        <v/>
      </c>
    </row>
    <row r="121">
      <c r="A121" s="17" t="n">
        <v>46188</v>
      </c>
      <c r="B121" s="29">
        <f>MONTH(A121)</f>
        <v/>
      </c>
      <c r="C121" s="29">
        <f>IF(AND(ISNUMBER(W121),ISNUMBER($C$4),ABS(W121-$C$4)&lt;=$C$5,ABS(MOD(B121-$C$6+6,12)-6)&lt;=$C$7,OR($C$8="Any",P121=$C$8)),1,0)</f>
        <v/>
      </c>
      <c r="D121" s="29">
        <f>IF(C121=1,COUNTIF($C$16:C121,1),"")</f>
        <v/>
      </c>
      <c r="E121" s="18" t="n">
        <v>34.34</v>
      </c>
      <c r="F121" s="18" t="n">
        <v>40.05</v>
      </c>
      <c r="G121" s="18" t="n">
        <v>22.91</v>
      </c>
      <c r="H121" s="38" t="n">
        <v>24.3</v>
      </c>
      <c r="I121" s="38" t="n">
        <v>17.62</v>
      </c>
      <c r="J121" s="13" t="n">
        <v>11121</v>
      </c>
      <c r="K121" s="13" t="n">
        <v>10636.88</v>
      </c>
      <c r="L121" s="13" t="n">
        <v>315.19</v>
      </c>
      <c r="M121" s="13" t="n">
        <v>369.5</v>
      </c>
      <c r="N121" s="13" t="n">
        <v>4437</v>
      </c>
      <c r="O121" s="38" t="n">
        <v>8.33</v>
      </c>
      <c r="P121" s="39" t="inlineStr">
        <is>
          <t>Calm</t>
        </is>
      </c>
      <c r="Q121" s="13" t="n">
        <v>1660</v>
      </c>
      <c r="R121" s="13" t="n">
        <v>651.99</v>
      </c>
      <c r="S121" s="13" t="n">
        <v>401.79</v>
      </c>
      <c r="T121" s="13" t="n">
        <v>9259.33</v>
      </c>
      <c r="U121" s="13" t="n">
        <v>684.45</v>
      </c>
      <c r="V121" s="13" t="n">
        <v>110.41</v>
      </c>
      <c r="W121" s="13" t="n">
        <v>584.64</v>
      </c>
      <c r="X121" s="13" t="n">
        <v>1134.55</v>
      </c>
      <c r="Y121" s="13" t="n">
        <v>755.76</v>
      </c>
      <c r="Z121" s="19" t="n"/>
      <c r="AA121" s="18" t="n"/>
      <c r="AB121" s="38" t="n">
        <v>13.04</v>
      </c>
      <c r="AC121" s="14">
        <f>IFERROR(AVERAGEIFS($E$16:$E$736,$W$16:$W$736,"&gt;="&amp;W121-$C$5,$W$16:$W$736,"&lt;="&amp;W121+$C$5,$B$16:$B$736,B121,$A$16:$A$736,"&lt;&gt;"&amp;A121),"")</f>
        <v/>
      </c>
      <c r="AD121" s="14">
        <f>IF(AND(ISNUMBER(E121),ISNUMBER(AC121)),E121-AC121,"")</f>
        <v/>
      </c>
    </row>
    <row r="122">
      <c r="A122" s="17" t="n">
        <v>46187</v>
      </c>
      <c r="B122" s="29">
        <f>MONTH(A122)</f>
        <v/>
      </c>
      <c r="C122" s="29">
        <f>IF(AND(ISNUMBER(W122),ISNUMBER($C$4),ABS(W122-$C$4)&lt;=$C$5,ABS(MOD(B122-$C$6+6,12)-6)&lt;=$C$7,OR($C$8="Any",P122=$C$8)),1,0)</f>
        <v/>
      </c>
      <c r="D122" s="29">
        <f>IF(C122=1,COUNTIF($C$16:C122,1),"")</f>
        <v/>
      </c>
      <c r="E122" s="18" t="n">
        <v>22.49</v>
      </c>
      <c r="F122" s="18" t="n">
        <v>21.73</v>
      </c>
      <c r="G122" s="18" t="n">
        <v>24.01</v>
      </c>
      <c r="H122" s="38" t="n">
        <v>22.07</v>
      </c>
      <c r="I122" s="38" t="n">
        <v>15.22</v>
      </c>
      <c r="J122" s="13" t="n">
        <v>10520</v>
      </c>
      <c r="K122" s="13" t="n">
        <v>10072.44</v>
      </c>
      <c r="L122" s="13" t="n">
        <v>737.88</v>
      </c>
      <c r="M122" s="13" t="n">
        <v>713.79</v>
      </c>
      <c r="N122" s="13" t="n">
        <v>4437</v>
      </c>
      <c r="O122" s="38" t="n">
        <v>16.09</v>
      </c>
      <c r="P122" s="39" t="inlineStr">
        <is>
          <t>Windy</t>
        </is>
      </c>
      <c r="Q122" s="13" t="n">
        <v>1710</v>
      </c>
      <c r="R122" s="13" t="n">
        <v>655.13</v>
      </c>
      <c r="S122" s="13" t="n">
        <v>366.88</v>
      </c>
      <c r="T122" s="13" t="n">
        <v>9144.09</v>
      </c>
      <c r="U122" s="13" t="n">
        <v>790.03</v>
      </c>
      <c r="V122" s="13" t="n">
        <v>228.67</v>
      </c>
      <c r="W122" s="13" t="n">
        <v>1236.86</v>
      </c>
      <c r="X122" s="13" t="n">
        <v>2295.14</v>
      </c>
      <c r="Y122" s="13" t="n">
        <v>1293.96</v>
      </c>
      <c r="Z122" s="19" t="n"/>
      <c r="AA122" s="18" t="n"/>
      <c r="AB122" s="38" t="n">
        <v>12.75</v>
      </c>
      <c r="AC122" s="14">
        <f>IFERROR(AVERAGEIFS($E$16:$E$736,$W$16:$W$736,"&gt;="&amp;W122-$C$5,$W$16:$W$736,"&lt;="&amp;W122+$C$5,$B$16:$B$736,B122,$A$16:$A$736,"&lt;&gt;"&amp;A122),"")</f>
        <v/>
      </c>
      <c r="AD122" s="14">
        <f>IF(AND(ISNUMBER(E122),ISNUMBER(AC122)),E122-AC122,"")</f>
        <v/>
      </c>
    </row>
    <row r="123">
      <c r="A123" s="17" t="n">
        <v>46186</v>
      </c>
      <c r="B123" s="29">
        <f>MONTH(A123)</f>
        <v/>
      </c>
      <c r="C123" s="29">
        <f>IF(AND(ISNUMBER(W123),ISNUMBER($C$4),ABS(W123-$C$4)&lt;=$C$5,ABS(MOD(B123-$C$6+6,12)-6)&lt;=$C$7,OR($C$8="Any",P123=$C$8)),1,0)</f>
        <v/>
      </c>
      <c r="D123" s="29">
        <f>IF(C123=1,COUNTIF($C$16:C123,1),"")</f>
        <v/>
      </c>
      <c r="E123" s="18" t="n">
        <v>26.47</v>
      </c>
      <c r="F123" s="18" t="n">
        <v>34.84</v>
      </c>
      <c r="G123" s="18" t="n">
        <v>9.74</v>
      </c>
      <c r="H123" s="38" t="n">
        <v>18.1</v>
      </c>
      <c r="I123" s="38" t="n">
        <v>12.33</v>
      </c>
      <c r="J123" s="13" t="n">
        <v>10196</v>
      </c>
      <c r="K123" s="13" t="n">
        <v>9852.690000000001</v>
      </c>
      <c r="L123" s="13" t="n">
        <v>506.69</v>
      </c>
      <c r="M123" s="13" t="n">
        <v>1076.79</v>
      </c>
      <c r="N123" s="13" t="n">
        <v>4437</v>
      </c>
      <c r="O123" s="38" t="n">
        <v>24.27</v>
      </c>
      <c r="P123" s="39" t="inlineStr">
        <is>
          <t>Windy</t>
        </is>
      </c>
      <c r="Q123" s="13" t="n">
        <v>1747</v>
      </c>
      <c r="R123" s="13" t="n">
        <v>643.33</v>
      </c>
      <c r="S123" s="13" t="n">
        <v>332.88</v>
      </c>
      <c r="T123" s="13" t="n">
        <v>9298.75</v>
      </c>
      <c r="U123" s="13" t="n">
        <v>782.17</v>
      </c>
      <c r="V123" s="13" t="n">
        <v>298.6</v>
      </c>
      <c r="W123" s="13" t="n">
        <v>992.89</v>
      </c>
      <c r="X123" s="13" t="n">
        <v>2704.77</v>
      </c>
      <c r="Y123" s="13" t="n">
        <v>1148.46</v>
      </c>
      <c r="Z123" s="19" t="n"/>
      <c r="AA123" s="18" t="n"/>
      <c r="AB123" s="38" t="n">
        <v>9.01</v>
      </c>
      <c r="AC123" s="14">
        <f>IFERROR(AVERAGEIFS($E$16:$E$736,$W$16:$W$736,"&gt;="&amp;W123-$C$5,$W$16:$W$736,"&lt;="&amp;W123+$C$5,$B$16:$B$736,B123,$A$16:$A$736,"&lt;&gt;"&amp;A123),"")</f>
        <v/>
      </c>
      <c r="AD123" s="14">
        <f>IF(AND(ISNUMBER(E123),ISNUMBER(AC123)),E123-AC123,"")</f>
        <v/>
      </c>
    </row>
    <row r="124">
      <c r="A124" s="17" t="n">
        <v>46185</v>
      </c>
      <c r="B124" s="29">
        <f>MONTH(A124)</f>
        <v/>
      </c>
      <c r="C124" s="29">
        <f>IF(AND(ISNUMBER(W124),ISNUMBER($C$4),ABS(W124-$C$4)&lt;=$C$5,ABS(MOD(B124-$C$6+6,12)-6)&lt;=$C$7,OR($C$8="Any",P124=$C$8)),1,0)</f>
        <v/>
      </c>
      <c r="D124" s="29">
        <f>IF(C124=1,COUNTIF($C$16:C124,1),"")</f>
        <v/>
      </c>
      <c r="E124" s="18" t="n">
        <v>13.74</v>
      </c>
      <c r="F124" s="18" t="n">
        <v>14.82</v>
      </c>
      <c r="G124" s="18" t="n">
        <v>11.59</v>
      </c>
      <c r="H124" s="38" t="n">
        <v>13.83</v>
      </c>
      <c r="I124" s="38" t="n">
        <v>10.03</v>
      </c>
      <c r="J124" s="13" t="n">
        <v>10480</v>
      </c>
      <c r="K124" s="13" t="n">
        <v>10223.38</v>
      </c>
      <c r="L124" s="13" t="n">
        <v>2196.25</v>
      </c>
      <c r="M124" s="13" t="n">
        <v>2009.54</v>
      </c>
      <c r="N124" s="13" t="n">
        <v>4437</v>
      </c>
      <c r="O124" s="38" t="n">
        <v>45.29</v>
      </c>
      <c r="P124" s="39" t="inlineStr">
        <is>
          <t>Windy</t>
        </is>
      </c>
      <c r="Q124" s="13" t="n">
        <v>1161</v>
      </c>
      <c r="R124" s="13" t="n">
        <v>730.76</v>
      </c>
      <c r="S124" s="13" t="n">
        <v>103.62</v>
      </c>
      <c r="T124" s="13" t="n">
        <v>9317.5</v>
      </c>
      <c r="U124" s="13" t="n">
        <v>760.37</v>
      </c>
      <c r="V124" s="13" t="n">
        <v>127.49</v>
      </c>
      <c r="W124" s="13" t="n">
        <v>1965.98</v>
      </c>
      <c r="X124" s="13" t="n">
        <v>2995.45</v>
      </c>
      <c r="Y124" s="13" t="n">
        <v>2200.57</v>
      </c>
      <c r="Z124" s="19" t="n"/>
      <c r="AA124" s="18" t="n"/>
      <c r="AB124" s="38" t="n">
        <v>19</v>
      </c>
      <c r="AC124" s="14">
        <f>IFERROR(AVERAGEIFS($E$16:$E$736,$W$16:$W$736,"&gt;="&amp;W124-$C$5,$W$16:$W$736,"&lt;="&amp;W124+$C$5,$B$16:$B$736,B124,$A$16:$A$736,"&lt;&gt;"&amp;A124),"")</f>
        <v/>
      </c>
      <c r="AD124" s="14">
        <f>IF(AND(ISNUMBER(E124),ISNUMBER(AC124)),E124-AC124,"")</f>
        <v/>
      </c>
    </row>
    <row r="125">
      <c r="A125" s="17" t="n">
        <v>46184</v>
      </c>
      <c r="B125" s="29">
        <f>MONTH(A125)</f>
        <v/>
      </c>
      <c r="C125" s="29">
        <f>IF(AND(ISNUMBER(W125),ISNUMBER($C$4),ABS(W125-$C$4)&lt;=$C$5,ABS(MOD(B125-$C$6+6,12)-6)&lt;=$C$7,OR($C$8="Any",P125=$C$8)),1,0)</f>
        <v/>
      </c>
      <c r="D125" s="29">
        <f>IF(C125=1,COUNTIF($C$16:C125,1),"")</f>
        <v/>
      </c>
      <c r="E125" s="18" t="n">
        <v>12.73</v>
      </c>
      <c r="F125" s="18" t="n">
        <v>17.74</v>
      </c>
      <c r="G125" s="18" t="n">
        <v>2.71</v>
      </c>
      <c r="H125" s="38" t="n">
        <v>15.9</v>
      </c>
      <c r="I125" s="38" t="n">
        <v>12.35</v>
      </c>
      <c r="J125" s="13" t="n">
        <v>10480</v>
      </c>
      <c r="K125" s="13" t="n">
        <v>10263.38</v>
      </c>
      <c r="L125" s="13" t="n">
        <v>2341.06</v>
      </c>
      <c r="M125" s="13" t="n">
        <v>2574</v>
      </c>
      <c r="N125" s="13" t="n">
        <v>4437</v>
      </c>
      <c r="O125" s="38" t="n">
        <v>58.01</v>
      </c>
      <c r="P125" s="39" t="inlineStr">
        <is>
          <t>Windy</t>
        </is>
      </c>
      <c r="Q125" s="13" t="n">
        <v>1346</v>
      </c>
      <c r="R125" s="13" t="n">
        <v>748.2</v>
      </c>
      <c r="S125" s="13" t="n">
        <v>82.17</v>
      </c>
      <c r="T125" s="13" t="n">
        <v>8792.84</v>
      </c>
      <c r="U125" s="13" t="n">
        <v>723.17</v>
      </c>
      <c r="V125" s="13" t="n">
        <v>453.67</v>
      </c>
      <c r="W125" s="13" t="n">
        <v>1288.25</v>
      </c>
      <c r="X125" s="13" t="n">
        <v>2702.86</v>
      </c>
      <c r="Y125" s="13" t="n">
        <v>1546.15</v>
      </c>
      <c r="Z125" s="19" t="n"/>
      <c r="AA125" s="18" t="n"/>
      <c r="AB125" s="38" t="n">
        <v>21.27</v>
      </c>
      <c r="AC125" s="14">
        <f>IFERROR(AVERAGEIFS($E$16:$E$736,$W$16:$W$736,"&gt;="&amp;W125-$C$5,$W$16:$W$736,"&lt;="&amp;W125+$C$5,$B$16:$B$736,B125,$A$16:$A$736,"&lt;&gt;"&amp;A125),"")</f>
        <v/>
      </c>
      <c r="AD125" s="14">
        <f>IF(AND(ISNUMBER(E125),ISNUMBER(AC125)),E125-AC125,"")</f>
        <v/>
      </c>
    </row>
    <row r="126">
      <c r="A126" s="17" t="n">
        <v>46183</v>
      </c>
      <c r="B126" s="29">
        <f>MONTH(A126)</f>
        <v/>
      </c>
      <c r="C126" s="29">
        <f>IF(AND(ISNUMBER(W126),ISNUMBER($C$4),ABS(W126-$C$4)&lt;=$C$5,ABS(MOD(B126-$C$6+6,12)-6)&lt;=$C$7,OR($C$8="Any",P126=$C$8)),1,0)</f>
        <v/>
      </c>
      <c r="D126" s="29">
        <f>IF(C126=1,COUNTIF($C$16:C126,1),"")</f>
        <v/>
      </c>
      <c r="E126" s="18" t="n">
        <v>4.34</v>
      </c>
      <c r="F126" s="18" t="n">
        <v>5.55</v>
      </c>
      <c r="G126" s="18" t="n">
        <v>1.92</v>
      </c>
      <c r="H126" s="38" t="n">
        <v>15.53</v>
      </c>
      <c r="I126" s="38" t="n">
        <v>11.97</v>
      </c>
      <c r="J126" s="13" t="n">
        <v>10468</v>
      </c>
      <c r="K126" s="13" t="n">
        <v>10173.69</v>
      </c>
      <c r="L126" s="13" t="n">
        <v>3134.75</v>
      </c>
      <c r="M126" s="13" t="n">
        <v>3207.29</v>
      </c>
      <c r="N126" s="13" t="n">
        <v>4437</v>
      </c>
      <c r="O126" s="38" t="n">
        <v>72.29000000000001</v>
      </c>
      <c r="P126" s="39" t="inlineStr">
        <is>
          <t>Windy</t>
        </is>
      </c>
      <c r="Q126" s="13" t="n">
        <v>930</v>
      </c>
      <c r="R126" s="13" t="n">
        <v>790.16</v>
      </c>
      <c r="S126" s="13" t="n">
        <v>17.58</v>
      </c>
      <c r="T126" s="13" t="n">
        <v>8486.07</v>
      </c>
      <c r="U126" s="13" t="n">
        <v>710.8099999999999</v>
      </c>
      <c r="V126" s="13" t="n">
        <v>7.95</v>
      </c>
      <c r="W126" s="13" t="n">
        <v>2144.65</v>
      </c>
      <c r="X126" s="13" t="n">
        <v>2856.8</v>
      </c>
      <c r="Y126" s="13" t="n">
        <v>2370.03</v>
      </c>
      <c r="Z126" s="19" t="n"/>
      <c r="AA126" s="18" t="n"/>
      <c r="AB126" s="38" t="n">
        <v>29.76</v>
      </c>
      <c r="AC126" s="14">
        <f>IFERROR(AVERAGEIFS($E$16:$E$736,$W$16:$W$736,"&gt;="&amp;W126-$C$5,$W$16:$W$736,"&lt;="&amp;W126+$C$5,$B$16:$B$736,B126,$A$16:$A$736,"&lt;&gt;"&amp;A126),"")</f>
        <v/>
      </c>
      <c r="AD126" s="14">
        <f>IF(AND(ISNUMBER(E126),ISNUMBER(AC126)),E126-AC126,"")</f>
        <v/>
      </c>
    </row>
    <row r="127">
      <c r="A127" s="17" t="n">
        <v>46182</v>
      </c>
      <c r="B127" s="29">
        <f>MONTH(A127)</f>
        <v/>
      </c>
      <c r="C127" s="29">
        <f>IF(AND(ISNUMBER(W127),ISNUMBER($C$4),ABS(W127-$C$4)&lt;=$C$5,ABS(MOD(B127-$C$6+6,12)-6)&lt;=$C$7,OR($C$8="Any",P127=$C$8)),1,0)</f>
        <v/>
      </c>
      <c r="D127" s="29">
        <f>IF(C127=1,COUNTIF($C$16:C127,1),"")</f>
        <v/>
      </c>
      <c r="E127" s="18" t="n">
        <v>21.72</v>
      </c>
      <c r="F127" s="18" t="n">
        <v>12.7</v>
      </c>
      <c r="G127" s="18" t="n">
        <v>39.77</v>
      </c>
      <c r="H127" s="38" t="n">
        <v>18.07</v>
      </c>
      <c r="I127" s="38" t="n">
        <v>13.11</v>
      </c>
      <c r="J127" s="13" t="n">
        <v>10432</v>
      </c>
      <c r="K127" s="13" t="n">
        <v>10004.06</v>
      </c>
      <c r="L127" s="13" t="n">
        <v>1783.81</v>
      </c>
      <c r="M127" s="13" t="n">
        <v>1542.71</v>
      </c>
      <c r="N127" s="13" t="n">
        <v>4437</v>
      </c>
      <c r="O127" s="38" t="n">
        <v>34.77</v>
      </c>
      <c r="P127" s="39" t="inlineStr">
        <is>
          <t>Windy</t>
        </is>
      </c>
      <c r="Q127" s="13" t="n">
        <v>1618</v>
      </c>
      <c r="R127" s="13" t="n">
        <v>800.5</v>
      </c>
      <c r="S127" s="13" t="n">
        <v>332.08</v>
      </c>
      <c r="T127" s="13" t="n">
        <v>8469.6</v>
      </c>
      <c r="U127" s="13" t="n">
        <v>744.59</v>
      </c>
      <c r="V127" s="13" t="n">
        <v>306.87</v>
      </c>
      <c r="W127" s="13" t="n">
        <v>1421.29</v>
      </c>
      <c r="X127" s="13" t="n">
        <v>2532.32</v>
      </c>
      <c r="Y127" s="13" t="n">
        <v>1634.03</v>
      </c>
      <c r="Z127" s="19" t="n"/>
      <c r="AA127" s="18" t="n"/>
      <c r="AB127" s="38" t="n">
        <v>19.11</v>
      </c>
      <c r="AC127" s="14">
        <f>IFERROR(AVERAGEIFS($E$16:$E$736,$W$16:$W$736,"&gt;="&amp;W127-$C$5,$W$16:$W$736,"&lt;="&amp;W127+$C$5,$B$16:$B$736,B127,$A$16:$A$736,"&lt;&gt;"&amp;A127),"")</f>
        <v/>
      </c>
      <c r="AD127" s="14">
        <f>IF(AND(ISNUMBER(E127),ISNUMBER(AC127)),E127-AC127,"")</f>
        <v/>
      </c>
    </row>
    <row r="128">
      <c r="A128" s="17" t="n">
        <v>46181</v>
      </c>
      <c r="B128" s="29">
        <f>MONTH(A128)</f>
        <v/>
      </c>
      <c r="C128" s="29">
        <f>IF(AND(ISNUMBER(W128),ISNUMBER($C$4),ABS(W128-$C$4)&lt;=$C$5,ABS(MOD(B128-$C$6+6,12)-6)&lt;=$C$7,OR($C$8="Any",P128=$C$8)),1,0)</f>
        <v/>
      </c>
      <c r="D128" s="29">
        <f>IF(C128=1,COUNTIF($C$16:C128,1),"")</f>
        <v/>
      </c>
      <c r="E128" s="18" t="n">
        <v>7.98</v>
      </c>
      <c r="F128" s="18" t="n">
        <v>9.4</v>
      </c>
      <c r="G128" s="18" t="n">
        <v>5.12</v>
      </c>
      <c r="H128" s="38" t="n">
        <v>18.77</v>
      </c>
      <c r="I128" s="38" t="n">
        <v>13.15</v>
      </c>
      <c r="J128" s="13" t="n">
        <v>10352</v>
      </c>
      <c r="K128" s="13" t="n">
        <v>10077.12</v>
      </c>
      <c r="L128" s="13" t="n">
        <v>2402.94</v>
      </c>
      <c r="M128" s="13" t="n">
        <v>2626.58</v>
      </c>
      <c r="N128" s="13" t="n">
        <v>4437</v>
      </c>
      <c r="O128" s="38" t="n">
        <v>59.2</v>
      </c>
      <c r="P128" s="39" t="inlineStr">
        <is>
          <t>Windy</t>
        </is>
      </c>
      <c r="Q128" s="13" t="n">
        <v>1590</v>
      </c>
      <c r="R128" s="13" t="n">
        <v>799.16</v>
      </c>
      <c r="S128" s="13" t="n">
        <v>-81.38</v>
      </c>
      <c r="T128" s="13" t="n">
        <v>8482.74</v>
      </c>
      <c r="U128" s="13" t="n">
        <v>745.04</v>
      </c>
      <c r="V128" s="13" t="n">
        <v>390.94</v>
      </c>
      <c r="W128" s="13" t="n">
        <v>1638.02</v>
      </c>
      <c r="X128" s="13" t="n">
        <v>2711.88</v>
      </c>
      <c r="Y128" s="13" t="n">
        <v>1883.33</v>
      </c>
      <c r="Z128" s="19" t="n"/>
      <c r="AA128" s="18" t="n"/>
      <c r="AB128" s="38" t="n">
        <v>26.75</v>
      </c>
      <c r="AC128" s="14">
        <f>IFERROR(AVERAGEIFS($E$16:$E$736,$W$16:$W$736,"&gt;="&amp;W128-$C$5,$W$16:$W$736,"&lt;="&amp;W128+$C$5,$B$16:$B$736,B128,$A$16:$A$736,"&lt;&gt;"&amp;A128),"")</f>
        <v/>
      </c>
      <c r="AD128" s="14">
        <f>IF(AND(ISNUMBER(E128),ISNUMBER(AC128)),E128-AC128,"")</f>
        <v/>
      </c>
    </row>
    <row r="129">
      <c r="A129" s="17" t="n">
        <v>46180</v>
      </c>
      <c r="B129" s="29">
        <f>MONTH(A129)</f>
        <v/>
      </c>
      <c r="C129" s="29">
        <f>IF(AND(ISNUMBER(W129),ISNUMBER($C$4),ABS(W129-$C$4)&lt;=$C$5,ABS(MOD(B129-$C$6+6,12)-6)&lt;=$C$7,OR($C$8="Any",P129=$C$8)),1,0)</f>
        <v/>
      </c>
      <c r="D129" s="29">
        <f>IF(C129=1,COUNTIF($C$16:C129,1),"")</f>
        <v/>
      </c>
      <c r="E129" s="18" t="n">
        <v>1.38</v>
      </c>
      <c r="F129" s="18" t="n">
        <v>0.36</v>
      </c>
      <c r="G129" s="18" t="n">
        <v>3.42</v>
      </c>
      <c r="H129" s="38" t="n">
        <v>12.83</v>
      </c>
      <c r="I129" s="38" t="n">
        <v>9.460000000000001</v>
      </c>
      <c r="J129" s="13" t="n">
        <v>9888</v>
      </c>
      <c r="K129" s="13" t="n">
        <v>9623.559999999999</v>
      </c>
      <c r="L129" s="13" t="n">
        <v>2676.69</v>
      </c>
      <c r="M129" s="13" t="n">
        <v>2639.62</v>
      </c>
      <c r="N129" s="13" t="n">
        <v>4437</v>
      </c>
      <c r="O129" s="38" t="n">
        <v>59.49</v>
      </c>
      <c r="P129" s="39" t="inlineStr">
        <is>
          <t>Windy</t>
        </is>
      </c>
      <c r="Q129" s="13" t="n">
        <v>1519</v>
      </c>
      <c r="R129" s="13" t="n">
        <v>802.29</v>
      </c>
      <c r="S129" s="13" t="n">
        <v>169.04</v>
      </c>
      <c r="T129" s="13" t="n">
        <v>8848.02</v>
      </c>
      <c r="U129" s="13" t="n">
        <v>749.54</v>
      </c>
      <c r="V129" s="13" t="n">
        <v>400.14</v>
      </c>
      <c r="W129" s="13" t="n">
        <v>3221.65</v>
      </c>
      <c r="X129" s="13" t="n">
        <v>3841.85</v>
      </c>
      <c r="Y129" s="13" t="n">
        <v>3427.96</v>
      </c>
      <c r="Z129" s="19" t="n"/>
      <c r="AA129" s="18" t="n"/>
      <c r="AB129" s="38" t="n">
        <v>21.8</v>
      </c>
      <c r="AC129" s="14">
        <f>IFERROR(AVERAGEIFS($E$16:$E$736,$W$16:$W$736,"&gt;="&amp;W129-$C$5,$W$16:$W$736,"&lt;="&amp;W129+$C$5,$B$16:$B$736,B129,$A$16:$A$736,"&lt;&gt;"&amp;A129),"")</f>
        <v/>
      </c>
      <c r="AD129" s="14">
        <f>IF(AND(ISNUMBER(E129),ISNUMBER(AC129)),E129-AC129,"")</f>
        <v/>
      </c>
    </row>
    <row r="130">
      <c r="A130" s="17" t="n">
        <v>46179</v>
      </c>
      <c r="B130" s="29">
        <f>MONTH(A130)</f>
        <v/>
      </c>
      <c r="C130" s="29">
        <f>IF(AND(ISNUMBER(W130),ISNUMBER($C$4),ABS(W130-$C$4)&lt;=$C$5,ABS(MOD(B130-$C$6+6,12)-6)&lt;=$C$7,OR($C$8="Any",P130=$C$8)),1,0)</f>
        <v/>
      </c>
      <c r="D130" s="29">
        <f>IF(C130=1,COUNTIF($C$16:C130,1),"")</f>
        <v/>
      </c>
      <c r="E130" s="18" t="n">
        <v>20.33</v>
      </c>
      <c r="F130" s="18" t="n">
        <v>13.02</v>
      </c>
      <c r="G130" s="18" t="n">
        <v>34.94</v>
      </c>
      <c r="H130" s="38" t="n">
        <v>16.73</v>
      </c>
      <c r="I130" s="38" t="n">
        <v>11.85</v>
      </c>
      <c r="J130" s="13" t="n">
        <v>9735</v>
      </c>
      <c r="K130" s="13" t="n">
        <v>9488.75</v>
      </c>
      <c r="L130" s="13" t="n">
        <v>1225.19</v>
      </c>
      <c r="M130" s="13" t="n">
        <v>1186.62</v>
      </c>
      <c r="N130" s="13" t="n">
        <v>4437</v>
      </c>
      <c r="O130" s="38" t="n">
        <v>26.74</v>
      </c>
      <c r="P130" s="39" t="inlineStr">
        <is>
          <t>Windy</t>
        </is>
      </c>
      <c r="Q130" s="13" t="n">
        <v>1420</v>
      </c>
      <c r="R130" s="13" t="n">
        <v>806.77</v>
      </c>
      <c r="S130" s="13" t="n">
        <v>404.79</v>
      </c>
      <c r="T130" s="13" t="n">
        <v>8786.76</v>
      </c>
      <c r="U130" s="13" t="n">
        <v>758.92</v>
      </c>
      <c r="V130" s="13" t="n">
        <v>146.93</v>
      </c>
      <c r="W130" s="13" t="n">
        <v>2145.65</v>
      </c>
      <c r="X130" s="13" t="n">
        <v>2937.88</v>
      </c>
      <c r="Y130" s="13" t="n">
        <v>2378.27</v>
      </c>
      <c r="Z130" s="19" t="n"/>
      <c r="AA130" s="18" t="n"/>
      <c r="AB130" s="38" t="n">
        <v>13.95</v>
      </c>
      <c r="AC130" s="14">
        <f>IFERROR(AVERAGEIFS($E$16:$E$736,$W$16:$W$736,"&gt;="&amp;W130-$C$5,$W$16:$W$736,"&lt;="&amp;W130+$C$5,$B$16:$B$736,B130,$A$16:$A$736,"&lt;&gt;"&amp;A130),"")</f>
        <v/>
      </c>
      <c r="AD130" s="14">
        <f>IF(AND(ISNUMBER(E130),ISNUMBER(AC130)),E130-AC130,"")</f>
        <v/>
      </c>
    </row>
    <row r="131">
      <c r="A131" s="17" t="n">
        <v>46178</v>
      </c>
      <c r="B131" s="29">
        <f>MONTH(A131)</f>
        <v/>
      </c>
      <c r="C131" s="29">
        <f>IF(AND(ISNUMBER(W131),ISNUMBER($C$4),ABS(W131-$C$4)&lt;=$C$5,ABS(MOD(B131-$C$6+6,12)-6)&lt;=$C$7,OR($C$8="Any",P131=$C$8)),1,0)</f>
        <v/>
      </c>
      <c r="D131" s="29">
        <f>IF(C131=1,COUNTIF($C$16:C131,1),"")</f>
        <v/>
      </c>
      <c r="E131" s="18" t="n">
        <v>15.81</v>
      </c>
      <c r="F131" s="18" t="n">
        <v>9</v>
      </c>
      <c r="G131" s="18" t="n">
        <v>29.44</v>
      </c>
      <c r="H131" s="38" t="n">
        <v>18.6</v>
      </c>
      <c r="I131" s="38" t="n">
        <v>13.29</v>
      </c>
      <c r="J131" s="13" t="n">
        <v>10645</v>
      </c>
      <c r="K131" s="13" t="n">
        <v>10269.31</v>
      </c>
      <c r="L131" s="13" t="n">
        <v>2627.88</v>
      </c>
      <c r="M131" s="13" t="n">
        <v>2232.29</v>
      </c>
      <c r="N131" s="13" t="n">
        <v>4437</v>
      </c>
      <c r="O131" s="38" t="n">
        <v>50.31</v>
      </c>
      <c r="P131" s="39" t="inlineStr">
        <is>
          <t>Windy</t>
        </is>
      </c>
      <c r="Q131" s="13" t="n">
        <v>1609</v>
      </c>
      <c r="R131" s="13" t="n">
        <v>808.42</v>
      </c>
      <c r="S131" s="13" t="n">
        <v>300.46</v>
      </c>
      <c r="T131" s="13" t="n">
        <v>8690.639999999999</v>
      </c>
      <c r="U131" s="13" t="n">
        <v>763.1</v>
      </c>
      <c r="V131" s="13" t="n">
        <v>79.59</v>
      </c>
      <c r="W131" s="13" t="n">
        <v>2136.34</v>
      </c>
      <c r="X131" s="13" t="n">
        <v>3246.79</v>
      </c>
      <c r="Y131" s="13" t="n">
        <v>2309.73</v>
      </c>
      <c r="Z131" s="19" t="n"/>
      <c r="AA131" s="18" t="n"/>
      <c r="AB131" s="38" t="n">
        <v>22.6</v>
      </c>
      <c r="AC131" s="14">
        <f>IFERROR(AVERAGEIFS($E$16:$E$736,$W$16:$W$736,"&gt;="&amp;W131-$C$5,$W$16:$W$736,"&lt;="&amp;W131+$C$5,$B$16:$B$736,B131,$A$16:$A$736,"&lt;&gt;"&amp;A131),"")</f>
        <v/>
      </c>
      <c r="AD131" s="14">
        <f>IF(AND(ISNUMBER(E131),ISNUMBER(AC131)),E131-AC131,"")</f>
        <v/>
      </c>
    </row>
    <row r="132">
      <c r="A132" s="17" t="n">
        <v>46177</v>
      </c>
      <c r="B132" s="29">
        <f>MONTH(A132)</f>
        <v/>
      </c>
      <c r="C132" s="29">
        <f>IF(AND(ISNUMBER(W132),ISNUMBER($C$4),ABS(W132-$C$4)&lt;=$C$5,ABS(MOD(B132-$C$6+6,12)-6)&lt;=$C$7,OR($C$8="Any",P132=$C$8)),1,0)</f>
        <v/>
      </c>
      <c r="D132" s="29">
        <f>IF(C132=1,COUNTIF($C$16:C132,1),"")</f>
        <v/>
      </c>
      <c r="E132" s="18" t="n">
        <v>19.11</v>
      </c>
      <c r="F132" s="18" t="n">
        <v>18.87</v>
      </c>
      <c r="G132" s="18" t="n">
        <v>19.58</v>
      </c>
      <c r="H132" s="38" t="n">
        <v>17.6</v>
      </c>
      <c r="I132" s="38" t="n">
        <v>13.78</v>
      </c>
      <c r="J132" s="13" t="n">
        <v>10552</v>
      </c>
      <c r="K132" s="13" t="n">
        <v>10303.12</v>
      </c>
      <c r="L132" s="13" t="n">
        <v>1820.56</v>
      </c>
      <c r="M132" s="13" t="n">
        <v>1738.38</v>
      </c>
      <c r="N132" s="13" t="n">
        <v>4437</v>
      </c>
      <c r="O132" s="38" t="n">
        <v>39.18</v>
      </c>
      <c r="P132" s="39" t="inlineStr">
        <is>
          <t>Windy</t>
        </is>
      </c>
      <c r="Q132" s="13" t="n">
        <v>1335</v>
      </c>
      <c r="R132" s="13" t="n">
        <v>806.66</v>
      </c>
      <c r="S132" s="13" t="n">
        <v>579.96</v>
      </c>
      <c r="T132" s="13" t="n">
        <v>8682.16</v>
      </c>
      <c r="U132" s="13" t="n">
        <v>796.5599999999999</v>
      </c>
      <c r="V132" s="13" t="n">
        <v>79.59</v>
      </c>
      <c r="W132" s="13" t="n">
        <v>1791.99</v>
      </c>
      <c r="X132" s="13" t="n">
        <v>2638.13</v>
      </c>
      <c r="Y132" s="13" t="n">
        <v>1982.26</v>
      </c>
      <c r="Z132" s="19" t="n"/>
      <c r="AA132" s="18" t="n"/>
      <c r="AB132" s="38" t="n">
        <v>19.89</v>
      </c>
      <c r="AC132" s="14">
        <f>IFERROR(AVERAGEIFS($E$16:$E$736,$W$16:$W$736,"&gt;="&amp;W132-$C$5,$W$16:$W$736,"&lt;="&amp;W132+$C$5,$B$16:$B$736,B132,$A$16:$A$736,"&lt;&gt;"&amp;A132),"")</f>
        <v/>
      </c>
      <c r="AD132" s="14">
        <f>IF(AND(ISNUMBER(E132),ISNUMBER(AC132)),E132-AC132,"")</f>
        <v/>
      </c>
    </row>
    <row r="133">
      <c r="A133" s="17" t="n">
        <v>46176</v>
      </c>
      <c r="B133" s="29">
        <f>MONTH(A133)</f>
        <v/>
      </c>
      <c r="C133" s="29">
        <f>IF(AND(ISNUMBER(W133),ISNUMBER($C$4),ABS(W133-$C$4)&lt;=$C$5,ABS(MOD(B133-$C$6+6,12)-6)&lt;=$C$7,OR($C$8="Any",P133=$C$8)),1,0)</f>
        <v/>
      </c>
      <c r="D133" s="29">
        <f>IF(C133=1,COUNTIF($C$16:C133,1),"")</f>
        <v/>
      </c>
      <c r="E133" s="18" t="n">
        <v>24.14</v>
      </c>
      <c r="F133" s="18" t="n">
        <v>30.09</v>
      </c>
      <c r="G133" s="18" t="n">
        <v>12.23</v>
      </c>
      <c r="H133" s="38" t="n">
        <v>16.43</v>
      </c>
      <c r="I133" s="38" t="n">
        <v>11.47</v>
      </c>
      <c r="J133" s="13" t="n">
        <v>10239</v>
      </c>
      <c r="K133" s="13" t="n">
        <v>10019.56</v>
      </c>
      <c r="L133" s="13" t="n">
        <v>418.69</v>
      </c>
      <c r="M133" s="13" t="n">
        <v>856.71</v>
      </c>
      <c r="N133" s="13" t="n">
        <v>4437</v>
      </c>
      <c r="O133" s="38" t="n">
        <v>19.31</v>
      </c>
      <c r="P133" s="39" t="inlineStr">
        <is>
          <t>Windy</t>
        </is>
      </c>
      <c r="Q133" s="13" t="n">
        <v>1271</v>
      </c>
      <c r="R133" s="13" t="n">
        <v>809.24</v>
      </c>
      <c r="S133" s="13" t="n">
        <v>480.62</v>
      </c>
      <c r="T133" s="13" t="n">
        <v>8704.370000000001</v>
      </c>
      <c r="U133" s="13" t="n">
        <v>787.1799999999999</v>
      </c>
      <c r="V133" s="13" t="n">
        <v>65.19</v>
      </c>
      <c r="W133" s="13" t="n">
        <v>746.99</v>
      </c>
      <c r="X133" s="13" t="n">
        <v>1420.43</v>
      </c>
      <c r="Y133" s="13" t="n">
        <v>957.9</v>
      </c>
      <c r="Z133" s="19" t="n"/>
      <c r="AA133" s="18" t="n"/>
      <c r="AB133" s="38" t="n">
        <v>10.52</v>
      </c>
      <c r="AC133" s="14">
        <f>IFERROR(AVERAGEIFS($E$16:$E$736,$W$16:$W$736,"&gt;="&amp;W133-$C$5,$W$16:$W$736,"&lt;="&amp;W133+$C$5,$B$16:$B$736,B133,$A$16:$A$736,"&lt;&gt;"&amp;A133),"")</f>
        <v/>
      </c>
      <c r="AD133" s="14">
        <f>IF(AND(ISNUMBER(E133),ISNUMBER(AC133)),E133-AC133,"")</f>
        <v/>
      </c>
    </row>
    <row r="134">
      <c r="A134" s="17" t="n">
        <v>46175</v>
      </c>
      <c r="B134" s="29">
        <f>MONTH(A134)</f>
        <v/>
      </c>
      <c r="C134" s="29">
        <f>IF(AND(ISNUMBER(W134),ISNUMBER($C$4),ABS(W134-$C$4)&lt;=$C$5,ABS(MOD(B134-$C$6+6,12)-6)&lt;=$C$7,OR($C$8="Any",P134=$C$8)),1,0)</f>
        <v/>
      </c>
      <c r="D134" s="29">
        <f>IF(C134=1,COUNTIF($C$16:C134,1),"")</f>
        <v/>
      </c>
      <c r="E134" s="18" t="n">
        <v>10.87</v>
      </c>
      <c r="F134" s="18" t="n">
        <v>14.4</v>
      </c>
      <c r="G134" s="18" t="n">
        <v>3.8</v>
      </c>
      <c r="H134" s="38" t="n">
        <v>9.800000000000001</v>
      </c>
      <c r="I134" s="38" t="n">
        <v>8.289999999999999</v>
      </c>
      <c r="J134" s="13" t="n">
        <v>10457</v>
      </c>
      <c r="K134" s="13" t="n">
        <v>10240.69</v>
      </c>
      <c r="L134" s="13" t="n">
        <v>2695.62</v>
      </c>
      <c r="M134" s="13" t="n">
        <v>2843.33</v>
      </c>
      <c r="N134" s="13" t="n">
        <v>4437</v>
      </c>
      <c r="O134" s="38" t="n">
        <v>64.08</v>
      </c>
      <c r="P134" s="39" t="inlineStr">
        <is>
          <t>Windy</t>
        </is>
      </c>
      <c r="Q134" s="13" t="n">
        <v>450</v>
      </c>
      <c r="R134" s="13" t="n">
        <v>823.05</v>
      </c>
      <c r="S134" s="13" t="n">
        <v>164.38</v>
      </c>
      <c r="T134" s="13" t="n">
        <v>8599.559999999999</v>
      </c>
      <c r="U134" s="13" t="n">
        <v>795.74</v>
      </c>
      <c r="V134" s="13" t="n">
        <v>282.15</v>
      </c>
      <c r="W134" s="13" t="n">
        <v>2039.88</v>
      </c>
      <c r="X134" s="13" t="n">
        <v>2516.08</v>
      </c>
      <c r="Y134" s="13" t="n">
        <v>2242.69</v>
      </c>
      <c r="Z134" s="19" t="n"/>
      <c r="AA134" s="18" t="n"/>
      <c r="AB134" s="38" t="n">
        <v>22.76</v>
      </c>
      <c r="AC134" s="14">
        <f>IFERROR(AVERAGEIFS($E$16:$E$736,$W$16:$W$736,"&gt;="&amp;W134-$C$5,$W$16:$W$736,"&lt;="&amp;W134+$C$5,$B$16:$B$736,B134,$A$16:$A$736,"&lt;&gt;"&amp;A134),"")</f>
        <v/>
      </c>
      <c r="AD134" s="14">
        <f>IF(AND(ISNUMBER(E134),ISNUMBER(AC134)),E134-AC134,"")</f>
        <v/>
      </c>
    </row>
    <row r="135">
      <c r="A135" s="17" t="n">
        <v>46174</v>
      </c>
      <c r="B135" s="29">
        <f>MONTH(A135)</f>
        <v/>
      </c>
      <c r="C135" s="29">
        <f>IF(AND(ISNUMBER(W135),ISNUMBER($C$4),ABS(W135-$C$4)&lt;=$C$5,ABS(MOD(B135-$C$6+6,12)-6)&lt;=$C$7,OR($C$8="Any",P135=$C$8)),1,0)</f>
        <v/>
      </c>
      <c r="D135" s="29">
        <f>IF(C135=1,COUNTIF($C$16:C135,1),"")</f>
        <v/>
      </c>
      <c r="E135" s="18" t="n">
        <v>2.65</v>
      </c>
      <c r="F135" s="18" t="n">
        <v>3.98</v>
      </c>
      <c r="G135" s="18" t="n">
        <v>0</v>
      </c>
      <c r="H135" s="38" t="n">
        <v>8.300000000000001</v>
      </c>
      <c r="I135" s="38" t="n">
        <v>7.49</v>
      </c>
      <c r="J135" s="13" t="n">
        <v>10570</v>
      </c>
      <c r="K135" s="13" t="n">
        <v>10330.56</v>
      </c>
      <c r="L135" s="13" t="n">
        <v>3334.88</v>
      </c>
      <c r="M135" s="13" t="n">
        <v>3184.38</v>
      </c>
      <c r="N135" s="13" t="n">
        <v>4437</v>
      </c>
      <c r="O135" s="38" t="n">
        <v>71.77</v>
      </c>
      <c r="P135" s="39" t="inlineStr">
        <is>
          <t>Windy</t>
        </is>
      </c>
      <c r="Q135" s="13" t="n">
        <v>320</v>
      </c>
      <c r="R135" s="13" t="n">
        <v>820.59</v>
      </c>
      <c r="S135" s="13" t="n">
        <v>118.38</v>
      </c>
      <c r="T135" s="13" t="n">
        <v>8635.48</v>
      </c>
      <c r="U135" s="13" t="n">
        <v>802.71</v>
      </c>
      <c r="V135" s="13" t="n">
        <v>235.33</v>
      </c>
      <c r="W135" s="13" t="n">
        <v>2239.64</v>
      </c>
      <c r="X135" s="13" t="n">
        <v>2910.8</v>
      </c>
      <c r="Y135" s="13" t="n">
        <v>2459.81</v>
      </c>
      <c r="Z135" s="19" t="n"/>
      <c r="AA135" s="18" t="n"/>
      <c r="AB135" s="38" t="n">
        <v>38.44</v>
      </c>
      <c r="AC135" s="14">
        <f>IFERROR(AVERAGEIFS($E$16:$E$736,$W$16:$W$736,"&gt;="&amp;W135-$C$5,$W$16:$W$736,"&lt;="&amp;W135+$C$5,$B$16:$B$736,B135,$A$16:$A$736,"&lt;&gt;"&amp;A135),"")</f>
        <v/>
      </c>
      <c r="AD135" s="14">
        <f>IF(AND(ISNUMBER(E135),ISNUMBER(AC135)),E135-AC135,"")</f>
        <v/>
      </c>
    </row>
    <row r="136">
      <c r="A136" s="17" t="n">
        <v>46173</v>
      </c>
      <c r="B136" s="29">
        <f>MONTH(A136)</f>
        <v/>
      </c>
      <c r="C136" s="29">
        <f>IF(AND(ISNUMBER(W136),ISNUMBER($C$4),ABS(W136-$C$4)&lt;=$C$5,ABS(MOD(B136-$C$6+6,12)-6)&lt;=$C$7,OR($C$8="Any",P136=$C$8)),1,0)</f>
        <v/>
      </c>
      <c r="D136" s="29">
        <f>IF(C136=1,COUNTIF($C$16:C136,1),"")</f>
        <v/>
      </c>
      <c r="E136" s="18" t="n">
        <v>0</v>
      </c>
      <c r="F136" s="18" t="n">
        <v>0</v>
      </c>
      <c r="G136" s="18" t="n">
        <v>0</v>
      </c>
      <c r="H136" s="38" t="n">
        <v>12.03</v>
      </c>
      <c r="I136" s="38" t="n">
        <v>7.96</v>
      </c>
      <c r="J136" s="13" t="n">
        <v>10267</v>
      </c>
      <c r="K136" s="13" t="n">
        <v>9967.25</v>
      </c>
      <c r="L136" s="13" t="n">
        <v>2896.62</v>
      </c>
      <c r="M136" s="13" t="n">
        <v>2997.04</v>
      </c>
      <c r="N136" s="13" t="n">
        <v>4437</v>
      </c>
      <c r="O136" s="38" t="n">
        <v>67.55</v>
      </c>
      <c r="P136" s="39" t="inlineStr">
        <is>
          <t>Windy</t>
        </is>
      </c>
      <c r="Q136" s="13" t="n">
        <v>272</v>
      </c>
      <c r="R136" s="13" t="n">
        <v>828.05</v>
      </c>
      <c r="S136" s="13" t="n">
        <v>92.70999999999999</v>
      </c>
      <c r="T136" s="13" t="n">
        <v>8624.559999999999</v>
      </c>
      <c r="U136" s="13" t="n">
        <v>805.6900000000001</v>
      </c>
      <c r="V136" s="13" t="n">
        <v>128.56</v>
      </c>
      <c r="W136" s="13" t="n">
        <v>2153.84</v>
      </c>
      <c r="X136" s="13" t="n">
        <v>2812.72</v>
      </c>
      <c r="Y136" s="13" t="n">
        <v>2332.08</v>
      </c>
      <c r="Z136" s="19" t="n"/>
      <c r="AA136" s="18" t="n"/>
      <c r="AB136" s="38" t="n">
        <v>36.46</v>
      </c>
      <c r="AC136" s="14">
        <f>IFERROR(AVERAGEIFS($E$16:$E$736,$W$16:$W$736,"&gt;="&amp;W136-$C$5,$W$16:$W$736,"&lt;="&amp;W136+$C$5,$B$16:$B$736,B136,$A$16:$A$736,"&lt;&gt;"&amp;A136),"")</f>
        <v/>
      </c>
      <c r="AD136" s="14">
        <f>IF(AND(ISNUMBER(E136),ISNUMBER(AC136)),E136-AC136,"")</f>
        <v/>
      </c>
    </row>
    <row r="137">
      <c r="A137" s="17" t="n">
        <v>46172</v>
      </c>
      <c r="B137" s="29">
        <f>MONTH(A137)</f>
        <v/>
      </c>
      <c r="C137" s="29">
        <f>IF(AND(ISNUMBER(W137),ISNUMBER($C$4),ABS(W137-$C$4)&lt;=$C$5,ABS(MOD(B137-$C$6+6,12)-6)&lt;=$C$7,OR($C$8="Any",P137=$C$8)),1,0)</f>
        <v/>
      </c>
      <c r="D137" s="29">
        <f>IF(C137=1,COUNTIF($C$16:C137,1),"")</f>
        <v/>
      </c>
      <c r="E137" s="18" t="n">
        <v>7.36</v>
      </c>
      <c r="F137" s="18" t="n">
        <v>5.32</v>
      </c>
      <c r="G137" s="18" t="n">
        <v>11.45</v>
      </c>
      <c r="H137" s="38" t="n">
        <v>17.03</v>
      </c>
      <c r="I137" s="38" t="n">
        <v>14.87</v>
      </c>
      <c r="J137" s="13" t="n">
        <v>10066</v>
      </c>
      <c r="K137" s="13" t="n">
        <v>9884.75</v>
      </c>
      <c r="L137" s="13" t="n">
        <v>2636.56</v>
      </c>
      <c r="M137" s="13" t="n">
        <v>2632.12</v>
      </c>
      <c r="N137" s="13" t="n">
        <v>4437</v>
      </c>
      <c r="O137" s="38" t="n">
        <v>59.32</v>
      </c>
      <c r="P137" s="39" t="inlineStr">
        <is>
          <t>Windy</t>
        </is>
      </c>
      <c r="Q137" s="13" t="n">
        <v>1231</v>
      </c>
      <c r="R137" s="13" t="n">
        <v>832.46</v>
      </c>
      <c r="S137" s="13" t="n">
        <v>208.33</v>
      </c>
      <c r="T137" s="13" t="n">
        <v>8201.559999999999</v>
      </c>
      <c r="U137" s="13" t="n">
        <v>793.39</v>
      </c>
      <c r="V137" s="13" t="n">
        <v>403.18</v>
      </c>
      <c r="W137" s="13" t="n">
        <v>2375.59</v>
      </c>
      <c r="X137" s="13" t="n">
        <v>2819.67</v>
      </c>
      <c r="Y137" s="13" t="n">
        <v>2595.24</v>
      </c>
      <c r="Z137" s="19" t="n"/>
      <c r="AA137" s="18" t="n"/>
      <c r="AB137" s="38" t="n">
        <v>21.79</v>
      </c>
      <c r="AC137" s="14">
        <f>IFERROR(AVERAGEIFS($E$16:$E$736,$W$16:$W$736,"&gt;="&amp;W137-$C$5,$W$16:$W$736,"&lt;="&amp;W137+$C$5,$B$16:$B$736,B137,$A$16:$A$736,"&lt;&gt;"&amp;A137),"")</f>
        <v/>
      </c>
      <c r="AD137" s="14">
        <f>IF(AND(ISNUMBER(E137),ISNUMBER(AC137)),E137-AC137,"")</f>
        <v/>
      </c>
    </row>
    <row r="138">
      <c r="A138" s="17" t="n">
        <v>46171</v>
      </c>
      <c r="B138" s="29">
        <f>MONTH(A138)</f>
        <v/>
      </c>
      <c r="C138" s="29">
        <f>IF(AND(ISNUMBER(W138),ISNUMBER($C$4),ABS(W138-$C$4)&lt;=$C$5,ABS(MOD(B138-$C$6+6,12)-6)&lt;=$C$7,OR($C$8="Any",P138=$C$8)),1,0)</f>
        <v/>
      </c>
      <c r="D138" s="29">
        <f>IF(C138=1,COUNTIF($C$16:C138,1),"")</f>
        <v/>
      </c>
      <c r="E138" s="18" t="n">
        <v>26.31</v>
      </c>
      <c r="F138" s="18" t="n">
        <v>31.48</v>
      </c>
      <c r="G138" s="18" t="n">
        <v>15.99</v>
      </c>
      <c r="H138" s="38" t="n">
        <v>27.33</v>
      </c>
      <c r="I138" s="38" t="n">
        <v>21.69</v>
      </c>
      <c r="J138" s="13" t="n">
        <v>11485</v>
      </c>
      <c r="K138" s="13" t="n">
        <v>10892.44</v>
      </c>
      <c r="L138" s="13" t="n">
        <v>2156.25</v>
      </c>
      <c r="M138" s="13" t="n">
        <v>2056.04</v>
      </c>
      <c r="N138" s="13" t="n">
        <v>4437</v>
      </c>
      <c r="O138" s="38" t="n">
        <v>46.34</v>
      </c>
      <c r="P138" s="39" t="inlineStr">
        <is>
          <t>Windy</t>
        </is>
      </c>
      <c r="Q138" s="13" t="n">
        <v>1489</v>
      </c>
      <c r="R138" s="13" t="n">
        <v>806.59</v>
      </c>
      <c r="S138" s="13" t="n">
        <v>562.5</v>
      </c>
      <c r="T138" s="13" t="n">
        <v>7751.2</v>
      </c>
      <c r="U138" s="13" t="n">
        <v>743.77</v>
      </c>
      <c r="V138" s="13" t="n">
        <v>465.27</v>
      </c>
      <c r="W138" s="13" t="n">
        <v>811.25</v>
      </c>
      <c r="X138" s="13" t="n">
        <v>1318.01</v>
      </c>
      <c r="Y138" s="13" t="n">
        <v>952.4400000000001</v>
      </c>
      <c r="Z138" s="19" t="n"/>
      <c r="AA138" s="18" t="n"/>
      <c r="AB138" s="38" t="n">
        <v>21.58</v>
      </c>
      <c r="AC138" s="14">
        <f>IFERROR(AVERAGEIFS($E$16:$E$736,$W$16:$W$736,"&gt;="&amp;W138-$C$5,$W$16:$W$736,"&lt;="&amp;W138+$C$5,$B$16:$B$736,B138,$A$16:$A$736,"&lt;&gt;"&amp;A138),"")</f>
        <v/>
      </c>
      <c r="AD138" s="14">
        <f>IF(AND(ISNUMBER(E138),ISNUMBER(AC138)),E138-AC138,"")</f>
        <v/>
      </c>
    </row>
    <row r="139">
      <c r="A139" s="17" t="n">
        <v>46170</v>
      </c>
      <c r="B139" s="29">
        <f>MONTH(A139)</f>
        <v/>
      </c>
      <c r="C139" s="29">
        <f>IF(AND(ISNUMBER(W139),ISNUMBER($C$4),ABS(W139-$C$4)&lt;=$C$5,ABS(MOD(B139-$C$6+6,12)-6)&lt;=$C$7,OR($C$8="Any",P139=$C$8)),1,0)</f>
        <v/>
      </c>
      <c r="D139" s="29">
        <f>IF(C139=1,COUNTIF($C$16:C139,1),"")</f>
        <v/>
      </c>
      <c r="E139" s="18" t="n">
        <v>383.96</v>
      </c>
      <c r="F139" s="18" t="n">
        <v>534.04</v>
      </c>
      <c r="G139" s="18" t="n">
        <v>83.8</v>
      </c>
      <c r="H139" s="38" t="n">
        <v>27.53</v>
      </c>
      <c r="I139" s="38" t="n">
        <v>21.07</v>
      </c>
      <c r="J139" s="13" t="n">
        <v>11249</v>
      </c>
      <c r="K139" s="13" t="n">
        <v>10838.44</v>
      </c>
      <c r="L139" s="13" t="n">
        <v>493.25</v>
      </c>
      <c r="M139" s="13" t="n">
        <v>593.83</v>
      </c>
      <c r="N139" s="13" t="n">
        <v>4437</v>
      </c>
      <c r="O139" s="38" t="n">
        <v>13.38</v>
      </c>
      <c r="P139" s="39" t="inlineStr">
        <is>
          <t>Calm</t>
        </is>
      </c>
      <c r="Q139" s="13" t="n">
        <v>1580</v>
      </c>
      <c r="R139" s="13" t="n">
        <v>798.5599999999999</v>
      </c>
      <c r="S139" s="13" t="n">
        <v>578.46</v>
      </c>
      <c r="T139" s="13" t="n">
        <v>8244.09</v>
      </c>
      <c r="U139" s="13" t="n">
        <v>737.24</v>
      </c>
      <c r="V139" s="13" t="n">
        <v>91.51000000000001</v>
      </c>
      <c r="W139" s="13" t="n">
        <v>-677.02</v>
      </c>
      <c r="X139" s="13" t="n">
        <v>324.17</v>
      </c>
      <c r="Y139" s="13" t="n">
        <v>-343.94</v>
      </c>
      <c r="Z139" s="19" t="n"/>
      <c r="AA139" s="18" t="n"/>
      <c r="AB139" s="38" t="n">
        <v>11.79</v>
      </c>
      <c r="AC139" s="14">
        <f>IFERROR(AVERAGEIFS($E$16:$E$736,$W$16:$W$736,"&gt;="&amp;W139-$C$5,$W$16:$W$736,"&lt;="&amp;W139+$C$5,$B$16:$B$736,B139,$A$16:$A$736,"&lt;&gt;"&amp;A139),"")</f>
        <v/>
      </c>
      <c r="AD139" s="14">
        <f>IF(AND(ISNUMBER(E139),ISNUMBER(AC139)),E139-AC139,"")</f>
        <v/>
      </c>
    </row>
    <row r="140">
      <c r="A140" s="17" t="n">
        <v>46169</v>
      </c>
      <c r="B140" s="29">
        <f>MONTH(A140)</f>
        <v/>
      </c>
      <c r="C140" s="29">
        <f>IF(AND(ISNUMBER(W140),ISNUMBER($C$4),ABS(W140-$C$4)&lt;=$C$5,ABS(MOD(B140-$C$6+6,12)-6)&lt;=$C$7,OR($C$8="Any",P140=$C$8)),1,0)</f>
        <v/>
      </c>
      <c r="D140" s="29">
        <f>IF(C140=1,COUNTIF($C$16:C140,1),"")</f>
        <v/>
      </c>
      <c r="E140" s="18" t="n">
        <v>269.5</v>
      </c>
      <c r="F140" s="18" t="n">
        <v>361.12</v>
      </c>
      <c r="G140" s="18" t="n">
        <v>86.25</v>
      </c>
      <c r="H140" s="38" t="n">
        <v>25.77</v>
      </c>
      <c r="I140" s="38" t="n">
        <v>20.07</v>
      </c>
      <c r="J140" s="13" t="n">
        <v>11117</v>
      </c>
      <c r="K140" s="13" t="n">
        <v>10724</v>
      </c>
      <c r="L140" s="13" t="n">
        <v>652.1900000000001</v>
      </c>
      <c r="M140" s="13" t="n">
        <v>1099.75</v>
      </c>
      <c r="N140" s="13" t="n">
        <v>4437</v>
      </c>
      <c r="O140" s="38" t="n">
        <v>24.79</v>
      </c>
      <c r="P140" s="39" t="inlineStr">
        <is>
          <t>Windy</t>
        </is>
      </c>
      <c r="Q140" s="13" t="n">
        <v>1531</v>
      </c>
      <c r="R140" s="13" t="n">
        <v>796.21</v>
      </c>
      <c r="S140" s="13" t="n">
        <v>427.83</v>
      </c>
      <c r="T140" s="13" t="n">
        <v>8399.25</v>
      </c>
      <c r="U140" s="13" t="n">
        <v>733.38</v>
      </c>
      <c r="V140" s="13" t="n">
        <v>59.07</v>
      </c>
      <c r="W140" s="13" t="n">
        <v>-296.35</v>
      </c>
      <c r="X140" s="13" t="n">
        <v>754.83</v>
      </c>
      <c r="Y140" s="13" t="n">
        <v>-143.87</v>
      </c>
      <c r="Z140" s="19" t="n"/>
      <c r="AA140" s="18" t="n"/>
      <c r="AB140" s="38" t="n">
        <v>9.85</v>
      </c>
      <c r="AC140" s="14">
        <f>IFERROR(AVERAGEIFS($E$16:$E$736,$W$16:$W$736,"&gt;="&amp;W140-$C$5,$W$16:$W$736,"&lt;="&amp;W140+$C$5,$B$16:$B$736,B140,$A$16:$A$736,"&lt;&gt;"&amp;A140),"")</f>
        <v/>
      </c>
      <c r="AD140" s="14">
        <f>IF(AND(ISNUMBER(E140),ISNUMBER(AC140)),E140-AC140,"")</f>
        <v/>
      </c>
    </row>
    <row r="141">
      <c r="A141" s="17" t="n">
        <v>46168</v>
      </c>
      <c r="B141" s="29">
        <f>MONTH(A141)</f>
        <v/>
      </c>
      <c r="C141" s="29">
        <f>IF(AND(ISNUMBER(W141),ISNUMBER($C$4),ABS(W141-$C$4)&lt;=$C$5,ABS(MOD(B141-$C$6+6,12)-6)&lt;=$C$7,OR($C$8="Any",P141=$C$8)),1,0)</f>
        <v/>
      </c>
      <c r="D141" s="29">
        <f>IF(C141=1,COUNTIF($C$16:C141,1),"")</f>
        <v/>
      </c>
      <c r="E141" s="18" t="n">
        <v>21.85</v>
      </c>
      <c r="F141" s="18" t="n">
        <v>25.1</v>
      </c>
      <c r="G141" s="18" t="n">
        <v>15.36</v>
      </c>
      <c r="H141" s="38" t="n">
        <v>25.87</v>
      </c>
      <c r="I141" s="38" t="n">
        <v>19.54</v>
      </c>
      <c r="J141" s="13" t="n">
        <v>11080</v>
      </c>
      <c r="K141" s="13" t="n">
        <v>10637.19</v>
      </c>
      <c r="L141" s="13" t="n">
        <v>1892.69</v>
      </c>
      <c r="M141" s="13" t="n">
        <v>1873.67</v>
      </c>
      <c r="N141" s="13" t="n">
        <v>4437</v>
      </c>
      <c r="O141" s="38" t="n">
        <v>42.23</v>
      </c>
      <c r="P141" s="39" t="inlineStr">
        <is>
          <t>Windy</t>
        </is>
      </c>
      <c r="Q141" s="13" t="n">
        <v>1597</v>
      </c>
      <c r="R141" s="13" t="n">
        <v>793.59</v>
      </c>
      <c r="S141" s="13" t="n">
        <v>261.17</v>
      </c>
      <c r="T141" s="13" t="n">
        <v>8220.209999999999</v>
      </c>
      <c r="U141" s="13" t="n">
        <v>719.24</v>
      </c>
      <c r="V141" s="13" t="n">
        <v>363.31</v>
      </c>
      <c r="W141" s="13" t="n">
        <v>1117.01</v>
      </c>
      <c r="X141" s="13" t="n">
        <v>1622.46</v>
      </c>
      <c r="Y141" s="13" t="n">
        <v>1374.24</v>
      </c>
      <c r="Z141" s="19" t="n"/>
      <c r="AA141" s="18" t="n"/>
      <c r="AB141" s="38" t="n">
        <v>17.62</v>
      </c>
      <c r="AC141" s="14">
        <f>IFERROR(AVERAGEIFS($E$16:$E$736,$W$16:$W$736,"&gt;="&amp;W141-$C$5,$W$16:$W$736,"&lt;="&amp;W141+$C$5,$B$16:$B$736,B141,$A$16:$A$736,"&lt;&gt;"&amp;A141),"")</f>
        <v/>
      </c>
      <c r="AD141" s="14">
        <f>IF(AND(ISNUMBER(E141),ISNUMBER(AC141)),E141-AC141,"")</f>
        <v/>
      </c>
    </row>
    <row r="142">
      <c r="A142" s="17" t="n">
        <v>46167</v>
      </c>
      <c r="B142" s="29">
        <f>MONTH(A142)</f>
        <v/>
      </c>
      <c r="C142" s="29">
        <f>IF(AND(ISNUMBER(W142),ISNUMBER($C$4),ABS(W142-$C$4)&lt;=$C$5,ABS(MOD(B142-$C$6+6,12)-6)&lt;=$C$7,OR($C$8="Any",P142=$C$8)),1,0)</f>
        <v/>
      </c>
      <c r="D142" s="29">
        <f>IF(C142=1,COUNTIF($C$16:C142,1),"")</f>
        <v/>
      </c>
      <c r="E142" s="18" t="n">
        <v>145.74</v>
      </c>
      <c r="F142" s="18" t="n">
        <v>213.73</v>
      </c>
      <c r="G142" s="18" t="n">
        <v>9.76</v>
      </c>
      <c r="H142" s="38" t="n">
        <v>26.13</v>
      </c>
      <c r="I142" s="38" t="n">
        <v>18.67</v>
      </c>
      <c r="J142" s="13" t="n">
        <v>10731</v>
      </c>
      <c r="K142" s="13" t="n">
        <v>10316.19</v>
      </c>
      <c r="L142" s="13" t="n">
        <v>1276.56</v>
      </c>
      <c r="M142" s="13" t="n">
        <v>1549.67</v>
      </c>
      <c r="N142" s="13" t="n">
        <v>4437</v>
      </c>
      <c r="O142" s="38" t="n">
        <v>34.93</v>
      </c>
      <c r="P142" s="39" t="inlineStr">
        <is>
          <t>Windy</t>
        </is>
      </c>
      <c r="Q142" s="13" t="n">
        <v>1597</v>
      </c>
      <c r="R142" s="13" t="n">
        <v>797.8099999999999</v>
      </c>
      <c r="S142" s="13" t="n">
        <v>205.54</v>
      </c>
      <c r="T142" s="13" t="n">
        <v>8379.639999999999</v>
      </c>
      <c r="U142" s="13" t="n">
        <v>743.26</v>
      </c>
      <c r="V142" s="13" t="n">
        <v>121.37</v>
      </c>
      <c r="W142" s="13" t="n">
        <v>134.14</v>
      </c>
      <c r="X142" s="13" t="n">
        <v>1619.9</v>
      </c>
      <c r="Y142" s="13" t="n">
        <v>249.24</v>
      </c>
      <c r="Z142" s="19" t="n"/>
      <c r="AA142" s="18" t="n"/>
      <c r="AB142" s="38" t="n">
        <v>15.15</v>
      </c>
      <c r="AC142" s="14">
        <f>IFERROR(AVERAGEIFS($E$16:$E$736,$W$16:$W$736,"&gt;="&amp;W142-$C$5,$W$16:$W$736,"&lt;="&amp;W142+$C$5,$B$16:$B$736,B142,$A$16:$A$736,"&lt;&gt;"&amp;A142),"")</f>
        <v/>
      </c>
      <c r="AD142" s="14">
        <f>IF(AND(ISNUMBER(E142),ISNUMBER(AC142)),E142-AC142,"")</f>
        <v/>
      </c>
    </row>
    <row r="143">
      <c r="A143" s="17" t="n">
        <v>46166</v>
      </c>
      <c r="B143" s="29">
        <f>MONTH(A143)</f>
        <v/>
      </c>
      <c r="C143" s="29">
        <f>IF(AND(ISNUMBER(W143),ISNUMBER($C$4),ABS(W143-$C$4)&lt;=$C$5,ABS(MOD(B143-$C$6+6,12)-6)&lt;=$C$7,OR($C$8="Any",P143=$C$8)),1,0)</f>
        <v/>
      </c>
      <c r="D143" s="29">
        <f>IF(C143=1,COUNTIF($C$16:C143,1),"")</f>
        <v/>
      </c>
      <c r="E143" s="18" t="n">
        <v>15.55</v>
      </c>
      <c r="F143" s="18" t="n">
        <v>22.28</v>
      </c>
      <c r="G143" s="18" t="n">
        <v>2.1</v>
      </c>
      <c r="H143" s="38" t="n">
        <v>21.67</v>
      </c>
      <c r="I143" s="38" t="n">
        <v>15.92</v>
      </c>
      <c r="J143" s="13" t="n">
        <v>10080</v>
      </c>
      <c r="K143" s="13" t="n">
        <v>9698.379999999999</v>
      </c>
      <c r="L143" s="13" t="n">
        <v>1284.12</v>
      </c>
      <c r="M143" s="13" t="n">
        <v>1742.12</v>
      </c>
      <c r="N143" s="13" t="n">
        <v>4437</v>
      </c>
      <c r="O143" s="38" t="n">
        <v>39.26</v>
      </c>
      <c r="P143" s="39" t="inlineStr">
        <is>
          <t>Windy</t>
        </is>
      </c>
      <c r="Q143" s="13" t="n">
        <v>1739</v>
      </c>
      <c r="R143" s="13" t="n">
        <v>819.8</v>
      </c>
      <c r="S143" s="13" t="n">
        <v>243.08</v>
      </c>
      <c r="T143" s="13" t="n">
        <v>8119.82</v>
      </c>
      <c r="U143" s="13" t="n">
        <v>760.37</v>
      </c>
      <c r="V143" s="13" t="n">
        <v>110.41</v>
      </c>
      <c r="W143" s="13" t="n">
        <v>1446.97</v>
      </c>
      <c r="X143" s="13" t="n">
        <v>2013.39</v>
      </c>
      <c r="Y143" s="13" t="n">
        <v>1648.08</v>
      </c>
      <c r="Z143" s="19" t="n"/>
      <c r="AA143" s="18" t="n"/>
      <c r="AB143" s="38" t="n">
        <v>19.95</v>
      </c>
      <c r="AC143" s="14">
        <f>IFERROR(AVERAGEIFS($E$16:$E$736,$W$16:$W$736,"&gt;="&amp;W143-$C$5,$W$16:$W$736,"&lt;="&amp;W143+$C$5,$B$16:$B$736,B143,$A$16:$A$736,"&lt;&gt;"&amp;A143),"")</f>
        <v/>
      </c>
      <c r="AD143" s="14">
        <f>IF(AND(ISNUMBER(E143),ISNUMBER(AC143)),E143-AC143,"")</f>
        <v/>
      </c>
    </row>
    <row r="144">
      <c r="A144" s="17" t="n">
        <v>46165</v>
      </c>
      <c r="B144" s="29">
        <f>MONTH(A144)</f>
        <v/>
      </c>
      <c r="C144" s="29">
        <f>IF(AND(ISNUMBER(W144),ISNUMBER($C$4),ABS(W144-$C$4)&lt;=$C$5,ABS(MOD(B144-$C$6+6,12)-6)&lt;=$C$7,OR($C$8="Any",P144=$C$8)),1,0)</f>
        <v/>
      </c>
      <c r="D144" s="29">
        <f>IF(C144=1,COUNTIF($C$16:C144,1),"")</f>
        <v/>
      </c>
      <c r="E144" s="18" t="n">
        <v>13.82</v>
      </c>
      <c r="F144" s="18" t="n">
        <v>10.61</v>
      </c>
      <c r="G144" s="18" t="n">
        <v>20.25</v>
      </c>
      <c r="H144" s="38" t="n">
        <v>22.17</v>
      </c>
      <c r="I144" s="38" t="n">
        <v>15.76</v>
      </c>
      <c r="J144" s="13" t="n">
        <v>10230</v>
      </c>
      <c r="K144" s="13" t="n">
        <v>9879.690000000001</v>
      </c>
      <c r="L144" s="13" t="n">
        <v>1867.25</v>
      </c>
      <c r="M144" s="13" t="n">
        <v>1840.21</v>
      </c>
      <c r="N144" s="13" t="n">
        <v>4437</v>
      </c>
      <c r="O144" s="38" t="n">
        <v>41.47</v>
      </c>
      <c r="P144" s="39" t="inlineStr">
        <is>
          <t>Windy</t>
        </is>
      </c>
      <c r="Q144" s="13" t="n">
        <v>1698</v>
      </c>
      <c r="R144" s="13" t="n">
        <v>823.42</v>
      </c>
      <c r="S144" s="13" t="n">
        <v>194.33</v>
      </c>
      <c r="T144" s="13" t="n">
        <v>8086.16</v>
      </c>
      <c r="U144" s="13" t="n">
        <v>749.03</v>
      </c>
      <c r="V144" s="13" t="n">
        <v>73.45999999999999</v>
      </c>
      <c r="W144" s="13" t="n">
        <v>1702.89</v>
      </c>
      <c r="X144" s="13" t="n">
        <v>2285.87</v>
      </c>
      <c r="Y144" s="13" t="n">
        <v>1967.09</v>
      </c>
      <c r="Z144" s="19" t="n"/>
      <c r="AA144" s="18" t="n"/>
      <c r="AB144" s="38" t="n">
        <v>20.15</v>
      </c>
      <c r="AC144" s="14">
        <f>IFERROR(AVERAGEIFS($E$16:$E$736,$W$16:$W$736,"&gt;="&amp;W144-$C$5,$W$16:$W$736,"&lt;="&amp;W144+$C$5,$B$16:$B$736,B144,$A$16:$A$736,"&lt;&gt;"&amp;A144),"")</f>
        <v/>
      </c>
      <c r="AD144" s="14">
        <f>IF(AND(ISNUMBER(E144),ISNUMBER(AC144)),E144-AC144,"")</f>
        <v/>
      </c>
    </row>
    <row r="145">
      <c r="A145" s="17" t="n">
        <v>46164</v>
      </c>
      <c r="B145" s="29">
        <f>MONTH(A145)</f>
        <v/>
      </c>
      <c r="C145" s="29">
        <f>IF(AND(ISNUMBER(W145),ISNUMBER($C$4),ABS(W145-$C$4)&lt;=$C$5,ABS(MOD(B145-$C$6+6,12)-6)&lt;=$C$7,OR($C$8="Any",P145=$C$8)),1,0)</f>
        <v/>
      </c>
      <c r="D145" s="29">
        <f>IF(C145=1,COUNTIF($C$16:C145,1),"")</f>
        <v/>
      </c>
      <c r="E145" s="18" t="n">
        <v>27.1</v>
      </c>
      <c r="F145" s="18" t="n">
        <v>30.51</v>
      </c>
      <c r="G145" s="18" t="n">
        <v>20.27</v>
      </c>
      <c r="H145" s="38" t="n">
        <v>19.67</v>
      </c>
      <c r="I145" s="38" t="n">
        <v>13.21</v>
      </c>
      <c r="J145" s="13" t="n">
        <v>10438</v>
      </c>
      <c r="K145" s="13" t="n">
        <v>10173.38</v>
      </c>
      <c r="L145" s="13" t="n">
        <v>606.0599999999999</v>
      </c>
      <c r="M145" s="13" t="n">
        <v>787.58</v>
      </c>
      <c r="N145" s="13" t="n">
        <v>4437</v>
      </c>
      <c r="O145" s="38" t="n">
        <v>17.75</v>
      </c>
      <c r="P145" s="39" t="inlineStr">
        <is>
          <t>Windy</t>
        </is>
      </c>
      <c r="Q145" s="13" t="n">
        <v>1622</v>
      </c>
      <c r="R145" s="13" t="n">
        <v>812.3</v>
      </c>
      <c r="S145" s="13" t="n">
        <v>428.71</v>
      </c>
      <c r="T145" s="13" t="n">
        <v>8390.120000000001</v>
      </c>
      <c r="U145" s="13" t="n">
        <v>730.33</v>
      </c>
      <c r="V145" s="13" t="n">
        <v>441.78</v>
      </c>
      <c r="W145" s="13" t="n">
        <v>306.44</v>
      </c>
      <c r="X145" s="13" t="n">
        <v>1216.84</v>
      </c>
      <c r="Y145" s="13" t="n">
        <v>565.5</v>
      </c>
      <c r="Z145" s="19" t="n"/>
      <c r="AA145" s="18" t="n"/>
      <c r="AB145" s="38" t="n">
        <v>12.96</v>
      </c>
      <c r="AC145" s="14">
        <f>IFERROR(AVERAGEIFS($E$16:$E$736,$W$16:$W$736,"&gt;="&amp;W145-$C$5,$W$16:$W$736,"&lt;="&amp;W145+$C$5,$B$16:$B$736,B145,$A$16:$A$736,"&lt;&gt;"&amp;A145),"")</f>
        <v/>
      </c>
      <c r="AD145" s="14">
        <f>IF(AND(ISNUMBER(E145),ISNUMBER(AC145)),E145-AC145,"")</f>
        <v/>
      </c>
    </row>
    <row r="146">
      <c r="A146" s="17" t="n">
        <v>46163</v>
      </c>
      <c r="B146" s="29">
        <f>MONTH(A146)</f>
        <v/>
      </c>
      <c r="C146" s="29">
        <f>IF(AND(ISNUMBER(W146),ISNUMBER($C$4),ABS(W146-$C$4)&lt;=$C$5,ABS(MOD(B146-$C$6+6,12)-6)&lt;=$C$7,OR($C$8="Any",P146=$C$8)),1,0)</f>
        <v/>
      </c>
      <c r="D146" s="29">
        <f>IF(C146=1,COUNTIF($C$16:C146,1),"")</f>
        <v/>
      </c>
      <c r="E146" s="18" t="n">
        <v>27.5</v>
      </c>
      <c r="F146" s="18" t="n">
        <v>33.77</v>
      </c>
      <c r="G146" s="18" t="n">
        <v>14.95</v>
      </c>
      <c r="H146" s="38" t="n">
        <v>17.5</v>
      </c>
      <c r="I146" s="38" t="n">
        <v>10.95</v>
      </c>
      <c r="J146" s="13" t="n">
        <v>10266</v>
      </c>
      <c r="K146" s="13" t="n">
        <v>10017.94</v>
      </c>
      <c r="L146" s="13" t="n">
        <v>491.81</v>
      </c>
      <c r="M146" s="13" t="n">
        <v>867.79</v>
      </c>
      <c r="N146" s="13" t="n">
        <v>4437</v>
      </c>
      <c r="O146" s="38" t="n">
        <v>19.56</v>
      </c>
      <c r="P146" s="39" t="inlineStr">
        <is>
          <t>Windy</t>
        </is>
      </c>
      <c r="Q146" s="13" t="n">
        <v>1499</v>
      </c>
      <c r="R146" s="13" t="n">
        <v>784.52</v>
      </c>
      <c r="S146" s="13" t="n">
        <v>317.29</v>
      </c>
      <c r="T146" s="13" t="n">
        <v>8720.370000000001</v>
      </c>
      <c r="U146" s="13" t="n">
        <v>719.12</v>
      </c>
      <c r="V146" s="13" t="n">
        <v>65.19</v>
      </c>
      <c r="W146" s="13" t="n">
        <v>422.15</v>
      </c>
      <c r="X146" s="13" t="n">
        <v>1422.6</v>
      </c>
      <c r="Y146" s="13" t="n">
        <v>777.87</v>
      </c>
      <c r="Z146" s="19" t="n"/>
      <c r="AA146" s="18" t="n"/>
      <c r="AB146" s="38" t="n">
        <v>11.89</v>
      </c>
      <c r="AC146" s="14">
        <f>IFERROR(AVERAGEIFS($E$16:$E$736,$W$16:$W$736,"&gt;="&amp;W146-$C$5,$W$16:$W$736,"&lt;="&amp;W146+$C$5,$B$16:$B$736,B146,$A$16:$A$736,"&lt;&gt;"&amp;A146),"")</f>
        <v/>
      </c>
      <c r="AD146" s="14">
        <f>IF(AND(ISNUMBER(E146),ISNUMBER(AC146)),E146-AC146,"")</f>
        <v/>
      </c>
    </row>
    <row r="147">
      <c r="A147" s="17" t="n">
        <v>46162</v>
      </c>
      <c r="B147" s="29">
        <f>MONTH(A147)</f>
        <v/>
      </c>
      <c r="C147" s="29">
        <f>IF(AND(ISNUMBER(W147),ISNUMBER($C$4),ABS(W147-$C$4)&lt;=$C$5,ABS(MOD(B147-$C$6+6,12)-6)&lt;=$C$7,OR($C$8="Any",P147=$C$8)),1,0)</f>
        <v/>
      </c>
      <c r="D147" s="29">
        <f>IF(C147=1,COUNTIF($C$16:C147,1),"")</f>
        <v/>
      </c>
      <c r="E147" s="18" t="n">
        <v>24.29</v>
      </c>
      <c r="F147" s="18" t="n">
        <v>25.66</v>
      </c>
      <c r="G147" s="18" t="n">
        <v>21.55</v>
      </c>
      <c r="H147" s="38" t="n">
        <v>11.3</v>
      </c>
      <c r="I147" s="38" t="n">
        <v>8.17</v>
      </c>
      <c r="J147" s="13" t="n">
        <v>10466</v>
      </c>
      <c r="K147" s="13" t="n">
        <v>10211.44</v>
      </c>
      <c r="L147" s="13" t="n">
        <v>1373.69</v>
      </c>
      <c r="M147" s="13" t="n">
        <v>1378.67</v>
      </c>
      <c r="N147" s="13" t="n">
        <v>4437</v>
      </c>
      <c r="O147" s="38" t="n">
        <v>31.07</v>
      </c>
      <c r="P147" s="39" t="inlineStr">
        <is>
          <t>Windy</t>
        </is>
      </c>
      <c r="Q147" s="13" t="n">
        <v>1240</v>
      </c>
      <c r="R147" s="13" t="n">
        <v>723.63</v>
      </c>
      <c r="S147" s="13" t="n">
        <v>306.58</v>
      </c>
      <c r="T147" s="13" t="n">
        <v>8748.75</v>
      </c>
      <c r="U147" s="13" t="n">
        <v>765.5700000000001</v>
      </c>
      <c r="V147" s="13" t="n">
        <v>163.15</v>
      </c>
      <c r="W147" s="13" t="n">
        <v>1134.9</v>
      </c>
      <c r="X147" s="13" t="n">
        <v>1794.63</v>
      </c>
      <c r="Y147" s="13" t="n">
        <v>1220.71</v>
      </c>
      <c r="Z147" s="19" t="n"/>
      <c r="AA147" s="18" t="n"/>
      <c r="AB147" s="38" t="n">
        <v>19.76</v>
      </c>
      <c r="AC147" s="14">
        <f>IFERROR(AVERAGEIFS($E$16:$E$736,$W$16:$W$736,"&gt;="&amp;W147-$C$5,$W$16:$W$736,"&lt;="&amp;W147+$C$5,$B$16:$B$736,B147,$A$16:$A$736,"&lt;&gt;"&amp;A147),"")</f>
        <v/>
      </c>
      <c r="AD147" s="14">
        <f>IF(AND(ISNUMBER(E147),ISNUMBER(AC147)),E147-AC147,"")</f>
        <v/>
      </c>
    </row>
    <row r="148">
      <c r="A148" s="17" t="n">
        <v>46161</v>
      </c>
      <c r="B148" s="29">
        <f>MONTH(A148)</f>
        <v/>
      </c>
      <c r="C148" s="29">
        <f>IF(AND(ISNUMBER(W148),ISNUMBER($C$4),ABS(W148-$C$4)&lt;=$C$5,ABS(MOD(B148-$C$6+6,12)-6)&lt;=$C$7,OR($C$8="Any",P148=$C$8)),1,0)</f>
        <v/>
      </c>
      <c r="D148" s="29">
        <f>IF(C148=1,COUNTIF($C$16:C148,1),"")</f>
        <v/>
      </c>
      <c r="E148" s="18" t="n">
        <v>16.48</v>
      </c>
      <c r="F148" s="18" t="n">
        <v>19.04</v>
      </c>
      <c r="G148" s="18" t="n">
        <v>11.38</v>
      </c>
      <c r="H148" s="38" t="n">
        <v>15.67</v>
      </c>
      <c r="I148" s="38" t="n">
        <v>10.2</v>
      </c>
      <c r="J148" s="13" t="n">
        <v>10491</v>
      </c>
      <c r="K148" s="13" t="n">
        <v>10247.62</v>
      </c>
      <c r="L148" s="13" t="n">
        <v>1275.06</v>
      </c>
      <c r="M148" s="13" t="n">
        <v>1527.08</v>
      </c>
      <c r="N148" s="13" t="n">
        <v>4437</v>
      </c>
      <c r="O148" s="38" t="n">
        <v>34.42</v>
      </c>
      <c r="P148" s="39" t="inlineStr">
        <is>
          <t>Windy</t>
        </is>
      </c>
      <c r="Q148" s="13" t="n">
        <v>1650</v>
      </c>
      <c r="R148" s="13" t="n">
        <v>816.11</v>
      </c>
      <c r="S148" s="13" t="n">
        <v>308.29</v>
      </c>
      <c r="T148" s="13" t="n">
        <v>8952.200000000001</v>
      </c>
      <c r="U148" s="13" t="n">
        <v>711.64</v>
      </c>
      <c r="V148" s="13" t="n">
        <v>376.22</v>
      </c>
      <c r="W148" s="13" t="n">
        <v>1321.57</v>
      </c>
      <c r="X148" s="13" t="n">
        <v>2192.7</v>
      </c>
      <c r="Y148" s="13" t="n">
        <v>1607.77</v>
      </c>
      <c r="Z148" s="19" t="n"/>
      <c r="AA148" s="18" t="n"/>
      <c r="AB148" s="38" t="n">
        <v>18.38</v>
      </c>
      <c r="AC148" s="14">
        <f>IFERROR(AVERAGEIFS($E$16:$E$736,$W$16:$W$736,"&gt;="&amp;W148-$C$5,$W$16:$W$736,"&lt;="&amp;W148+$C$5,$B$16:$B$736,B148,$A$16:$A$736,"&lt;&gt;"&amp;A148),"")</f>
        <v/>
      </c>
      <c r="AD148" s="14">
        <f>IF(AND(ISNUMBER(E148),ISNUMBER(AC148)),E148-AC148,"")</f>
        <v/>
      </c>
    </row>
    <row r="149">
      <c r="A149" s="17" t="n">
        <v>46160</v>
      </c>
      <c r="B149" s="29">
        <f>MONTH(A149)</f>
        <v/>
      </c>
      <c r="C149" s="29">
        <f>IF(AND(ISNUMBER(W149),ISNUMBER($C$4),ABS(W149-$C$4)&lt;=$C$5,ABS(MOD(B149-$C$6+6,12)-6)&lt;=$C$7,OR($C$8="Any",P149=$C$8)),1,0)</f>
        <v/>
      </c>
      <c r="D149" s="29">
        <f>IF(C149=1,COUNTIF($C$16:C149,1),"")</f>
        <v/>
      </c>
      <c r="E149" s="18" t="n">
        <v>15.46</v>
      </c>
      <c r="F149" s="18" t="n">
        <v>13.74</v>
      </c>
      <c r="G149" s="18" t="n">
        <v>18.9</v>
      </c>
      <c r="H149" s="38" t="n">
        <v>12.87</v>
      </c>
      <c r="I149" s="38" t="n">
        <v>7.4</v>
      </c>
      <c r="J149" s="13" t="n">
        <v>9986</v>
      </c>
      <c r="K149" s="13" t="n">
        <v>9729.379999999999</v>
      </c>
      <c r="L149" s="13" t="n">
        <v>828.4400000000001</v>
      </c>
      <c r="M149" s="13" t="n">
        <v>872.25</v>
      </c>
      <c r="N149" s="13" t="n">
        <v>4437</v>
      </c>
      <c r="O149" s="38" t="n">
        <v>19.66</v>
      </c>
      <c r="P149" s="39" t="inlineStr">
        <is>
          <t>Windy</t>
        </is>
      </c>
      <c r="Q149" s="13" t="n">
        <v>1674</v>
      </c>
      <c r="R149" s="13" t="n">
        <v>830.78</v>
      </c>
      <c r="S149" s="13" t="n">
        <v>578.33</v>
      </c>
      <c r="T149" s="13" t="n">
        <v>9238.879999999999</v>
      </c>
      <c r="U149" s="13" t="n">
        <v>704.79</v>
      </c>
      <c r="V149" s="13" t="n">
        <v>490.95</v>
      </c>
      <c r="W149" s="13" t="n">
        <v>1945.95</v>
      </c>
      <c r="X149" s="13" t="n">
        <v>2765.43</v>
      </c>
      <c r="Y149" s="13" t="n">
        <v>2253.04</v>
      </c>
      <c r="Z149" s="19" t="n"/>
      <c r="AA149" s="18" t="n"/>
      <c r="AB149" s="38" t="n">
        <v>9.02</v>
      </c>
      <c r="AC149" s="14">
        <f>IFERROR(AVERAGEIFS($E$16:$E$736,$W$16:$W$736,"&gt;="&amp;W149-$C$5,$W$16:$W$736,"&lt;="&amp;W149+$C$5,$B$16:$B$736,B149,$A$16:$A$736,"&lt;&gt;"&amp;A149),"")</f>
        <v/>
      </c>
      <c r="AD149" s="14">
        <f>IF(AND(ISNUMBER(E149),ISNUMBER(AC149)),E149-AC149,"")</f>
        <v/>
      </c>
    </row>
    <row r="150">
      <c r="A150" s="17" t="n">
        <v>46159</v>
      </c>
      <c r="B150" s="29">
        <f>MONTH(A150)</f>
        <v/>
      </c>
      <c r="C150" s="29">
        <f>IF(AND(ISNUMBER(W150),ISNUMBER($C$4),ABS(W150-$C$4)&lt;=$C$5,ABS(MOD(B150-$C$6+6,12)-6)&lt;=$C$7,OR($C$8="Any",P150=$C$8)),1,0)</f>
        <v/>
      </c>
      <c r="D150" s="29">
        <f>IF(C150=1,COUNTIF($C$16:C150,1),"")</f>
        <v/>
      </c>
      <c r="E150" s="18" t="n">
        <v>9.279999999999999</v>
      </c>
      <c r="F150" s="18" t="n">
        <v>12.27</v>
      </c>
      <c r="G150" s="18" t="n">
        <v>3.31</v>
      </c>
      <c r="H150" s="38" t="n">
        <v>10.43</v>
      </c>
      <c r="I150" s="38" t="n">
        <v>5.55</v>
      </c>
      <c r="J150" s="13" t="n">
        <v>9877</v>
      </c>
      <c r="K150" s="13" t="n">
        <v>9727</v>
      </c>
      <c r="L150" s="13" t="n">
        <v>2067.19</v>
      </c>
      <c r="M150" s="13" t="n">
        <v>2224.38</v>
      </c>
      <c r="N150" s="13" t="n">
        <v>4437</v>
      </c>
      <c r="O150" s="38" t="n">
        <v>50.13</v>
      </c>
      <c r="P150" s="39" t="inlineStr">
        <is>
          <t>Windy</t>
        </is>
      </c>
      <c r="Q150" s="13" t="n">
        <v>946</v>
      </c>
      <c r="R150" s="13" t="n">
        <v>834.1799999999999</v>
      </c>
      <c r="S150" s="13" t="n">
        <v>196.62</v>
      </c>
      <c r="T150" s="13" t="n">
        <v>9101.41</v>
      </c>
      <c r="U150" s="13" t="n">
        <v>716.39</v>
      </c>
      <c r="V150" s="13" t="n">
        <v>253.69</v>
      </c>
      <c r="W150" s="13" t="n">
        <v>820.8099999999999</v>
      </c>
      <c r="X150" s="13" t="n">
        <v>3064.86</v>
      </c>
      <c r="Y150" s="13" t="n">
        <v>1119.06</v>
      </c>
      <c r="Z150" s="19" t="n"/>
      <c r="AA150" s="18" t="n"/>
      <c r="AB150" s="38" t="n">
        <v>15.01</v>
      </c>
      <c r="AC150" s="14">
        <f>IFERROR(AVERAGEIFS($E$16:$E$736,$W$16:$W$736,"&gt;="&amp;W150-$C$5,$W$16:$W$736,"&lt;="&amp;W150+$C$5,$B$16:$B$736,B150,$A$16:$A$736,"&lt;&gt;"&amp;A150),"")</f>
        <v/>
      </c>
      <c r="AD150" s="14">
        <f>IF(AND(ISNUMBER(E150),ISNUMBER(AC150)),E150-AC150,"")</f>
        <v/>
      </c>
    </row>
    <row r="151">
      <c r="A151" s="17" t="n">
        <v>46158</v>
      </c>
      <c r="B151" s="29">
        <f>MONTH(A151)</f>
        <v/>
      </c>
      <c r="C151" s="29">
        <f>IF(AND(ISNUMBER(W151),ISNUMBER($C$4),ABS(W151-$C$4)&lt;=$C$5,ABS(MOD(B151-$C$6+6,12)-6)&lt;=$C$7,OR($C$8="Any",P151=$C$8)),1,0)</f>
        <v/>
      </c>
      <c r="D151" s="29">
        <f>IF(C151=1,COUNTIF($C$16:C151,1),"")</f>
        <v/>
      </c>
      <c r="E151" s="18" t="n">
        <v>10.17</v>
      </c>
      <c r="F151" s="18" t="n">
        <v>8.51</v>
      </c>
      <c r="G151" s="18" t="n">
        <v>13.5</v>
      </c>
      <c r="H151" s="38" t="n">
        <v>8.029999999999999</v>
      </c>
      <c r="I151" s="38" t="n">
        <v>5.13</v>
      </c>
      <c r="J151" s="13" t="n">
        <v>10254</v>
      </c>
      <c r="K151" s="13" t="n">
        <v>10010.62</v>
      </c>
      <c r="L151" s="13" t="n">
        <v>2458.06</v>
      </c>
      <c r="M151" s="13" t="n">
        <v>2447</v>
      </c>
      <c r="N151" s="13" t="n">
        <v>4437</v>
      </c>
      <c r="O151" s="38" t="n">
        <v>55.15</v>
      </c>
      <c r="P151" s="39" t="inlineStr">
        <is>
          <t>Windy</t>
        </is>
      </c>
      <c r="Q151" s="13" t="n">
        <v>1303</v>
      </c>
      <c r="R151" s="13" t="n">
        <v>830.0700000000001</v>
      </c>
      <c r="S151" s="13" t="n">
        <v>188.83</v>
      </c>
      <c r="T151" s="13" t="n">
        <v>9234.379999999999</v>
      </c>
      <c r="U151" s="13" t="n">
        <v>801.6900000000001</v>
      </c>
      <c r="V151" s="13" t="n">
        <v>85.70999999999999</v>
      </c>
      <c r="W151" s="13" t="n">
        <v>3001.46</v>
      </c>
      <c r="X151" s="13" t="n">
        <v>3585.57</v>
      </c>
      <c r="Y151" s="13" t="n">
        <v>3242.83</v>
      </c>
      <c r="Z151" s="19" t="n"/>
      <c r="AA151" s="18" t="n"/>
      <c r="AB151" s="38" t="n">
        <v>20.02</v>
      </c>
      <c r="AC151" s="14">
        <f>IFERROR(AVERAGEIFS($E$16:$E$736,$W$16:$W$736,"&gt;="&amp;W151-$C$5,$W$16:$W$736,"&lt;="&amp;W151+$C$5,$B$16:$B$736,B151,$A$16:$A$736,"&lt;&gt;"&amp;A151),"")</f>
        <v/>
      </c>
      <c r="AD151" s="14">
        <f>IF(AND(ISNUMBER(E151),ISNUMBER(AC151)),E151-AC151,"")</f>
        <v/>
      </c>
    </row>
    <row r="152">
      <c r="A152" s="17" t="n">
        <v>46157</v>
      </c>
      <c r="B152" s="29">
        <f>MONTH(A152)</f>
        <v/>
      </c>
      <c r="C152" s="29">
        <f>IF(AND(ISNUMBER(W152),ISNUMBER($C$4),ABS(W152-$C$4)&lt;=$C$5,ABS(MOD(B152-$C$6+6,12)-6)&lt;=$C$7,OR($C$8="Any",P152=$C$8)),1,0)</f>
        <v/>
      </c>
      <c r="D152" s="29">
        <f>IF(C152=1,COUNTIF($C$16:C152,1),"")</f>
        <v/>
      </c>
      <c r="E152" s="18" t="n">
        <v>5.67</v>
      </c>
      <c r="F152" s="18" t="n">
        <v>7.05</v>
      </c>
      <c r="G152" s="18" t="n">
        <v>2.92</v>
      </c>
      <c r="H152" s="38" t="n">
        <v>13.57</v>
      </c>
      <c r="I152" s="38" t="n">
        <v>9.539999999999999</v>
      </c>
      <c r="J152" s="13" t="n">
        <v>10564</v>
      </c>
      <c r="K152" s="13" t="n">
        <v>10277.69</v>
      </c>
      <c r="L152" s="13" t="n">
        <v>2193.06</v>
      </c>
      <c r="M152" s="13" t="n">
        <v>2357.92</v>
      </c>
      <c r="N152" s="13" t="n">
        <v>4437</v>
      </c>
      <c r="O152" s="38" t="n">
        <v>53.14</v>
      </c>
      <c r="P152" s="39" t="inlineStr">
        <is>
          <t>Windy</t>
        </is>
      </c>
      <c r="Q152" s="13" t="n">
        <v>1270</v>
      </c>
      <c r="R152" s="13" t="n">
        <v>829.02</v>
      </c>
      <c r="S152" s="13" t="n">
        <v>104.46</v>
      </c>
      <c r="T152" s="13" t="n">
        <v>8858.93</v>
      </c>
      <c r="U152" s="13" t="n">
        <v>789.08</v>
      </c>
      <c r="V152" s="13" t="n">
        <v>433.49</v>
      </c>
      <c r="W152" s="13" t="n">
        <v>1879.42</v>
      </c>
      <c r="X152" s="13" t="n">
        <v>2632.62</v>
      </c>
      <c r="Y152" s="13" t="n">
        <v>2121.62</v>
      </c>
      <c r="Z152" s="19" t="n"/>
      <c r="AA152" s="18" t="n"/>
      <c r="AB152" s="38" t="n">
        <v>23.93</v>
      </c>
      <c r="AC152" s="14">
        <f>IFERROR(AVERAGEIFS($E$16:$E$736,$W$16:$W$736,"&gt;="&amp;W152-$C$5,$W$16:$W$736,"&lt;="&amp;W152+$C$5,$B$16:$B$736,B152,$A$16:$A$736,"&lt;&gt;"&amp;A152),"")</f>
        <v/>
      </c>
      <c r="AD152" s="14">
        <f>IF(AND(ISNUMBER(E152),ISNUMBER(AC152)),E152-AC152,"")</f>
        <v/>
      </c>
    </row>
    <row r="153">
      <c r="A153" s="17" t="n">
        <v>46156</v>
      </c>
      <c r="B153" s="29">
        <f>MONTH(A153)</f>
        <v/>
      </c>
      <c r="C153" s="29">
        <f>IF(AND(ISNUMBER(W153),ISNUMBER($C$4),ABS(W153-$C$4)&lt;=$C$5,ABS(MOD(B153-$C$6+6,12)-6)&lt;=$C$7,OR($C$8="Any",P153=$C$8)),1,0)</f>
        <v/>
      </c>
      <c r="D153" s="29">
        <f>IF(C153=1,COUNTIF($C$16:C153,1),"")</f>
        <v/>
      </c>
      <c r="E153" s="18" t="n">
        <v>0</v>
      </c>
      <c r="F153" s="18" t="n">
        <v>0</v>
      </c>
      <c r="G153" s="18" t="n">
        <v>0</v>
      </c>
      <c r="H153" s="38" t="n">
        <v>14.83</v>
      </c>
      <c r="I153" s="38" t="n">
        <v>12.01</v>
      </c>
      <c r="J153" s="13" t="n">
        <v>10645</v>
      </c>
      <c r="K153" s="13" t="n">
        <v>10431.69</v>
      </c>
      <c r="L153" s="13" t="n">
        <v>2577.94</v>
      </c>
      <c r="M153" s="13" t="n">
        <v>2693.71</v>
      </c>
      <c r="N153" s="13" t="n">
        <v>4437</v>
      </c>
      <c r="O153" s="38" t="n">
        <v>60.71</v>
      </c>
      <c r="P153" s="39" t="inlineStr">
        <is>
          <t>Windy</t>
        </is>
      </c>
      <c r="Q153" s="13" t="n">
        <v>1104</v>
      </c>
      <c r="R153" s="13" t="n">
        <v>835.15</v>
      </c>
      <c r="S153" s="13" t="n">
        <v>-5.46</v>
      </c>
      <c r="T153" s="13" t="n">
        <v>8573.940000000001</v>
      </c>
      <c r="U153" s="13" t="n">
        <v>786.67</v>
      </c>
      <c r="V153" s="13" t="n">
        <v>189.35</v>
      </c>
      <c r="W153" s="13" t="n">
        <v>1807.45</v>
      </c>
      <c r="X153" s="13" t="n">
        <v>2319.1</v>
      </c>
      <c r="Y153" s="13" t="n">
        <v>2019.6</v>
      </c>
      <c r="Z153" s="19" t="n"/>
      <c r="AA153" s="18" t="n"/>
      <c r="AB153" s="38" t="n">
        <v>45.3</v>
      </c>
      <c r="AC153" s="14">
        <f>IFERROR(AVERAGEIFS($E$16:$E$736,$W$16:$W$736,"&gt;="&amp;W153-$C$5,$W$16:$W$736,"&lt;="&amp;W153+$C$5,$B$16:$B$736,B153,$A$16:$A$736,"&lt;&gt;"&amp;A153),"")</f>
        <v/>
      </c>
      <c r="AD153" s="14">
        <f>IF(AND(ISNUMBER(E153),ISNUMBER(AC153)),E153-AC153,"")</f>
        <v/>
      </c>
    </row>
    <row r="154">
      <c r="A154" s="17" t="n">
        <v>46155</v>
      </c>
      <c r="B154" s="29">
        <f>MONTH(A154)</f>
        <v/>
      </c>
      <c r="C154" s="29">
        <f>IF(AND(ISNUMBER(W154),ISNUMBER($C$4),ABS(W154-$C$4)&lt;=$C$5,ABS(MOD(B154-$C$6+6,12)-6)&lt;=$C$7,OR($C$8="Any",P154=$C$8)),1,0)</f>
        <v/>
      </c>
      <c r="D154" s="29">
        <f>IF(C154=1,COUNTIF($C$16:C154,1),"")</f>
        <v/>
      </c>
      <c r="E154" s="18" t="n">
        <v>16.4</v>
      </c>
      <c r="F154" s="18" t="n">
        <v>24.51</v>
      </c>
      <c r="G154" s="18" t="n">
        <v>0.19</v>
      </c>
      <c r="H154" s="38" t="n">
        <v>20.77</v>
      </c>
      <c r="I154" s="38" t="n">
        <v>15.28</v>
      </c>
      <c r="J154" s="13" t="n">
        <v>10701</v>
      </c>
      <c r="K154" s="13" t="n">
        <v>10404.25</v>
      </c>
      <c r="L154" s="13" t="n">
        <v>2404</v>
      </c>
      <c r="M154" s="13" t="n">
        <v>2404.75</v>
      </c>
      <c r="N154" s="13" t="n">
        <v>4437</v>
      </c>
      <c r="O154" s="38" t="n">
        <v>54.2</v>
      </c>
      <c r="P154" s="39" t="inlineStr">
        <is>
          <t>Windy</t>
        </is>
      </c>
      <c r="Q154" s="13" t="n">
        <v>745</v>
      </c>
      <c r="R154" s="13" t="n">
        <v>807.59</v>
      </c>
      <c r="S154" s="13" t="n">
        <v>37.33</v>
      </c>
      <c r="T154" s="13" t="n">
        <v>8338.549999999999</v>
      </c>
      <c r="U154" s="13" t="n">
        <v>688.1900000000001</v>
      </c>
      <c r="V154" s="13" t="n">
        <v>240.71</v>
      </c>
      <c r="W154" s="13" t="n">
        <v>1270.74</v>
      </c>
      <c r="X154" s="13" t="n">
        <v>1664.19</v>
      </c>
      <c r="Y154" s="13" t="n">
        <v>1550.48</v>
      </c>
      <c r="Z154" s="19" t="n"/>
      <c r="AA154" s="18" t="n"/>
      <c r="AB154" s="38" t="n">
        <v>19.06</v>
      </c>
      <c r="AC154" s="14">
        <f>IFERROR(AVERAGEIFS($E$16:$E$736,$W$16:$W$736,"&gt;="&amp;W154-$C$5,$W$16:$W$736,"&lt;="&amp;W154+$C$5,$B$16:$B$736,B154,$A$16:$A$736,"&lt;&gt;"&amp;A154),"")</f>
        <v/>
      </c>
      <c r="AD154" s="14">
        <f>IF(AND(ISNUMBER(E154),ISNUMBER(AC154)),E154-AC154,"")</f>
        <v/>
      </c>
    </row>
    <row r="155">
      <c r="A155" s="17" t="n">
        <v>46154</v>
      </c>
      <c r="B155" s="29">
        <f>MONTH(A155)</f>
        <v/>
      </c>
      <c r="C155" s="29">
        <f>IF(AND(ISNUMBER(W155),ISNUMBER($C$4),ABS(W155-$C$4)&lt;=$C$5,ABS(MOD(B155-$C$6+6,12)-6)&lt;=$C$7,OR($C$8="Any",P155=$C$8)),1,0)</f>
        <v/>
      </c>
      <c r="D155" s="29">
        <f>IF(C155=1,COUNTIF($C$16:C155,1),"")</f>
        <v/>
      </c>
      <c r="E155" s="18" t="n">
        <v>28.98</v>
      </c>
      <c r="F155" s="18" t="n">
        <v>28.08</v>
      </c>
      <c r="G155" s="18" t="n">
        <v>30.78</v>
      </c>
      <c r="H155" s="38" t="n">
        <v>22.9</v>
      </c>
      <c r="I155" s="38" t="n">
        <v>14.8</v>
      </c>
      <c r="J155" s="13" t="n">
        <v>10463</v>
      </c>
      <c r="K155" s="13" t="n">
        <v>10243.12</v>
      </c>
      <c r="L155" s="13" t="n">
        <v>1052.06</v>
      </c>
      <c r="M155" s="13" t="n">
        <v>909.71</v>
      </c>
      <c r="N155" s="13" t="n">
        <v>4437</v>
      </c>
      <c r="O155" s="38" t="n">
        <v>20.5</v>
      </c>
      <c r="P155" s="39" t="inlineStr">
        <is>
          <t>Windy</t>
        </is>
      </c>
      <c r="Q155" s="13" t="n">
        <v>1754</v>
      </c>
      <c r="R155" s="13" t="n">
        <v>805.5</v>
      </c>
      <c r="S155" s="13" t="n">
        <v>318.17</v>
      </c>
      <c r="T155" s="13" t="n">
        <v>8353.879999999999</v>
      </c>
      <c r="U155" s="13" t="n">
        <v>767.6</v>
      </c>
      <c r="V155" s="13" t="n">
        <v>73.68000000000001</v>
      </c>
      <c r="W155" s="13" t="n">
        <v>607.87</v>
      </c>
      <c r="X155" s="13" t="n">
        <v>1420.13</v>
      </c>
      <c r="Y155" s="13" t="n">
        <v>808.8</v>
      </c>
      <c r="Z155" s="19" t="n"/>
      <c r="AA155" s="18" t="n"/>
      <c r="AB155" s="38" t="n">
        <v>10.52</v>
      </c>
      <c r="AC155" s="14">
        <f>IFERROR(AVERAGEIFS($E$16:$E$736,$W$16:$W$736,"&gt;="&amp;W155-$C$5,$W$16:$W$736,"&lt;="&amp;W155+$C$5,$B$16:$B$736,B155,$A$16:$A$736,"&lt;&gt;"&amp;A155),"")</f>
        <v/>
      </c>
      <c r="AD155" s="14">
        <f>IF(AND(ISNUMBER(E155),ISNUMBER(AC155)),E155-AC155,"")</f>
        <v/>
      </c>
    </row>
    <row r="156">
      <c r="A156" s="17" t="n">
        <v>46153</v>
      </c>
      <c r="B156" s="29">
        <f>MONTH(A156)</f>
        <v/>
      </c>
      <c r="C156" s="29">
        <f>IF(AND(ISNUMBER(W156),ISNUMBER($C$4),ABS(W156-$C$4)&lt;=$C$5,ABS(MOD(B156-$C$6+6,12)-6)&lt;=$C$7,OR($C$8="Any",P156=$C$8)),1,0)</f>
        <v/>
      </c>
      <c r="D156" s="29">
        <f>IF(C156=1,COUNTIF($C$16:C156,1),"")</f>
        <v/>
      </c>
      <c r="E156" s="18" t="n">
        <v>6.39</v>
      </c>
      <c r="F156" s="18" t="n">
        <v>7.46</v>
      </c>
      <c r="G156" s="18" t="n">
        <v>4.24</v>
      </c>
      <c r="H156" s="38" t="n">
        <v>18.13</v>
      </c>
      <c r="I156" s="38" t="n">
        <v>13.97</v>
      </c>
      <c r="J156" s="13" t="n">
        <v>10550</v>
      </c>
      <c r="K156" s="13" t="n">
        <v>10266.44</v>
      </c>
      <c r="L156" s="13" t="n">
        <v>1870.81</v>
      </c>
      <c r="M156" s="13" t="n">
        <v>2162.21</v>
      </c>
      <c r="N156" s="13" t="n">
        <v>4437</v>
      </c>
      <c r="O156" s="38" t="n">
        <v>48.73</v>
      </c>
      <c r="P156" s="39" t="inlineStr">
        <is>
          <t>Windy</t>
        </is>
      </c>
      <c r="Q156" s="13" t="n">
        <v>1364</v>
      </c>
      <c r="R156" s="13" t="n">
        <v>825.51</v>
      </c>
      <c r="S156" s="13" t="n">
        <v>23.12</v>
      </c>
      <c r="T156" s="13" t="n">
        <v>8300.1</v>
      </c>
      <c r="U156" s="13" t="n">
        <v>695.16</v>
      </c>
      <c r="V156" s="13" t="n">
        <v>499.54</v>
      </c>
      <c r="W156" s="13" t="n">
        <v>524.54</v>
      </c>
      <c r="X156" s="13" t="n">
        <v>1657.91</v>
      </c>
      <c r="Y156" s="13" t="n">
        <v>744.85</v>
      </c>
      <c r="Z156" s="19" t="n"/>
      <c r="AA156" s="18" t="n"/>
      <c r="AB156" s="38" t="n">
        <v>24.16</v>
      </c>
      <c r="AC156" s="14">
        <f>IFERROR(AVERAGEIFS($E$16:$E$736,$W$16:$W$736,"&gt;="&amp;W156-$C$5,$W$16:$W$736,"&lt;="&amp;W156+$C$5,$B$16:$B$736,B156,$A$16:$A$736,"&lt;&gt;"&amp;A156),"")</f>
        <v/>
      </c>
      <c r="AD156" s="14">
        <f>IF(AND(ISNUMBER(E156),ISNUMBER(AC156)),E156-AC156,"")</f>
        <v/>
      </c>
    </row>
    <row r="157">
      <c r="A157" s="17" t="n">
        <v>46152</v>
      </c>
      <c r="B157" s="29">
        <f>MONTH(A157)</f>
        <v/>
      </c>
      <c r="C157" s="29">
        <f>IF(AND(ISNUMBER(W157),ISNUMBER($C$4),ABS(W157-$C$4)&lt;=$C$5,ABS(MOD(B157-$C$6+6,12)-6)&lt;=$C$7,OR($C$8="Any",P157=$C$8)),1,0)</f>
        <v/>
      </c>
      <c r="D157" s="29">
        <f>IF(C157=1,COUNTIF($C$16:C157,1),"")</f>
        <v/>
      </c>
      <c r="E157" s="18" t="n">
        <v>8.76</v>
      </c>
      <c r="F157" s="18" t="n">
        <v>12.36</v>
      </c>
      <c r="G157" s="18" t="n">
        <v>1.55</v>
      </c>
      <c r="H157" s="38" t="n">
        <v>22.97</v>
      </c>
      <c r="I157" s="38" t="n">
        <v>15.55</v>
      </c>
      <c r="J157" s="13" t="n">
        <v>10199</v>
      </c>
      <c r="K157" s="13" t="n">
        <v>9933.190000000001</v>
      </c>
      <c r="L157" s="13" t="n">
        <v>2201.38</v>
      </c>
      <c r="M157" s="13" t="n">
        <v>2319.25</v>
      </c>
      <c r="N157" s="13" t="n">
        <v>4437</v>
      </c>
      <c r="O157" s="38" t="n">
        <v>52.27</v>
      </c>
      <c r="P157" s="39" t="inlineStr">
        <is>
          <t>Windy</t>
        </is>
      </c>
      <c r="Q157" s="13" t="n">
        <v>1159</v>
      </c>
      <c r="R157" s="13" t="n">
        <v>821.6900000000001</v>
      </c>
      <c r="S157" s="13" t="n">
        <v>-8.619999999999999</v>
      </c>
      <c r="T157" s="13" t="n">
        <v>8251.74</v>
      </c>
      <c r="U157" s="13" t="n">
        <v>661.76</v>
      </c>
      <c r="V157" s="13" t="n">
        <v>139.73</v>
      </c>
      <c r="W157" s="13" t="n">
        <v>1614.08</v>
      </c>
      <c r="X157" s="13" t="n">
        <v>2101.23</v>
      </c>
      <c r="Y157" s="13" t="n">
        <v>1900.38</v>
      </c>
      <c r="Z157" s="19" t="n"/>
      <c r="AA157" s="18" t="n"/>
      <c r="AB157" s="38" t="n">
        <v>21.81</v>
      </c>
      <c r="AC157" s="14">
        <f>IFERROR(AVERAGEIFS($E$16:$E$736,$W$16:$W$736,"&gt;="&amp;W157-$C$5,$W$16:$W$736,"&lt;="&amp;W157+$C$5,$B$16:$B$736,B157,$A$16:$A$736,"&lt;&gt;"&amp;A157),"")</f>
        <v/>
      </c>
      <c r="AD157" s="14">
        <f>IF(AND(ISNUMBER(E157),ISNUMBER(AC157)),E157-AC157,"")</f>
        <v/>
      </c>
    </row>
    <row r="158">
      <c r="A158" s="17" t="n">
        <v>46151</v>
      </c>
      <c r="B158" s="29">
        <f>MONTH(A158)</f>
        <v/>
      </c>
      <c r="C158" s="29">
        <f>IF(AND(ISNUMBER(W158),ISNUMBER($C$4),ABS(W158-$C$4)&lt;=$C$5,ABS(MOD(B158-$C$6+6,12)-6)&lt;=$C$7,OR($C$8="Any",P158=$C$8)),1,0)</f>
        <v/>
      </c>
      <c r="D158" s="29">
        <f>IF(C158=1,COUNTIF($C$16:C158,1),"")</f>
        <v/>
      </c>
      <c r="E158" s="18" t="n">
        <v>26.7</v>
      </c>
      <c r="F158" s="18" t="n">
        <v>31.3</v>
      </c>
      <c r="G158" s="18" t="n">
        <v>17.5</v>
      </c>
      <c r="H158" s="38" t="n">
        <v>19.2</v>
      </c>
      <c r="I158" s="38" t="n">
        <v>13.63</v>
      </c>
      <c r="J158" s="13" t="n">
        <v>10020</v>
      </c>
      <c r="K158" s="13" t="n">
        <v>9826.059999999999</v>
      </c>
      <c r="L158" s="13" t="n">
        <v>452.38</v>
      </c>
      <c r="M158" s="13" t="n">
        <v>755.12</v>
      </c>
      <c r="N158" s="13" t="n">
        <v>4437</v>
      </c>
      <c r="O158" s="38" t="n">
        <v>17.02</v>
      </c>
      <c r="P158" s="39" t="inlineStr">
        <is>
          <t>Windy</t>
        </is>
      </c>
      <c r="Q158" s="13" t="n">
        <v>1433</v>
      </c>
      <c r="R158" s="13" t="n">
        <v>828.99</v>
      </c>
      <c r="S158" s="13" t="n">
        <v>483.71</v>
      </c>
      <c r="T158" s="13" t="n">
        <v>8282.25</v>
      </c>
      <c r="U158" s="13" t="n">
        <v>696.11</v>
      </c>
      <c r="V158" s="13" t="n">
        <v>67.56</v>
      </c>
      <c r="W158" s="13" t="n">
        <v>713.12</v>
      </c>
      <c r="X158" s="13" t="n">
        <v>1135.16</v>
      </c>
      <c r="Y158" s="13" t="n">
        <v>1018.73</v>
      </c>
      <c r="Z158" s="19" t="n"/>
      <c r="AA158" s="18" t="n"/>
      <c r="AB158" s="38" t="n">
        <v>10.2</v>
      </c>
      <c r="AC158" s="14">
        <f>IFERROR(AVERAGEIFS($E$16:$E$736,$W$16:$W$736,"&gt;="&amp;W158-$C$5,$W$16:$W$736,"&lt;="&amp;W158+$C$5,$B$16:$B$736,B158,$A$16:$A$736,"&lt;&gt;"&amp;A158),"")</f>
        <v/>
      </c>
      <c r="AD158" s="14">
        <f>IF(AND(ISNUMBER(E158),ISNUMBER(AC158)),E158-AC158,"")</f>
        <v/>
      </c>
    </row>
    <row r="159">
      <c r="A159" s="17" t="n">
        <v>46150</v>
      </c>
      <c r="B159" s="29">
        <f>MONTH(A159)</f>
        <v/>
      </c>
      <c r="C159" s="29">
        <f>IF(AND(ISNUMBER(W159),ISNUMBER($C$4),ABS(W159-$C$4)&lt;=$C$5,ABS(MOD(B159-$C$6+6,12)-6)&lt;=$C$7,OR($C$8="Any",P159=$C$8)),1,0)</f>
        <v/>
      </c>
      <c r="D159" s="29">
        <f>IF(C159=1,COUNTIF($C$16:C159,1),"")</f>
        <v/>
      </c>
      <c r="E159" s="18" t="n">
        <v>14.62</v>
      </c>
      <c r="F159" s="18" t="n">
        <v>8.800000000000001</v>
      </c>
      <c r="G159" s="18" t="n">
        <v>26.25</v>
      </c>
      <c r="H159" s="38" t="n">
        <v>20.43</v>
      </c>
      <c r="I159" s="38" t="n">
        <v>13.88</v>
      </c>
      <c r="J159" s="13" t="n">
        <v>10535</v>
      </c>
      <c r="K159" s="13" t="n">
        <v>10253.5</v>
      </c>
      <c r="L159" s="13" t="n">
        <v>1977</v>
      </c>
      <c r="M159" s="13" t="n">
        <v>1678.5</v>
      </c>
      <c r="N159" s="13" t="n">
        <v>4437</v>
      </c>
      <c r="O159" s="38" t="n">
        <v>37.83</v>
      </c>
      <c r="P159" s="39" t="inlineStr">
        <is>
          <t>Windy</t>
        </is>
      </c>
      <c r="Q159" s="13" t="n">
        <v>1722</v>
      </c>
      <c r="R159" s="13" t="n">
        <v>807.23</v>
      </c>
      <c r="S159" s="13" t="n">
        <v>246.08</v>
      </c>
      <c r="T159" s="13" t="n">
        <v>8394.309999999999</v>
      </c>
      <c r="U159" s="13" t="n">
        <v>755.62</v>
      </c>
      <c r="V159" s="13" t="n">
        <v>397.08</v>
      </c>
      <c r="W159" s="13" t="n">
        <v>1399.27</v>
      </c>
      <c r="X159" s="13" t="n">
        <v>2109.51</v>
      </c>
      <c r="Y159" s="13" t="n">
        <v>1641.56</v>
      </c>
      <c r="Z159" s="19" t="n"/>
      <c r="AA159" s="18" t="n"/>
      <c r="AB159" s="38" t="n">
        <v>22.64</v>
      </c>
      <c r="AC159" s="14">
        <f>IFERROR(AVERAGEIFS($E$16:$E$736,$W$16:$W$736,"&gt;="&amp;W159-$C$5,$W$16:$W$736,"&lt;="&amp;W159+$C$5,$B$16:$B$736,B159,$A$16:$A$736,"&lt;&gt;"&amp;A159),"")</f>
        <v/>
      </c>
      <c r="AD159" s="14">
        <f>IF(AND(ISNUMBER(E159),ISNUMBER(AC159)),E159-AC159,"")</f>
        <v/>
      </c>
    </row>
    <row r="160">
      <c r="A160" s="17" t="n">
        <v>46149</v>
      </c>
      <c r="B160" s="29">
        <f>MONTH(A160)</f>
        <v/>
      </c>
      <c r="C160" s="29">
        <f>IF(AND(ISNUMBER(W160),ISNUMBER($C$4),ABS(W160-$C$4)&lt;=$C$5,ABS(MOD(B160-$C$6+6,12)-6)&lt;=$C$7,OR($C$8="Any",P160=$C$8)),1,0)</f>
        <v/>
      </c>
      <c r="D160" s="29">
        <f>IF(C160=1,COUNTIF($C$16:C160,1),"")</f>
        <v/>
      </c>
      <c r="E160" s="18" t="n">
        <v>92.22</v>
      </c>
      <c r="F160" s="18" t="n">
        <v>120.51</v>
      </c>
      <c r="G160" s="18" t="n">
        <v>35.63</v>
      </c>
      <c r="H160" s="38" t="n">
        <v>20.6</v>
      </c>
      <c r="I160" s="38" t="n">
        <v>14.05</v>
      </c>
      <c r="J160" s="13" t="n">
        <v>10331</v>
      </c>
      <c r="K160" s="13" t="n">
        <v>10086.88</v>
      </c>
      <c r="L160" s="13" t="n">
        <v>1565.62</v>
      </c>
      <c r="M160" s="13" t="n">
        <v>1359.17</v>
      </c>
      <c r="N160" s="13" t="n">
        <v>4437</v>
      </c>
      <c r="O160" s="38" t="n">
        <v>30.63</v>
      </c>
      <c r="P160" s="39" t="inlineStr">
        <is>
          <t>Windy</t>
        </is>
      </c>
      <c r="Q160" s="13" t="n">
        <v>1584</v>
      </c>
      <c r="R160" s="13" t="n">
        <v>707.55</v>
      </c>
      <c r="S160" s="13" t="n">
        <v>223.38</v>
      </c>
      <c r="T160" s="13" t="n">
        <v>7901.41</v>
      </c>
      <c r="U160" s="13" t="n">
        <v>740.35</v>
      </c>
      <c r="V160" s="13" t="n">
        <v>244.56</v>
      </c>
      <c r="W160" s="13" t="n">
        <v>-310.02</v>
      </c>
      <c r="X160" s="13" t="n">
        <v>1384.74</v>
      </c>
      <c r="Y160" s="13" t="n">
        <v>-43.28</v>
      </c>
      <c r="Z160" s="19" t="n"/>
      <c r="AA160" s="18" t="n"/>
      <c r="AB160" s="38" t="n">
        <v>17.36</v>
      </c>
      <c r="AC160" s="14">
        <f>IFERROR(AVERAGEIFS($E$16:$E$736,$W$16:$W$736,"&gt;="&amp;W160-$C$5,$W$16:$W$736,"&lt;="&amp;W160+$C$5,$B$16:$B$736,B160,$A$16:$A$736,"&lt;&gt;"&amp;A160),"")</f>
        <v/>
      </c>
      <c r="AD160" s="14">
        <f>IF(AND(ISNUMBER(E160),ISNUMBER(AC160)),E160-AC160,"")</f>
        <v/>
      </c>
    </row>
    <row r="161">
      <c r="A161" s="17" t="n">
        <v>46148</v>
      </c>
      <c r="B161" s="29">
        <f>MONTH(A161)</f>
        <v/>
      </c>
      <c r="C161" s="29">
        <f>IF(AND(ISNUMBER(W161),ISNUMBER($C$4),ABS(W161-$C$4)&lt;=$C$5,ABS(MOD(B161-$C$6+6,12)-6)&lt;=$C$7,OR($C$8="Any",P161=$C$8)),1,0)</f>
        <v/>
      </c>
      <c r="D161" s="29">
        <f>IF(C161=1,COUNTIF($C$16:C161,1),"")</f>
        <v/>
      </c>
      <c r="E161" s="18" t="n">
        <v>24.07</v>
      </c>
      <c r="F161" s="18" t="n">
        <v>19.39</v>
      </c>
      <c r="G161" s="18" t="n">
        <v>33.41</v>
      </c>
      <c r="H161" s="38" t="n">
        <v>19.97</v>
      </c>
      <c r="I161" s="38" t="n">
        <v>10.21</v>
      </c>
      <c r="J161" s="13" t="n">
        <v>10187</v>
      </c>
      <c r="K161" s="13" t="n">
        <v>9996.75</v>
      </c>
      <c r="L161" s="13" t="n">
        <v>1305.44</v>
      </c>
      <c r="M161" s="13" t="n">
        <v>1294.75</v>
      </c>
      <c r="N161" s="13" t="n">
        <v>4437</v>
      </c>
      <c r="O161" s="38" t="n">
        <v>29.18</v>
      </c>
      <c r="P161" s="39" t="inlineStr">
        <is>
          <t>Windy</t>
        </is>
      </c>
      <c r="Q161" s="13" t="n">
        <v>1751</v>
      </c>
      <c r="R161" s="13" t="n">
        <v>663.09</v>
      </c>
      <c r="S161" s="13" t="n">
        <v>308.67</v>
      </c>
      <c r="T161" s="13" t="n">
        <v>7990.5</v>
      </c>
      <c r="U161" s="13" t="n">
        <v>743.14</v>
      </c>
      <c r="V161" s="13" t="n">
        <v>110.09</v>
      </c>
      <c r="W161" s="13" t="n">
        <v>1213.11</v>
      </c>
      <c r="X161" s="13" t="n">
        <v>1613.38</v>
      </c>
      <c r="Y161" s="13" t="n">
        <v>1320.15</v>
      </c>
      <c r="Z161" s="19" t="n"/>
      <c r="AA161" s="18" t="n"/>
      <c r="AB161" s="38" t="n">
        <v>20.69</v>
      </c>
      <c r="AC161" s="14">
        <f>IFERROR(AVERAGEIFS($E$16:$E$736,$W$16:$W$736,"&gt;="&amp;W161-$C$5,$W$16:$W$736,"&lt;="&amp;W161+$C$5,$B$16:$B$736,B161,$A$16:$A$736,"&lt;&gt;"&amp;A161),"")</f>
        <v/>
      </c>
      <c r="AD161" s="14">
        <f>IF(AND(ISNUMBER(E161),ISNUMBER(AC161)),E161-AC161,"")</f>
        <v/>
      </c>
    </row>
    <row r="162">
      <c r="A162" s="17" t="n">
        <v>46147</v>
      </c>
      <c r="B162" s="29">
        <f>MONTH(A162)</f>
        <v/>
      </c>
      <c r="C162" s="29">
        <f>IF(AND(ISNUMBER(W162),ISNUMBER($C$4),ABS(W162-$C$4)&lt;=$C$5,ABS(MOD(B162-$C$6+6,12)-6)&lt;=$C$7,OR($C$8="Any",P162=$C$8)),1,0)</f>
        <v/>
      </c>
      <c r="D162" s="29">
        <f>IF(C162=1,COUNTIF($C$16:C162,1),"")</f>
        <v/>
      </c>
      <c r="E162" s="18" t="n">
        <v>35.76</v>
      </c>
      <c r="F162" s="18" t="n">
        <v>37.6</v>
      </c>
      <c r="G162" s="18" t="n">
        <v>32.08</v>
      </c>
      <c r="H162" s="38" t="n">
        <v>10.27</v>
      </c>
      <c r="I162" s="38" t="n">
        <v>5.45</v>
      </c>
      <c r="J162" s="13" t="n">
        <v>10066</v>
      </c>
      <c r="K162" s="13" t="n">
        <v>9959.559999999999</v>
      </c>
      <c r="L162" s="13" t="n">
        <v>851.12</v>
      </c>
      <c r="M162" s="13" t="n">
        <v>715.88</v>
      </c>
      <c r="N162" s="13" t="n">
        <v>4437</v>
      </c>
      <c r="O162" s="38" t="n">
        <v>16.13</v>
      </c>
      <c r="P162" s="39" t="inlineStr">
        <is>
          <t>Windy</t>
        </is>
      </c>
      <c r="Q162" s="13" t="n">
        <v>1605</v>
      </c>
      <c r="R162" s="13" t="n">
        <v>652.86</v>
      </c>
      <c r="S162" s="13" t="n">
        <v>373.38</v>
      </c>
      <c r="T162" s="13" t="n">
        <v>8204.08</v>
      </c>
      <c r="U162" s="13" t="n">
        <v>784.2</v>
      </c>
      <c r="V162" s="13" t="n">
        <v>81.73</v>
      </c>
      <c r="W162" s="13" t="n">
        <v>-207.09</v>
      </c>
      <c r="X162" s="13" t="n">
        <v>1345.6</v>
      </c>
      <c r="Y162" s="13" t="n">
        <v>-168.54</v>
      </c>
      <c r="Z162" s="19" t="n"/>
      <c r="AA162" s="18" t="n"/>
      <c r="AB162" s="38" t="n">
        <v>12.23</v>
      </c>
      <c r="AC162" s="14">
        <f>IFERROR(AVERAGEIFS($E$16:$E$736,$W$16:$W$736,"&gt;="&amp;W162-$C$5,$W$16:$W$736,"&lt;="&amp;W162+$C$5,$B$16:$B$736,B162,$A$16:$A$736,"&lt;&gt;"&amp;A162),"")</f>
        <v/>
      </c>
      <c r="AD162" s="14">
        <f>IF(AND(ISNUMBER(E162),ISNUMBER(AC162)),E162-AC162,"")</f>
        <v/>
      </c>
    </row>
    <row r="163">
      <c r="A163" s="17" t="n">
        <v>46146</v>
      </c>
      <c r="B163" s="29">
        <f>MONTH(A163)</f>
        <v/>
      </c>
      <c r="C163" s="29">
        <f>IF(AND(ISNUMBER(W163),ISNUMBER($C$4),ABS(W163-$C$4)&lt;=$C$5,ABS(MOD(B163-$C$6+6,12)-6)&lt;=$C$7,OR($C$8="Any",P163=$C$8)),1,0)</f>
        <v/>
      </c>
      <c r="D163" s="29">
        <f>IF(C163=1,COUNTIF($C$16:C163,1),"")</f>
        <v/>
      </c>
      <c r="E163" s="18" t="n">
        <v>14.18</v>
      </c>
      <c r="F163" s="18" t="n">
        <v>11.72</v>
      </c>
      <c r="G163" s="18" t="n">
        <v>19.12</v>
      </c>
      <c r="H163" s="38" t="n">
        <v>12.03</v>
      </c>
      <c r="I163" s="38" t="n">
        <v>8.539999999999999</v>
      </c>
      <c r="J163" s="13" t="n">
        <v>10418</v>
      </c>
      <c r="K163" s="13" t="n">
        <v>10243.75</v>
      </c>
      <c r="L163" s="13" t="n">
        <v>1915.88</v>
      </c>
      <c r="M163" s="13" t="n">
        <v>1919.38</v>
      </c>
      <c r="N163" s="13" t="n">
        <v>4437</v>
      </c>
      <c r="O163" s="38" t="n">
        <v>43.26</v>
      </c>
      <c r="P163" s="39" t="inlineStr">
        <is>
          <t>Windy</t>
        </is>
      </c>
      <c r="Q163" s="13" t="n">
        <v>1176</v>
      </c>
      <c r="R163" s="13" t="n">
        <v>795.54</v>
      </c>
      <c r="S163" s="13" t="n">
        <v>76.12</v>
      </c>
      <c r="T163" s="13" t="n">
        <v>8203.43</v>
      </c>
      <c r="U163" s="13" t="n">
        <v>778.63</v>
      </c>
      <c r="V163" s="13" t="n">
        <v>432.86</v>
      </c>
      <c r="W163" s="13" t="n">
        <v>536.79</v>
      </c>
      <c r="X163" s="13" t="n">
        <v>1497.71</v>
      </c>
      <c r="Y163" s="13" t="n">
        <v>576.6799999999999</v>
      </c>
      <c r="Z163" s="19" t="n"/>
      <c r="AA163" s="18" t="n"/>
      <c r="AB163" s="38" t="n">
        <v>24.18</v>
      </c>
      <c r="AC163" s="14">
        <f>IFERROR(AVERAGEIFS($E$16:$E$736,$W$16:$W$736,"&gt;="&amp;W163-$C$5,$W$16:$W$736,"&lt;="&amp;W163+$C$5,$B$16:$B$736,B163,$A$16:$A$736,"&lt;&gt;"&amp;A163),"")</f>
        <v/>
      </c>
      <c r="AD163" s="14">
        <f>IF(AND(ISNUMBER(E163),ISNUMBER(AC163)),E163-AC163,"")</f>
        <v/>
      </c>
    </row>
    <row r="164">
      <c r="A164" s="17" t="n">
        <v>46145</v>
      </c>
      <c r="B164" s="29">
        <f>MONTH(A164)</f>
        <v/>
      </c>
      <c r="C164" s="29">
        <f>IF(AND(ISNUMBER(W164),ISNUMBER($C$4),ABS(W164-$C$4)&lt;=$C$5,ABS(MOD(B164-$C$6+6,12)-6)&lt;=$C$7,OR($C$8="Any",P164=$C$8)),1,0)</f>
        <v/>
      </c>
      <c r="D164" s="29">
        <f>IF(C164=1,COUNTIF($C$16:C164,1),"")</f>
        <v/>
      </c>
      <c r="E164" s="18" t="n">
        <v>5.11</v>
      </c>
      <c r="F164" s="18" t="n">
        <v>3.99</v>
      </c>
      <c r="G164" s="18" t="n">
        <v>7.35</v>
      </c>
      <c r="H164" s="38" t="n">
        <v>20.23</v>
      </c>
      <c r="I164" s="38" t="n">
        <v>13.49</v>
      </c>
      <c r="J164" s="13" t="n">
        <v>10218</v>
      </c>
      <c r="K164" s="13" t="n">
        <v>9879.440000000001</v>
      </c>
      <c r="L164" s="13" t="n">
        <v>2719.25</v>
      </c>
      <c r="M164" s="13" t="n">
        <v>2801.46</v>
      </c>
      <c r="N164" s="13" t="n">
        <v>4437</v>
      </c>
      <c r="O164" s="38" t="n">
        <v>63.14</v>
      </c>
      <c r="P164" s="39" t="inlineStr">
        <is>
          <t>Windy</t>
        </is>
      </c>
      <c r="Q164" s="13" t="n">
        <v>1601</v>
      </c>
      <c r="R164" s="13" t="n">
        <v>813.3</v>
      </c>
      <c r="S164" s="13" t="n">
        <v>-98.88</v>
      </c>
      <c r="T164" s="13" t="n">
        <v>8502.549999999999</v>
      </c>
      <c r="U164" s="13" t="n">
        <v>797.0700000000001</v>
      </c>
      <c r="V164" s="13" t="n">
        <v>26.64</v>
      </c>
      <c r="W164" s="13" t="n">
        <v>2587.75</v>
      </c>
      <c r="X164" s="13" t="n">
        <v>3149.38</v>
      </c>
      <c r="Y164" s="13" t="n">
        <v>2788.15</v>
      </c>
      <c r="Z164" s="19" t="n"/>
      <c r="AA164" s="18" t="n"/>
      <c r="AB164" s="38" t="n">
        <v>27.74</v>
      </c>
      <c r="AC164" s="14">
        <f>IFERROR(AVERAGEIFS($E$16:$E$736,$W$16:$W$736,"&gt;="&amp;W164-$C$5,$W$16:$W$736,"&lt;="&amp;W164+$C$5,$B$16:$B$736,B164,$A$16:$A$736,"&lt;&gt;"&amp;A164),"")</f>
        <v/>
      </c>
      <c r="AD164" s="14">
        <f>IF(AND(ISNUMBER(E164),ISNUMBER(AC164)),E164-AC164,"")</f>
        <v/>
      </c>
    </row>
    <row r="165">
      <c r="A165" s="17" t="n">
        <v>46144</v>
      </c>
      <c r="B165" s="29">
        <f>MONTH(A165)</f>
        <v/>
      </c>
      <c r="C165" s="29">
        <f>IF(AND(ISNUMBER(W165),ISNUMBER($C$4),ABS(W165-$C$4)&lt;=$C$5,ABS(MOD(B165-$C$6+6,12)-6)&lt;=$C$7,OR($C$8="Any",P165=$C$8)),1,0)</f>
        <v/>
      </c>
      <c r="D165" s="29">
        <f>IF(C165=1,COUNTIF($C$16:C165,1),"")</f>
        <v/>
      </c>
      <c r="E165" s="18" t="n">
        <v>24.57</v>
      </c>
      <c r="F165" s="18" t="n">
        <v>28.6</v>
      </c>
      <c r="G165" s="18" t="n">
        <v>17.03</v>
      </c>
      <c r="H165" s="38" t="n">
        <v>19.4</v>
      </c>
      <c r="I165" s="38" t="n">
        <v>12.26</v>
      </c>
      <c r="J165" s="13" t="n">
        <v>9790</v>
      </c>
      <c r="K165" s="13" t="n">
        <v>9587.530000000001</v>
      </c>
      <c r="L165" s="13" t="n">
        <v>462.47</v>
      </c>
      <c r="M165" s="13" t="n">
        <v>859.65</v>
      </c>
      <c r="N165" s="13" t="n">
        <v>4437</v>
      </c>
      <c r="O165" s="38" t="n">
        <v>19.37</v>
      </c>
      <c r="P165" s="39" t="inlineStr">
        <is>
          <t>Windy</t>
        </is>
      </c>
      <c r="Q165" s="13" t="n">
        <v>1568</v>
      </c>
      <c r="R165" s="13" t="n">
        <v>812.7</v>
      </c>
      <c r="S165" s="13" t="n">
        <v>396.17</v>
      </c>
      <c r="T165" s="13" t="n">
        <v>8475.75</v>
      </c>
      <c r="U165" s="13" t="n">
        <v>782.13</v>
      </c>
      <c r="V165" s="13" t="n">
        <v>89.68000000000001</v>
      </c>
      <c r="W165" s="13" t="n">
        <v>339.72</v>
      </c>
      <c r="X165" s="13" t="n">
        <v>1667.93</v>
      </c>
      <c r="Y165" s="13" t="n">
        <v>568.51</v>
      </c>
      <c r="Z165" s="19" t="n"/>
      <c r="AA165" s="18" t="n"/>
      <c r="AB165" s="38" t="n">
        <v>10.73</v>
      </c>
      <c r="AC165" s="14">
        <f>IFERROR(AVERAGEIFS($E$16:$E$736,$W$16:$W$736,"&gt;="&amp;W165-$C$5,$W$16:$W$736,"&lt;="&amp;W165+$C$5,$B$16:$B$736,B165,$A$16:$A$736,"&lt;&gt;"&amp;A165),"")</f>
        <v/>
      </c>
      <c r="AD165" s="14">
        <f>IF(AND(ISNUMBER(E165),ISNUMBER(AC165)),E165-AC165,"")</f>
        <v/>
      </c>
    </row>
    <row r="166">
      <c r="A166" s="17" t="n">
        <v>46143</v>
      </c>
      <c r="B166" s="29">
        <f>MONTH(A166)</f>
        <v/>
      </c>
      <c r="C166" s="29">
        <f>IF(AND(ISNUMBER(W166),ISNUMBER($C$4),ABS(W166-$C$4)&lt;=$C$5,ABS(MOD(B166-$C$6+6,12)-6)&lt;=$C$7,OR($C$8="Any",P166=$C$8)),1,0)</f>
        <v/>
      </c>
      <c r="D166" s="29">
        <f>IF(C166=1,COUNTIF($C$16:C166,1),"")</f>
        <v/>
      </c>
      <c r="E166" s="18" t="n">
        <v>14.74</v>
      </c>
      <c r="F166" s="18" t="n">
        <v>19.77</v>
      </c>
      <c r="G166" s="18" t="n">
        <v>4.66</v>
      </c>
      <c r="H166" s="38" t="n">
        <v>19.5</v>
      </c>
      <c r="I166" s="38" t="n">
        <v>12.62</v>
      </c>
      <c r="J166" s="13" t="n">
        <v>10180</v>
      </c>
      <c r="K166" s="13" t="n">
        <v>9986</v>
      </c>
      <c r="L166" s="13" t="n">
        <v>1417.81</v>
      </c>
      <c r="M166" s="13" t="n">
        <v>1904.17</v>
      </c>
      <c r="N166" s="13" t="n">
        <v>4437</v>
      </c>
      <c r="O166" s="38" t="n">
        <v>42.92</v>
      </c>
      <c r="P166" s="39" t="inlineStr">
        <is>
          <t>Windy</t>
        </is>
      </c>
      <c r="Q166" s="13" t="n">
        <v>1716</v>
      </c>
      <c r="R166" s="13" t="n">
        <v>818.61</v>
      </c>
      <c r="S166" s="13" t="n">
        <v>81.58</v>
      </c>
      <c r="T166" s="13" t="n">
        <v>8473.65</v>
      </c>
      <c r="U166" s="13" t="n">
        <v>745.73</v>
      </c>
      <c r="V166" s="13" t="n">
        <v>67.34</v>
      </c>
      <c r="W166" s="13" t="n">
        <v>1548.08</v>
      </c>
      <c r="X166" s="13" t="n">
        <v>2016.32</v>
      </c>
      <c r="Y166" s="13" t="n">
        <v>1788.31</v>
      </c>
      <c r="Z166" s="19" t="n"/>
      <c r="AA166" s="18" t="n"/>
      <c r="AB166" s="38" t="n">
        <v>21.86</v>
      </c>
      <c r="AC166" s="14">
        <f>IFERROR(AVERAGEIFS($E$16:$E$736,$W$16:$W$736,"&gt;="&amp;W166-$C$5,$W$16:$W$736,"&lt;="&amp;W166+$C$5,$B$16:$B$736,B166,$A$16:$A$736,"&lt;&gt;"&amp;A166),"")</f>
        <v/>
      </c>
      <c r="AD166" s="14">
        <f>IF(AND(ISNUMBER(E166),ISNUMBER(AC166)),E166-AC166,"")</f>
        <v/>
      </c>
    </row>
    <row r="167">
      <c r="A167" s="17" t="n">
        <v>46139</v>
      </c>
      <c r="B167" s="29">
        <f>MONTH(A167)</f>
        <v/>
      </c>
      <c r="C167" s="29">
        <f>IF(AND(ISNUMBER(W167),ISNUMBER($C$4),ABS(W167-$C$4)&lt;=$C$5,ABS(MOD(B167-$C$6+6,12)-6)&lt;=$C$7,OR($C$8="Any",P167=$C$8)),1,0)</f>
        <v/>
      </c>
      <c r="D167" s="29">
        <f>IF(C167=1,COUNTIF($C$16:C167,1),"")</f>
        <v/>
      </c>
      <c r="E167" s="18" t="n">
        <v>20.54</v>
      </c>
      <c r="F167" s="18" t="n">
        <v>17.02</v>
      </c>
      <c r="G167" s="18" t="n">
        <v>27.59</v>
      </c>
      <c r="H167" s="38" t="n">
        <v>6.27</v>
      </c>
      <c r="I167" s="38" t="n">
        <v>-0.8100000000000001</v>
      </c>
      <c r="J167" s="13" t="n">
        <v>10473</v>
      </c>
      <c r="K167" s="13" t="n">
        <v>10258.07</v>
      </c>
      <c r="L167" s="13" t="n">
        <v>660.64</v>
      </c>
      <c r="M167" s="13" t="n">
        <v>633.33</v>
      </c>
      <c r="N167" s="13" t="n">
        <v>4437</v>
      </c>
      <c r="O167" s="38" t="n">
        <v>14.27</v>
      </c>
      <c r="P167" s="39" t="inlineStr">
        <is>
          <t>Calm</t>
        </is>
      </c>
      <c r="Q167" s="13" t="n">
        <v>1748</v>
      </c>
      <c r="R167" s="13" t="n">
        <v>786.58</v>
      </c>
      <c r="S167" s="13" t="n">
        <v>509.43</v>
      </c>
      <c r="T167" s="13" t="n">
        <v>8802.58</v>
      </c>
      <c r="U167" s="13" t="n">
        <v>782.16</v>
      </c>
      <c r="V167" s="13" t="n">
        <v>307.8</v>
      </c>
      <c r="W167" s="13" t="n">
        <v>1271.32</v>
      </c>
      <c r="X167" s="13" t="n">
        <v>1911.21</v>
      </c>
      <c r="Y167" s="13" t="n">
        <v>1472.67</v>
      </c>
      <c r="Z167" s="19" t="n"/>
      <c r="AA167" s="18" t="n"/>
      <c r="AB167" s="38" t="n">
        <v>13.74</v>
      </c>
      <c r="AC167" s="14">
        <f>IFERROR(AVERAGEIFS($E$16:$E$736,$W$16:$W$736,"&gt;="&amp;W167-$C$5,$W$16:$W$736,"&lt;="&amp;W167+$C$5,$B$16:$B$736,B167,$A$16:$A$736,"&lt;&gt;"&amp;A167),"")</f>
        <v/>
      </c>
      <c r="AD167" s="14">
        <f>IF(AND(ISNUMBER(E167),ISNUMBER(AC167)),E167-AC167,"")</f>
        <v/>
      </c>
    </row>
    <row r="168">
      <c r="A168" s="17" t="n">
        <v>46138</v>
      </c>
      <c r="B168" s="29">
        <f>MONTH(A168)</f>
        <v/>
      </c>
      <c r="C168" s="29">
        <f>IF(AND(ISNUMBER(W168),ISNUMBER($C$4),ABS(W168-$C$4)&lt;=$C$5,ABS(MOD(B168-$C$6+6,12)-6)&lt;=$C$7,OR($C$8="Any",P168=$C$8)),1,0)</f>
        <v/>
      </c>
      <c r="D168" s="29">
        <f>IF(C168=1,COUNTIF($C$16:C168,1),"")</f>
        <v/>
      </c>
      <c r="E168" s="18" t="n">
        <v>33.17</v>
      </c>
      <c r="F168" s="18" t="n">
        <v>36.66</v>
      </c>
      <c r="G168" s="18" t="n">
        <v>26.19</v>
      </c>
      <c r="H168" s="38" t="n">
        <v>-2.3</v>
      </c>
      <c r="I168" s="38" t="n">
        <v>-4.8</v>
      </c>
      <c r="J168" s="13" t="n">
        <v>10392</v>
      </c>
      <c r="K168" s="13" t="n">
        <v>10177.19</v>
      </c>
      <c r="L168" s="13" t="n">
        <v>480.5</v>
      </c>
      <c r="M168" s="13" t="n">
        <v>532.88</v>
      </c>
      <c r="N168" s="13" t="n">
        <v>4437</v>
      </c>
      <c r="O168" s="38" t="n">
        <v>12.01</v>
      </c>
      <c r="P168" s="39" t="inlineStr">
        <is>
          <t>Calm</t>
        </is>
      </c>
      <c r="Q168" s="13" t="n">
        <v>1192</v>
      </c>
      <c r="R168" s="13" t="n">
        <v>787.71</v>
      </c>
      <c r="S168" s="13" t="n">
        <v>501.79</v>
      </c>
      <c r="T168" s="13" t="n">
        <v>8938.610000000001</v>
      </c>
      <c r="U168" s="13" t="n">
        <v>759.8</v>
      </c>
      <c r="V168" s="13" t="n">
        <v>59.07</v>
      </c>
      <c r="W168" s="13" t="n">
        <v>25.72</v>
      </c>
      <c r="X168" s="13" t="n">
        <v>1299.51</v>
      </c>
      <c r="Y168" s="13" t="n">
        <v>237.56</v>
      </c>
      <c r="Z168" s="19" t="n"/>
      <c r="AA168" s="18" t="n"/>
      <c r="AB168" s="38" t="n">
        <v>12.38</v>
      </c>
      <c r="AC168" s="14">
        <f>IFERROR(AVERAGEIFS($E$16:$E$736,$W$16:$W$736,"&gt;="&amp;W168-$C$5,$W$16:$W$736,"&lt;="&amp;W168+$C$5,$B$16:$B$736,B168,$A$16:$A$736,"&lt;&gt;"&amp;A168),"")</f>
        <v/>
      </c>
      <c r="AD168" s="14">
        <f>IF(AND(ISNUMBER(E168),ISNUMBER(AC168)),E168-AC168,"")</f>
        <v/>
      </c>
    </row>
    <row r="169">
      <c r="A169" s="17" t="n">
        <v>46137</v>
      </c>
      <c r="B169" s="29">
        <f>MONTH(A169)</f>
        <v/>
      </c>
      <c r="C169" s="29">
        <f>IF(AND(ISNUMBER(W169),ISNUMBER($C$4),ABS(W169-$C$4)&lt;=$C$5,ABS(MOD(B169-$C$6+6,12)-6)&lt;=$C$7,OR($C$8="Any",P169=$C$8)),1,0)</f>
        <v/>
      </c>
      <c r="D169" s="29">
        <f>IF(C169=1,COUNTIF($C$16:C169,1),"")</f>
        <v/>
      </c>
      <c r="E169" s="18" t="n">
        <v>12.61</v>
      </c>
      <c r="F169" s="18" t="n">
        <v>13.6</v>
      </c>
      <c r="G169" s="18" t="n">
        <v>10.64</v>
      </c>
      <c r="H169" s="38" t="n">
        <v>-1.1</v>
      </c>
      <c r="I169" s="38" t="n">
        <v>-2.93</v>
      </c>
      <c r="J169" s="13" t="n">
        <v>10481</v>
      </c>
      <c r="K169" s="13" t="n">
        <v>10256.12</v>
      </c>
      <c r="L169" s="13" t="n">
        <v>1474.94</v>
      </c>
      <c r="M169" s="13" t="n">
        <v>1747.29</v>
      </c>
      <c r="N169" s="13" t="n">
        <v>4437</v>
      </c>
      <c r="O169" s="38" t="n">
        <v>39.38</v>
      </c>
      <c r="P169" s="39" t="inlineStr">
        <is>
          <t>Windy</t>
        </is>
      </c>
      <c r="Q169" s="13" t="n">
        <v>1681</v>
      </c>
      <c r="R169" s="13" t="n">
        <v>789.3200000000001</v>
      </c>
      <c r="S169" s="13" t="n">
        <v>451.58</v>
      </c>
      <c r="T169" s="13" t="n">
        <v>8962.68</v>
      </c>
      <c r="U169" s="13" t="n">
        <v>799.73</v>
      </c>
      <c r="V169" s="13" t="n">
        <v>196.99</v>
      </c>
      <c r="W169" s="13" t="n">
        <v>519.66</v>
      </c>
      <c r="X169" s="13" t="n">
        <v>2385.96</v>
      </c>
      <c r="Y169" s="13" t="n">
        <v>729.59</v>
      </c>
      <c r="Z169" s="19" t="n"/>
      <c r="AA169" s="18" t="n"/>
      <c r="AB169" s="38" t="n">
        <v>17.74</v>
      </c>
      <c r="AC169" s="14">
        <f>IFERROR(AVERAGEIFS($E$16:$E$736,$W$16:$W$736,"&gt;="&amp;W169-$C$5,$W$16:$W$736,"&lt;="&amp;W169+$C$5,$B$16:$B$736,B169,$A$16:$A$736,"&lt;&gt;"&amp;A169),"")</f>
        <v/>
      </c>
      <c r="AD169" s="14">
        <f>IF(AND(ISNUMBER(E169),ISNUMBER(AC169)),E169-AC169,"")</f>
        <v/>
      </c>
    </row>
    <row r="170">
      <c r="A170" s="17" t="n">
        <v>46136</v>
      </c>
      <c r="B170" s="29">
        <f>MONTH(A170)</f>
        <v/>
      </c>
      <c r="C170" s="29">
        <f>IF(AND(ISNUMBER(W170),ISNUMBER($C$4),ABS(W170-$C$4)&lt;=$C$5,ABS(MOD(B170-$C$6+6,12)-6)&lt;=$C$7,OR($C$8="Any",P170=$C$8)),1,0)</f>
        <v/>
      </c>
      <c r="D170" s="29">
        <f>IF(C170=1,COUNTIF($C$16:C170,1),"")</f>
        <v/>
      </c>
      <c r="E170" s="18" t="n">
        <v>9.4</v>
      </c>
      <c r="F170" s="18" t="n">
        <v>9.94</v>
      </c>
      <c r="G170" s="18" t="n">
        <v>8.33</v>
      </c>
      <c r="H170" s="38" t="n">
        <v>1.37</v>
      </c>
      <c r="I170" s="38" t="n">
        <v>-1.21</v>
      </c>
      <c r="J170" s="13" t="n">
        <v>11039</v>
      </c>
      <c r="K170" s="13" t="n">
        <v>10831.44</v>
      </c>
      <c r="L170" s="13" t="n">
        <v>3380.56</v>
      </c>
      <c r="M170" s="13" t="n">
        <v>3327.38</v>
      </c>
      <c r="N170" s="13" t="n">
        <v>4437</v>
      </c>
      <c r="O170" s="38" t="n">
        <v>74.98999999999999</v>
      </c>
      <c r="P170" s="39" t="inlineStr">
        <is>
          <t>Windy</t>
        </is>
      </c>
      <c r="Q170" s="13" t="n">
        <v>1058</v>
      </c>
      <c r="R170" s="13" t="n">
        <v>770.86</v>
      </c>
      <c r="S170" s="13" t="n">
        <v>64.5</v>
      </c>
      <c r="T170" s="13" t="n">
        <v>8795.92</v>
      </c>
      <c r="U170" s="13" t="n">
        <v>804.86</v>
      </c>
      <c r="V170" s="13" t="n">
        <v>468.93</v>
      </c>
      <c r="W170" s="13" t="n">
        <v>2402.18</v>
      </c>
      <c r="X170" s="13" t="n">
        <v>2925.8</v>
      </c>
      <c r="Y170" s="13" t="n">
        <v>2564.45</v>
      </c>
      <c r="Z170" s="19" t="n"/>
      <c r="AA170" s="18" t="n"/>
      <c r="AB170" s="38" t="n">
        <v>35.62</v>
      </c>
      <c r="AC170" s="14">
        <f>IFERROR(AVERAGEIFS($E$16:$E$736,$W$16:$W$736,"&gt;="&amp;W170-$C$5,$W$16:$W$736,"&lt;="&amp;W170+$C$5,$B$16:$B$736,B170,$A$16:$A$736,"&lt;&gt;"&amp;A170),"")</f>
        <v/>
      </c>
      <c r="AD170" s="14">
        <f>IF(AND(ISNUMBER(E170),ISNUMBER(AC170)),E170-AC170,"")</f>
        <v/>
      </c>
    </row>
    <row r="171">
      <c r="A171" s="17" t="n">
        <v>46135</v>
      </c>
      <c r="B171" s="29">
        <f>MONTH(A171)</f>
        <v/>
      </c>
      <c r="C171" s="29">
        <f>IF(AND(ISNUMBER(W171),ISNUMBER($C$4),ABS(W171-$C$4)&lt;=$C$5,ABS(MOD(B171-$C$6+6,12)-6)&lt;=$C$7,OR($C$8="Any",P171=$C$8)),1,0)</f>
        <v/>
      </c>
      <c r="D171" s="29">
        <f>IF(C171=1,COUNTIF($C$16:C171,1),"")</f>
        <v/>
      </c>
      <c r="E171" s="18" t="n">
        <v>3.11</v>
      </c>
      <c r="F171" s="18" t="n">
        <v>3.64</v>
      </c>
      <c r="G171" s="18" t="n">
        <v>2.05</v>
      </c>
      <c r="H171" s="38" t="n">
        <v>3.7</v>
      </c>
      <c r="I171" s="38" t="n">
        <v>0.95</v>
      </c>
      <c r="J171" s="13" t="n">
        <v>10912</v>
      </c>
      <c r="K171" s="13" t="n">
        <v>10770.56</v>
      </c>
      <c r="L171" s="13" t="n">
        <v>3380.81</v>
      </c>
      <c r="M171" s="13" t="n">
        <v>3392.08</v>
      </c>
      <c r="N171" s="13" t="n">
        <v>4437</v>
      </c>
      <c r="O171" s="38" t="n">
        <v>76.45</v>
      </c>
      <c r="P171" s="39" t="inlineStr">
        <is>
          <t>Windy</t>
        </is>
      </c>
      <c r="Q171" s="13" t="n">
        <v>1290</v>
      </c>
      <c r="R171" s="13" t="n">
        <v>719.2</v>
      </c>
      <c r="S171" s="13" t="n">
        <v>24.17</v>
      </c>
      <c r="T171" s="13" t="n">
        <v>8832.379999999999</v>
      </c>
      <c r="U171" s="13" t="n">
        <v>807.4</v>
      </c>
      <c r="V171" s="13" t="n">
        <v>286.13</v>
      </c>
      <c r="W171" s="13" t="n">
        <v>2609.17</v>
      </c>
      <c r="X171" s="13" t="n">
        <v>3203.86</v>
      </c>
      <c r="Y171" s="13" t="n">
        <v>2718.52</v>
      </c>
      <c r="Z171" s="19" t="n"/>
      <c r="AA171" s="18" t="n"/>
      <c r="AB171" s="38" t="n">
        <v>35.9</v>
      </c>
      <c r="AC171" s="14">
        <f>IFERROR(AVERAGEIFS($E$16:$E$736,$W$16:$W$736,"&gt;="&amp;W171-$C$5,$W$16:$W$736,"&lt;="&amp;W171+$C$5,$B$16:$B$736,B171,$A$16:$A$736,"&lt;&gt;"&amp;A171),"")</f>
        <v/>
      </c>
      <c r="AD171" s="14">
        <f>IF(AND(ISNUMBER(E171),ISNUMBER(AC171)),E171-AC171,"")</f>
        <v/>
      </c>
    </row>
    <row r="172">
      <c r="A172" s="17" t="n">
        <v>46134</v>
      </c>
      <c r="B172" s="29">
        <f>MONTH(A172)</f>
        <v/>
      </c>
      <c r="C172" s="29">
        <f>IF(AND(ISNUMBER(W172),ISNUMBER($C$4),ABS(W172-$C$4)&lt;=$C$5,ABS(MOD(B172-$C$6+6,12)-6)&lt;=$C$7,OR($C$8="Any",P172=$C$8)),1,0)</f>
        <v/>
      </c>
      <c r="D172" s="29">
        <f>IF(C172=1,COUNTIF($C$16:C172,1),"")</f>
        <v/>
      </c>
      <c r="E172" s="18" t="n">
        <v>6.61</v>
      </c>
      <c r="F172" s="18" t="n">
        <v>5.24</v>
      </c>
      <c r="G172" s="18" t="n">
        <v>10.25</v>
      </c>
      <c r="H172" s="38" t="n">
        <v>10.8</v>
      </c>
      <c r="I172" s="38" t="n">
        <v>7.66</v>
      </c>
      <c r="J172" s="13" t="n">
        <v>10797</v>
      </c>
      <c r="K172" s="13" t="n">
        <v>10574.38</v>
      </c>
      <c r="L172" s="13" t="n">
        <v>3094.62</v>
      </c>
      <c r="M172" s="13" t="n">
        <v>2936.41</v>
      </c>
      <c r="N172" s="13" t="n">
        <v>4437</v>
      </c>
      <c r="O172" s="38" t="n">
        <v>66.18000000000001</v>
      </c>
      <c r="P172" s="39" t="inlineStr">
        <is>
          <t>Windy</t>
        </is>
      </c>
      <c r="Q172" s="13" t="n">
        <v>1318</v>
      </c>
      <c r="R172" s="13" t="n">
        <v>765.58</v>
      </c>
      <c r="S172" s="13" t="n">
        <v>73.05</v>
      </c>
      <c r="T172" s="13" t="n">
        <v>9149.84</v>
      </c>
      <c r="U172" s="13" t="n">
        <v>796.1799999999999</v>
      </c>
      <c r="V172" s="13" t="n">
        <v>85.70999999999999</v>
      </c>
      <c r="W172" s="13" t="n">
        <v>2418.46</v>
      </c>
      <c r="X172" s="13" t="n">
        <v>3249.17</v>
      </c>
      <c r="Y172" s="13" t="n">
        <v>2535.32</v>
      </c>
      <c r="Z172" s="19" t="n"/>
      <c r="AA172" s="18" t="n"/>
      <c r="AB172" s="38" t="n">
        <v>25.48</v>
      </c>
      <c r="AC172" s="14">
        <f>IFERROR(AVERAGEIFS($E$16:$E$736,$W$16:$W$736,"&gt;="&amp;W172-$C$5,$W$16:$W$736,"&lt;="&amp;W172+$C$5,$B$16:$B$736,B172,$A$16:$A$736,"&lt;&gt;"&amp;A172),"")</f>
        <v/>
      </c>
      <c r="AD172" s="14">
        <f>IF(AND(ISNUMBER(E172),ISNUMBER(AC172)),E172-AC172,"")</f>
        <v/>
      </c>
    </row>
    <row r="173">
      <c r="A173" s="17" t="n">
        <v>46133</v>
      </c>
      <c r="B173" s="29">
        <f>MONTH(A173)</f>
        <v/>
      </c>
      <c r="C173" s="29">
        <f>IF(AND(ISNUMBER(W173),ISNUMBER($C$4),ABS(W173-$C$4)&lt;=$C$5,ABS(MOD(B173-$C$6+6,12)-6)&lt;=$C$7,OR($C$8="Any",P173=$C$8)),1,0)</f>
        <v/>
      </c>
      <c r="D173" s="29">
        <f>IF(C173=1,COUNTIF($C$16:C173,1),"")</f>
        <v/>
      </c>
      <c r="E173" s="18" t="n">
        <v>21.29</v>
      </c>
      <c r="F173" s="18" t="n">
        <v>22.93</v>
      </c>
      <c r="G173" s="18" t="n">
        <v>18</v>
      </c>
      <c r="H173" s="38" t="n">
        <v>19.77</v>
      </c>
      <c r="I173" s="38" t="n">
        <v>12.39</v>
      </c>
      <c r="J173" s="13" t="n">
        <v>10509</v>
      </c>
      <c r="K173" s="13" t="n">
        <v>10248.94</v>
      </c>
      <c r="L173" s="13" t="n">
        <v>724.4400000000001</v>
      </c>
      <c r="M173" s="13" t="n">
        <v>1041.42</v>
      </c>
      <c r="N173" s="13" t="n">
        <v>4437</v>
      </c>
      <c r="O173" s="38" t="n">
        <v>23.47</v>
      </c>
      <c r="P173" s="39" t="inlineStr">
        <is>
          <t>Windy</t>
        </is>
      </c>
      <c r="Q173" s="13" t="n">
        <v>1707</v>
      </c>
      <c r="R173" s="13" t="n">
        <v>762.24</v>
      </c>
      <c r="S173" s="13" t="n">
        <v>195.42</v>
      </c>
      <c r="T173" s="13" t="n">
        <v>8973.940000000001</v>
      </c>
      <c r="U173" s="13" t="n">
        <v>754.16</v>
      </c>
      <c r="V173" s="13" t="n">
        <v>67.65000000000001</v>
      </c>
      <c r="W173" s="13" t="n">
        <v>955.59</v>
      </c>
      <c r="X173" s="13" t="n">
        <v>1696.7</v>
      </c>
      <c r="Y173" s="13" t="n">
        <v>1202.86</v>
      </c>
      <c r="Z173" s="19" t="n"/>
      <c r="AA173" s="18" t="n"/>
      <c r="AB173" s="38" t="n">
        <v>14.71</v>
      </c>
      <c r="AC173" s="14">
        <f>IFERROR(AVERAGEIFS($E$16:$E$736,$W$16:$W$736,"&gt;="&amp;W173-$C$5,$W$16:$W$736,"&lt;="&amp;W173+$C$5,$B$16:$B$736,B173,$A$16:$A$736,"&lt;&gt;"&amp;A173),"")</f>
        <v/>
      </c>
      <c r="AD173" s="14">
        <f>IF(AND(ISNUMBER(E173),ISNUMBER(AC173)),E173-AC173,"")</f>
        <v/>
      </c>
    </row>
    <row r="174">
      <c r="A174" s="17" t="n">
        <v>46132</v>
      </c>
      <c r="B174" s="29">
        <f>MONTH(A174)</f>
        <v/>
      </c>
      <c r="C174" s="29">
        <f>IF(AND(ISNUMBER(W174),ISNUMBER($C$4),ABS(W174-$C$4)&lt;=$C$5,ABS(MOD(B174-$C$6+6,12)-6)&lt;=$C$7,OR($C$8="Any",P174=$C$8)),1,0)</f>
        <v/>
      </c>
      <c r="D174" s="29">
        <f>IF(C174=1,COUNTIF($C$16:C174,1),"")</f>
        <v/>
      </c>
      <c r="E174" s="18" t="n">
        <v>12.78</v>
      </c>
      <c r="F174" s="18" t="n">
        <v>14.72</v>
      </c>
      <c r="G174" s="18" t="n">
        <v>8.9</v>
      </c>
      <c r="H174" s="38" t="n">
        <v>20.17</v>
      </c>
      <c r="I174" s="38" t="n">
        <v>11.95</v>
      </c>
      <c r="J174" s="13" t="n">
        <v>10670</v>
      </c>
      <c r="K174" s="13" t="n">
        <v>10430.12</v>
      </c>
      <c r="L174" s="13" t="n">
        <v>1894.69</v>
      </c>
      <c r="M174" s="13" t="n">
        <v>2025.04</v>
      </c>
      <c r="N174" s="13" t="n">
        <v>4437</v>
      </c>
      <c r="O174" s="38" t="n">
        <v>45.64</v>
      </c>
      <c r="P174" s="39" t="inlineStr">
        <is>
          <t>Windy</t>
        </is>
      </c>
      <c r="Q174" s="13" t="n">
        <v>1754</v>
      </c>
      <c r="R174" s="13" t="n">
        <v>768.64</v>
      </c>
      <c r="S174" s="13" t="n">
        <v>103.88</v>
      </c>
      <c r="T174" s="13" t="n">
        <v>8917.120000000001</v>
      </c>
      <c r="U174" s="13" t="n">
        <v>768.8</v>
      </c>
      <c r="V174" s="13" t="n">
        <v>348.95</v>
      </c>
      <c r="W174" s="13" t="n">
        <v>1201.88</v>
      </c>
      <c r="X174" s="13" t="n">
        <v>2447.86</v>
      </c>
      <c r="Y174" s="13" t="n">
        <v>1416.46</v>
      </c>
      <c r="Z174" s="19" t="n"/>
      <c r="AA174" s="18" t="n"/>
      <c r="AB174" s="38" t="n">
        <v>20.62</v>
      </c>
      <c r="AC174" s="14">
        <f>IFERROR(AVERAGEIFS($E$16:$E$736,$W$16:$W$736,"&gt;="&amp;W174-$C$5,$W$16:$W$736,"&lt;="&amp;W174+$C$5,$B$16:$B$736,B174,$A$16:$A$736,"&lt;&gt;"&amp;A174),"")</f>
        <v/>
      </c>
      <c r="AD174" s="14">
        <f>IF(AND(ISNUMBER(E174),ISNUMBER(AC174)),E174-AC174,"")</f>
        <v/>
      </c>
    </row>
    <row r="175">
      <c r="A175" s="17" t="n">
        <v>46131</v>
      </c>
      <c r="B175" s="29">
        <f>MONTH(A175)</f>
        <v/>
      </c>
      <c r="C175" s="29">
        <f>IF(AND(ISNUMBER(W175),ISNUMBER($C$4),ABS(W175-$C$4)&lt;=$C$5,ABS(MOD(B175-$C$6+6,12)-6)&lt;=$C$7,OR($C$8="Any",P175=$C$8)),1,0)</f>
        <v/>
      </c>
      <c r="D175" s="29">
        <f>IF(C175=1,COUNTIF($C$16:C175,1),"")</f>
        <v/>
      </c>
      <c r="E175" s="18" t="n">
        <v>4.73</v>
      </c>
      <c r="F175" s="18" t="n">
        <v>6.36</v>
      </c>
      <c r="G175" s="18" t="n">
        <v>1.48</v>
      </c>
      <c r="H175" s="38" t="n">
        <v>17.2</v>
      </c>
      <c r="I175" s="38" t="n">
        <v>7.96</v>
      </c>
      <c r="J175" s="13" t="n">
        <v>10380</v>
      </c>
      <c r="K175" s="13" t="n">
        <v>10141.88</v>
      </c>
      <c r="L175" s="13" t="n">
        <v>2513.5</v>
      </c>
      <c r="M175" s="13" t="n">
        <v>2720.33</v>
      </c>
      <c r="N175" s="13" t="n">
        <v>4437</v>
      </c>
      <c r="O175" s="38" t="n">
        <v>61.31</v>
      </c>
      <c r="P175" s="39" t="inlineStr">
        <is>
          <t>Windy</t>
        </is>
      </c>
      <c r="Q175" s="13" t="n">
        <v>1745</v>
      </c>
      <c r="R175" s="13" t="n">
        <v>769.99</v>
      </c>
      <c r="S175" s="13" t="n">
        <v>-77.75</v>
      </c>
      <c r="T175" s="13" t="n">
        <v>8874.389999999999</v>
      </c>
      <c r="U175" s="13" t="n">
        <v>776.91</v>
      </c>
      <c r="V175" s="13" t="n">
        <v>137.26</v>
      </c>
      <c r="W175" s="13" t="n">
        <v>1448.8</v>
      </c>
      <c r="X175" s="13" t="n">
        <v>3104.16</v>
      </c>
      <c r="Y175" s="13" t="n">
        <v>1636</v>
      </c>
      <c r="Z175" s="19" t="n"/>
      <c r="AA175" s="18" t="n"/>
      <c r="AB175" s="38" t="n">
        <v>24.62</v>
      </c>
      <c r="AC175" s="14">
        <f>IFERROR(AVERAGEIFS($E$16:$E$736,$W$16:$W$736,"&gt;="&amp;W175-$C$5,$W$16:$W$736,"&lt;="&amp;W175+$C$5,$B$16:$B$736,B175,$A$16:$A$736,"&lt;&gt;"&amp;A175),"")</f>
        <v/>
      </c>
      <c r="AD175" s="14">
        <f>IF(AND(ISNUMBER(E175),ISNUMBER(AC175)),E175-AC175,"")</f>
        <v/>
      </c>
    </row>
    <row r="176">
      <c r="A176" s="17" t="n">
        <v>46130</v>
      </c>
      <c r="B176" s="29">
        <f>MONTH(A176)</f>
        <v/>
      </c>
      <c r="C176" s="29">
        <f>IF(AND(ISNUMBER(W176),ISNUMBER($C$4),ABS(W176-$C$4)&lt;=$C$5,ABS(MOD(B176-$C$6+6,12)-6)&lt;=$C$7,OR($C$8="Any",P176=$C$8)),1,0)</f>
        <v/>
      </c>
      <c r="D176" s="29">
        <f>IF(C176=1,COUNTIF($C$16:C176,1),"")</f>
        <v/>
      </c>
      <c r="E176" s="18" t="n">
        <v>16.12</v>
      </c>
      <c r="F176" s="18" t="n">
        <v>16.97</v>
      </c>
      <c r="G176" s="18" t="n">
        <v>14.44</v>
      </c>
      <c r="H176" s="38" t="n">
        <v>8.77</v>
      </c>
      <c r="I176" s="38" t="n">
        <v>2.77</v>
      </c>
      <c r="J176" s="13" t="n">
        <v>10329</v>
      </c>
      <c r="K176" s="13" t="n">
        <v>10122.44</v>
      </c>
      <c r="L176" s="13" t="n">
        <v>1160.56</v>
      </c>
      <c r="M176" s="13" t="n">
        <v>1506.71</v>
      </c>
      <c r="N176" s="13" t="n">
        <v>4437</v>
      </c>
      <c r="O176" s="38" t="n">
        <v>33.96</v>
      </c>
      <c r="P176" s="39" t="inlineStr">
        <is>
          <t>Windy</t>
        </is>
      </c>
      <c r="Q176" s="13" t="n">
        <v>1793</v>
      </c>
      <c r="R176" s="13" t="n">
        <v>770.89</v>
      </c>
      <c r="S176" s="13" t="n">
        <v>17.92</v>
      </c>
      <c r="T176" s="13" t="n">
        <v>9036.860000000001</v>
      </c>
      <c r="U176" s="13" t="n">
        <v>794.6</v>
      </c>
      <c r="V176" s="13" t="n">
        <v>292.25</v>
      </c>
      <c r="W176" s="13" t="n">
        <v>1052.85</v>
      </c>
      <c r="X176" s="13" t="n">
        <v>2206.18</v>
      </c>
      <c r="Y176" s="13" t="n">
        <v>1223.81</v>
      </c>
      <c r="Z176" s="19" t="n"/>
      <c r="AA176" s="18" t="n"/>
      <c r="AB176" s="38" t="n">
        <v>20.06</v>
      </c>
      <c r="AC176" s="14">
        <f>IFERROR(AVERAGEIFS($E$16:$E$736,$W$16:$W$736,"&gt;="&amp;W176-$C$5,$W$16:$W$736,"&lt;="&amp;W176+$C$5,$B$16:$B$736,B176,$A$16:$A$736,"&lt;&gt;"&amp;A176),"")</f>
        <v/>
      </c>
      <c r="AD176" s="14">
        <f>IF(AND(ISNUMBER(E176),ISNUMBER(AC176)),E176-AC176,"")</f>
        <v/>
      </c>
    </row>
    <row r="177">
      <c r="A177" s="17" t="n">
        <v>46129</v>
      </c>
      <c r="B177" s="29">
        <f>MONTH(A177)</f>
        <v/>
      </c>
      <c r="C177" s="29">
        <f>IF(AND(ISNUMBER(W177),ISNUMBER($C$4),ABS(W177-$C$4)&lt;=$C$5,ABS(MOD(B177-$C$6+6,12)-6)&lt;=$C$7,OR($C$8="Any",P177=$C$8)),1,0)</f>
        <v/>
      </c>
      <c r="D177" s="29">
        <f>IF(C177=1,COUNTIF($C$16:C177,1),"")</f>
        <v/>
      </c>
      <c r="E177" s="18" t="n">
        <v>124.24</v>
      </c>
      <c r="F177" s="18" t="n">
        <v>114.25</v>
      </c>
      <c r="G177" s="18" t="n">
        <v>144.22</v>
      </c>
      <c r="H177" s="38" t="n">
        <v>3.1</v>
      </c>
      <c r="I177" s="38" t="n">
        <v>-2.31</v>
      </c>
      <c r="J177" s="13" t="n">
        <v>10768</v>
      </c>
      <c r="K177" s="13" t="n">
        <v>10588.56</v>
      </c>
      <c r="L177" s="13" t="n">
        <v>929.0599999999999</v>
      </c>
      <c r="M177" s="13" t="n">
        <v>754.12</v>
      </c>
      <c r="N177" s="13" t="n">
        <v>4437</v>
      </c>
      <c r="O177" s="38" t="n">
        <v>17</v>
      </c>
      <c r="P177" s="39" t="inlineStr">
        <is>
          <t>Windy</t>
        </is>
      </c>
      <c r="Q177" s="13" t="n">
        <v>1701</v>
      </c>
      <c r="R177" s="13" t="n">
        <v>682.6</v>
      </c>
      <c r="S177" s="13" t="n">
        <v>94.92</v>
      </c>
      <c r="T177" s="13" t="n">
        <v>9054.59</v>
      </c>
      <c r="U177" s="13" t="n">
        <v>732.17</v>
      </c>
      <c r="V177" s="13" t="n">
        <v>917.67</v>
      </c>
      <c r="W177" s="13" t="n">
        <v>-475.65</v>
      </c>
      <c r="X177" s="13" t="n">
        <v>1377.82</v>
      </c>
      <c r="Y177" s="13" t="n">
        <v>-322.86</v>
      </c>
      <c r="Z177" s="19" t="n"/>
      <c r="AA177" s="18" t="n"/>
      <c r="AB177" s="38" t="n">
        <v>14.35</v>
      </c>
      <c r="AC177" s="14">
        <f>IFERROR(AVERAGEIFS($E$16:$E$736,$W$16:$W$736,"&gt;="&amp;W177-$C$5,$W$16:$W$736,"&lt;="&amp;W177+$C$5,$B$16:$B$736,B177,$A$16:$A$736,"&lt;&gt;"&amp;A177),"")</f>
        <v/>
      </c>
      <c r="AD177" s="14">
        <f>IF(AND(ISNUMBER(E177),ISNUMBER(AC177)),E177-AC177,"")</f>
        <v/>
      </c>
    </row>
    <row r="178">
      <c r="A178" s="17" t="n">
        <v>46128</v>
      </c>
      <c r="B178" s="29">
        <f>MONTH(A178)</f>
        <v/>
      </c>
      <c r="C178" s="29">
        <f>IF(AND(ISNUMBER(W178),ISNUMBER($C$4),ABS(W178-$C$4)&lt;=$C$5,ABS(MOD(B178-$C$6+6,12)-6)&lt;=$C$7,OR($C$8="Any",P178=$C$8)),1,0)</f>
        <v/>
      </c>
      <c r="D178" s="29">
        <f>IF(C178=1,COUNTIF($C$16:C178,1),"")</f>
        <v/>
      </c>
      <c r="E178" s="18" t="n">
        <v>107.83</v>
      </c>
      <c r="F178" s="18" t="n">
        <v>130.63</v>
      </c>
      <c r="G178" s="18" t="n">
        <v>62.24</v>
      </c>
      <c r="H178" s="38" t="n">
        <v>-4.47</v>
      </c>
      <c r="I178" s="38" t="n">
        <v>-6.77</v>
      </c>
      <c r="J178" s="13" t="n">
        <v>11295</v>
      </c>
      <c r="K178" s="13" t="n">
        <v>10988</v>
      </c>
      <c r="L178" s="13" t="n">
        <v>1355.69</v>
      </c>
      <c r="M178" s="13" t="n">
        <v>1619.5</v>
      </c>
      <c r="N178" s="13" t="n">
        <v>4437</v>
      </c>
      <c r="O178" s="38" t="n">
        <v>36.5</v>
      </c>
      <c r="P178" s="39" t="inlineStr">
        <is>
          <t>Windy</t>
        </is>
      </c>
      <c r="Q178" s="13" t="n">
        <v>1102</v>
      </c>
      <c r="R178" s="13" t="n">
        <v>629.9400000000001</v>
      </c>
      <c r="S178" s="13" t="n">
        <v>21.83</v>
      </c>
      <c r="T178" s="13" t="n">
        <v>9248.75</v>
      </c>
      <c r="U178" s="13" t="n">
        <v>721.78</v>
      </c>
      <c r="V178" s="13" t="n">
        <v>79.59</v>
      </c>
      <c r="W178" s="13" t="n">
        <v>44.91</v>
      </c>
      <c r="X178" s="13" t="n">
        <v>1066.02</v>
      </c>
      <c r="Y178" s="13" t="n">
        <v>131.89</v>
      </c>
      <c r="Z178" s="19" t="n"/>
      <c r="AA178" s="18" t="n"/>
      <c r="AB178" s="38" t="n">
        <v>12.41</v>
      </c>
      <c r="AC178" s="14">
        <f>IFERROR(AVERAGEIFS($E$16:$E$736,$W$16:$W$736,"&gt;="&amp;W178-$C$5,$W$16:$W$736,"&lt;="&amp;W178+$C$5,$B$16:$B$736,B178,$A$16:$A$736,"&lt;&gt;"&amp;A178),"")</f>
        <v/>
      </c>
      <c r="AD178" s="14">
        <f>IF(AND(ISNUMBER(E178),ISNUMBER(AC178)),E178-AC178,"")</f>
        <v/>
      </c>
    </row>
    <row r="179">
      <c r="A179" s="17" t="n">
        <v>46127</v>
      </c>
      <c r="B179" s="29">
        <f>MONTH(A179)</f>
        <v/>
      </c>
      <c r="C179" s="29">
        <f>IF(AND(ISNUMBER(W179),ISNUMBER($C$4),ABS(W179-$C$4)&lt;=$C$5,ABS(MOD(B179-$C$6+6,12)-6)&lt;=$C$7,OR($C$8="Any",P179=$C$8)),1,0)</f>
        <v/>
      </c>
      <c r="D179" s="29">
        <f>IF(C179=1,COUNTIF($C$16:C179,1),"")</f>
        <v/>
      </c>
      <c r="E179" s="18" t="n">
        <v>14.72</v>
      </c>
      <c r="F179" s="18" t="n">
        <v>19.73</v>
      </c>
      <c r="G179" s="18" t="n">
        <v>4.7</v>
      </c>
      <c r="H179" s="38" t="n">
        <v>3</v>
      </c>
      <c r="I179" s="38" t="n">
        <v>0.4</v>
      </c>
      <c r="J179" s="13" t="n">
        <v>11391</v>
      </c>
      <c r="K179" s="13" t="n">
        <v>11096.75</v>
      </c>
      <c r="L179" s="13" t="n">
        <v>2639.62</v>
      </c>
      <c r="M179" s="13" t="n">
        <v>2745.83</v>
      </c>
      <c r="N179" s="13" t="n">
        <v>4437</v>
      </c>
      <c r="O179" s="38" t="n">
        <v>61.88</v>
      </c>
      <c r="P179" s="39" t="inlineStr">
        <is>
          <t>Windy</t>
        </is>
      </c>
      <c r="Q179" s="13" t="n">
        <v>1309</v>
      </c>
      <c r="R179" s="13" t="n">
        <v>593</v>
      </c>
      <c r="S179" s="13" t="n">
        <v>-2</v>
      </c>
      <c r="T179" s="13" t="n">
        <v>9040.450000000001</v>
      </c>
      <c r="U179" s="13" t="n">
        <v>697.25</v>
      </c>
      <c r="V179" s="13" t="n">
        <v>290.1</v>
      </c>
      <c r="W179" s="13" t="n">
        <v>1256.69</v>
      </c>
      <c r="X179" s="13" t="n">
        <v>2019.52</v>
      </c>
      <c r="Y179" s="13" t="n">
        <v>1284.12</v>
      </c>
      <c r="Z179" s="19" t="n"/>
      <c r="AA179" s="18" t="n"/>
      <c r="AB179" s="38" t="n">
        <v>24.02</v>
      </c>
      <c r="AC179" s="14">
        <f>IFERROR(AVERAGEIFS($E$16:$E$736,$W$16:$W$736,"&gt;="&amp;W179-$C$5,$W$16:$W$736,"&lt;="&amp;W179+$C$5,$B$16:$B$736,B179,$A$16:$A$736,"&lt;&gt;"&amp;A179),"")</f>
        <v/>
      </c>
      <c r="AD179" s="14">
        <f>IF(AND(ISNUMBER(E179),ISNUMBER(AC179)),E179-AC179,"")</f>
        <v/>
      </c>
    </row>
    <row r="180">
      <c r="A180" s="17" t="n">
        <v>46126</v>
      </c>
      <c r="B180" s="29">
        <f>MONTH(A180)</f>
        <v/>
      </c>
      <c r="C180" s="29">
        <f>IF(AND(ISNUMBER(W180),ISNUMBER($C$4),ABS(W180-$C$4)&lt;=$C$5,ABS(MOD(B180-$C$6+6,12)-6)&lt;=$C$7,OR($C$8="Any",P180=$C$8)),1,0)</f>
        <v/>
      </c>
      <c r="D180" s="29">
        <f>IF(C180=1,COUNTIF($C$16:C180,1),"")</f>
        <v/>
      </c>
      <c r="E180" s="18" t="n">
        <v>3.91</v>
      </c>
      <c r="F180" s="18" t="n">
        <v>2.62</v>
      </c>
      <c r="G180" s="18" t="n">
        <v>6.48</v>
      </c>
      <c r="H180" s="38" t="n">
        <v>8.43</v>
      </c>
      <c r="I180" s="38" t="n">
        <v>5.27</v>
      </c>
      <c r="J180" s="13" t="n">
        <v>11091</v>
      </c>
      <c r="K180" s="13" t="n">
        <v>10882.38</v>
      </c>
      <c r="L180" s="13" t="n">
        <v>3330.62</v>
      </c>
      <c r="M180" s="13" t="n">
        <v>3118.46</v>
      </c>
      <c r="N180" s="13" t="n">
        <v>4437</v>
      </c>
      <c r="O180" s="38" t="n">
        <v>70.28</v>
      </c>
      <c r="P180" s="39" t="inlineStr">
        <is>
          <t>Windy</t>
        </is>
      </c>
      <c r="Q180" s="13" t="n">
        <v>1303</v>
      </c>
      <c r="R180" s="13" t="n">
        <v>606.6</v>
      </c>
      <c r="S180" s="13" t="n">
        <v>-119.75</v>
      </c>
      <c r="T180" s="13" t="n">
        <v>9041.01</v>
      </c>
      <c r="U180" s="13" t="n">
        <v>712.53</v>
      </c>
      <c r="V180" s="13" t="n">
        <v>468.93</v>
      </c>
      <c r="W180" s="13" t="n">
        <v>2205.68</v>
      </c>
      <c r="X180" s="13" t="n">
        <v>2908.56</v>
      </c>
      <c r="Y180" s="13" t="n">
        <v>2291.76</v>
      </c>
      <c r="Z180" s="19" t="n"/>
      <c r="AA180" s="18" t="n"/>
      <c r="AB180" s="38" t="n">
        <v>28.36</v>
      </c>
      <c r="AC180" s="14">
        <f>IFERROR(AVERAGEIFS($E$16:$E$736,$W$16:$W$736,"&gt;="&amp;W180-$C$5,$W$16:$W$736,"&lt;="&amp;W180+$C$5,$B$16:$B$736,B180,$A$16:$A$736,"&lt;&gt;"&amp;A180),"")</f>
        <v/>
      </c>
      <c r="AD180" s="14">
        <f>IF(AND(ISNUMBER(E180),ISNUMBER(AC180)),E180-AC180,"")</f>
        <v/>
      </c>
    </row>
    <row r="181">
      <c r="A181" s="17" t="n">
        <v>46125</v>
      </c>
      <c r="B181" s="29">
        <f>MONTH(A181)</f>
        <v/>
      </c>
      <c r="C181" s="29">
        <f>IF(AND(ISNUMBER(W181),ISNUMBER($C$4),ABS(W181-$C$4)&lt;=$C$5,ABS(MOD(B181-$C$6+6,12)-6)&lt;=$C$7,OR($C$8="Any",P181=$C$8)),1,0)</f>
        <v/>
      </c>
      <c r="D181" s="29">
        <f>IF(C181=1,COUNTIF($C$16:C181,1),"")</f>
        <v/>
      </c>
      <c r="E181" s="18" t="n">
        <v>64.41</v>
      </c>
      <c r="F181" s="18" t="n">
        <v>80.42</v>
      </c>
      <c r="G181" s="18" t="n">
        <v>32.37</v>
      </c>
      <c r="H181" s="38" t="n">
        <v>13.07</v>
      </c>
      <c r="I181" s="38" t="n">
        <v>5.72</v>
      </c>
      <c r="J181" s="13" t="n">
        <v>10690</v>
      </c>
      <c r="K181" s="13" t="n">
        <v>10497.38</v>
      </c>
      <c r="L181" s="13" t="n">
        <v>1359.12</v>
      </c>
      <c r="M181" s="13" t="n">
        <v>1149.67</v>
      </c>
      <c r="N181" s="13" t="n">
        <v>4437</v>
      </c>
      <c r="O181" s="38" t="n">
        <v>25.91</v>
      </c>
      <c r="P181" s="39" t="inlineStr">
        <is>
          <t>Windy</t>
        </is>
      </c>
      <c r="Q181" s="13" t="n">
        <v>1613</v>
      </c>
      <c r="R181" s="13" t="n">
        <v>611.3200000000001</v>
      </c>
      <c r="S181" s="13" t="n">
        <v>155.5</v>
      </c>
      <c r="T181" s="13" t="n">
        <v>9151.82</v>
      </c>
      <c r="U181" s="13" t="n">
        <v>704.03</v>
      </c>
      <c r="V181" s="13" t="n">
        <v>71.31999999999999</v>
      </c>
      <c r="W181" s="13" t="n">
        <v>200.78</v>
      </c>
      <c r="X181" s="13" t="n">
        <v>1731.47</v>
      </c>
      <c r="Y181" s="13" t="n">
        <v>283.38</v>
      </c>
      <c r="Z181" s="19" t="n"/>
      <c r="AA181" s="18" t="n"/>
      <c r="AB181" s="38" t="n">
        <v>20.79</v>
      </c>
      <c r="AC181" s="14">
        <f>IFERROR(AVERAGEIFS($E$16:$E$736,$W$16:$W$736,"&gt;="&amp;W181-$C$5,$W$16:$W$736,"&lt;="&amp;W181+$C$5,$B$16:$B$736,B181,$A$16:$A$736,"&lt;&gt;"&amp;A181),"")</f>
        <v/>
      </c>
      <c r="AD181" s="14">
        <f>IF(AND(ISNUMBER(E181),ISNUMBER(AC181)),E181-AC181,"")</f>
        <v/>
      </c>
    </row>
    <row r="182">
      <c r="A182" s="17" t="n">
        <v>46124</v>
      </c>
      <c r="B182" s="29">
        <f>MONTH(A182)</f>
        <v/>
      </c>
      <c r="C182" s="29">
        <f>IF(AND(ISNUMBER(W182),ISNUMBER($C$4),ABS(W182-$C$4)&lt;=$C$5,ABS(MOD(B182-$C$6+6,12)-6)&lt;=$C$7,OR($C$8="Any",P182=$C$8)),1,0)</f>
        <v/>
      </c>
      <c r="D182" s="29">
        <f>IF(C182=1,COUNTIF($C$16:C182,1),"")</f>
        <v/>
      </c>
      <c r="E182" s="18" t="n">
        <v>41.11</v>
      </c>
      <c r="F182" s="18" t="n">
        <v>58.51</v>
      </c>
      <c r="G182" s="18" t="n">
        <v>6.33</v>
      </c>
      <c r="H182" s="38" t="n">
        <v>4.6</v>
      </c>
      <c r="I182" s="38" t="n">
        <v>1.8</v>
      </c>
      <c r="J182" s="13" t="n">
        <v>10560</v>
      </c>
      <c r="K182" s="13" t="n">
        <v>10356.12</v>
      </c>
      <c r="L182" s="13" t="n">
        <v>471.69</v>
      </c>
      <c r="M182" s="13" t="n">
        <v>1162.71</v>
      </c>
      <c r="N182" s="13" t="n">
        <v>4437</v>
      </c>
      <c r="O182" s="38" t="n">
        <v>26.2</v>
      </c>
      <c r="P182" s="39" t="inlineStr">
        <is>
          <t>Windy</t>
        </is>
      </c>
      <c r="Q182" s="13" t="n">
        <v>578</v>
      </c>
      <c r="R182" s="13" t="n">
        <v>610.46</v>
      </c>
      <c r="S182" s="13" t="n">
        <v>291.17</v>
      </c>
      <c r="T182" s="13" t="n">
        <v>9291.02</v>
      </c>
      <c r="U182" s="13" t="n">
        <v>726.97</v>
      </c>
      <c r="V182" s="13" t="n">
        <v>19.87</v>
      </c>
      <c r="W182" s="13" t="n">
        <v>348.73</v>
      </c>
      <c r="X182" s="13" t="n">
        <v>934.85</v>
      </c>
      <c r="Y182" s="13" t="n">
        <v>431.1</v>
      </c>
      <c r="Z182" s="19" t="n"/>
      <c r="AA182" s="18" t="n"/>
      <c r="AB182" s="38" t="n">
        <v>11.61</v>
      </c>
      <c r="AC182" s="14">
        <f>IFERROR(AVERAGEIFS($E$16:$E$736,$W$16:$W$736,"&gt;="&amp;W182-$C$5,$W$16:$W$736,"&lt;="&amp;W182+$C$5,$B$16:$B$736,B182,$A$16:$A$736,"&lt;&gt;"&amp;A182),"")</f>
        <v/>
      </c>
      <c r="AD182" s="14">
        <f>IF(AND(ISNUMBER(E182),ISNUMBER(AC182)),E182-AC182,"")</f>
        <v/>
      </c>
    </row>
    <row r="183">
      <c r="A183" s="17" t="n">
        <v>46123</v>
      </c>
      <c r="B183" s="29">
        <f>MONTH(A183)</f>
        <v/>
      </c>
      <c r="C183" s="29">
        <f>IF(AND(ISNUMBER(W183),ISNUMBER($C$4),ABS(W183-$C$4)&lt;=$C$5,ABS(MOD(B183-$C$6+6,12)-6)&lt;=$C$7,OR($C$8="Any",P183=$C$8)),1,0)</f>
        <v/>
      </c>
      <c r="D183" s="29">
        <f>IF(C183=1,COUNTIF($C$16:C183,1),"")</f>
        <v/>
      </c>
      <c r="E183" s="18" t="n">
        <v>20.81</v>
      </c>
      <c r="F183" s="18" t="n">
        <v>20.98</v>
      </c>
      <c r="G183" s="18" t="n">
        <v>20.47</v>
      </c>
      <c r="H183" s="38" t="n">
        <v>9.800000000000001</v>
      </c>
      <c r="I183" s="38" t="n">
        <v>4.75</v>
      </c>
      <c r="J183" s="13" t="n">
        <v>10390</v>
      </c>
      <c r="K183" s="13" t="n">
        <v>10221.75</v>
      </c>
      <c r="L183" s="13" t="n">
        <v>924.9400000000001</v>
      </c>
      <c r="M183" s="13" t="n">
        <v>1100.25</v>
      </c>
      <c r="N183" s="13" t="n">
        <v>4437</v>
      </c>
      <c r="O183" s="38" t="n">
        <v>24.8</v>
      </c>
      <c r="P183" s="39" t="inlineStr">
        <is>
          <t>Windy</t>
        </is>
      </c>
      <c r="Q183" s="13" t="n">
        <v>1349</v>
      </c>
      <c r="R183" s="13" t="n">
        <v>610.46</v>
      </c>
      <c r="S183" s="13" t="n">
        <v>210.25</v>
      </c>
      <c r="T183" s="13" t="n">
        <v>9171.190000000001</v>
      </c>
      <c r="U183" s="13" t="n">
        <v>766.33</v>
      </c>
      <c r="V183" s="13" t="n">
        <v>307.8</v>
      </c>
      <c r="W183" s="13" t="n">
        <v>826.83</v>
      </c>
      <c r="X183" s="13" t="n">
        <v>1646.82</v>
      </c>
      <c r="Y183" s="13" t="n">
        <v>857.3</v>
      </c>
      <c r="Z183" s="19" t="n"/>
      <c r="AA183" s="18" t="n"/>
      <c r="AB183" s="38" t="n">
        <v>14.32</v>
      </c>
      <c r="AC183" s="14">
        <f>IFERROR(AVERAGEIFS($E$16:$E$736,$W$16:$W$736,"&gt;="&amp;W183-$C$5,$W$16:$W$736,"&lt;="&amp;W183+$C$5,$B$16:$B$736,B183,$A$16:$A$736,"&lt;&gt;"&amp;A183),"")</f>
        <v/>
      </c>
      <c r="AD183" s="14">
        <f>IF(AND(ISNUMBER(E183),ISNUMBER(AC183)),E183-AC183,"")</f>
        <v/>
      </c>
    </row>
    <row r="184">
      <c r="A184" s="17" t="n">
        <v>46122</v>
      </c>
      <c r="B184" s="29">
        <f>MONTH(A184)</f>
        <v/>
      </c>
      <c r="C184" s="29">
        <f>IF(AND(ISNUMBER(W184),ISNUMBER($C$4),ABS(W184-$C$4)&lt;=$C$5,ABS(MOD(B184-$C$6+6,12)-6)&lt;=$C$7,OR($C$8="Any",P184=$C$8)),1,0)</f>
        <v/>
      </c>
      <c r="D184" s="29">
        <f>IF(C184=1,COUNTIF($C$16:C184,1),"")</f>
        <v/>
      </c>
      <c r="E184" s="18" t="n">
        <v>23.76</v>
      </c>
      <c r="F184" s="18" t="n">
        <v>32.2</v>
      </c>
      <c r="G184" s="18" t="n">
        <v>6.9</v>
      </c>
      <c r="H184" s="38" t="n">
        <v>10.93</v>
      </c>
      <c r="I184" s="38" t="n">
        <v>3.88</v>
      </c>
      <c r="J184" s="13" t="n">
        <v>10798</v>
      </c>
      <c r="K184" s="13" t="n">
        <v>10509.31</v>
      </c>
      <c r="L184" s="13" t="n">
        <v>1147.12</v>
      </c>
      <c r="M184" s="13" t="n">
        <v>1732.5</v>
      </c>
      <c r="N184" s="13" t="n">
        <v>4437</v>
      </c>
      <c r="O184" s="38" t="n">
        <v>39.05</v>
      </c>
      <c r="P184" s="39" t="inlineStr">
        <is>
          <t>Windy</t>
        </is>
      </c>
      <c r="Q184" s="13" t="n">
        <v>1740</v>
      </c>
      <c r="R184" s="13" t="n">
        <v>609.67</v>
      </c>
      <c r="S184" s="13" t="n">
        <v>-92</v>
      </c>
      <c r="T184" s="13" t="n">
        <v>9313.719999999999</v>
      </c>
      <c r="U184" s="13" t="n">
        <v>739.65</v>
      </c>
      <c r="V184" s="13" t="n">
        <v>71.84999999999999</v>
      </c>
      <c r="W184" s="13" t="n">
        <v>801.09</v>
      </c>
      <c r="X184" s="13" t="n">
        <v>1933.98</v>
      </c>
      <c r="Y184" s="13" t="n">
        <v>872.1900000000001</v>
      </c>
      <c r="Z184" s="19" t="n"/>
      <c r="AA184" s="18" t="n"/>
      <c r="AB184" s="38" t="n">
        <v>13.7</v>
      </c>
      <c r="AC184" s="14">
        <f>IFERROR(AVERAGEIFS($E$16:$E$736,$W$16:$W$736,"&gt;="&amp;W184-$C$5,$W$16:$W$736,"&lt;="&amp;W184+$C$5,$B$16:$B$736,B184,$A$16:$A$736,"&lt;&gt;"&amp;A184),"")</f>
        <v/>
      </c>
      <c r="AD184" s="14">
        <f>IF(AND(ISNUMBER(E184),ISNUMBER(AC184)),E184-AC184,"")</f>
        <v/>
      </c>
    </row>
    <row r="185">
      <c r="A185" s="17" t="n">
        <v>46121</v>
      </c>
      <c r="B185" s="29">
        <f>MONTH(A185)</f>
        <v/>
      </c>
      <c r="C185" s="29">
        <f>IF(AND(ISNUMBER(W185),ISNUMBER($C$4),ABS(W185-$C$4)&lt;=$C$5,ABS(MOD(B185-$C$6+6,12)-6)&lt;=$C$7,OR($C$8="Any",P185=$C$8)),1,0)</f>
        <v/>
      </c>
      <c r="D185" s="29">
        <f>IF(C185=1,COUNTIF($C$16:C185,1),"")</f>
        <v/>
      </c>
      <c r="E185" s="18" t="n">
        <v>21.13</v>
      </c>
      <c r="F185" s="18" t="n">
        <v>20.28</v>
      </c>
      <c r="G185" s="18" t="n">
        <v>22.83</v>
      </c>
      <c r="H185" s="38" t="n">
        <v>6.57</v>
      </c>
      <c r="I185" s="38" t="n">
        <v>0.89</v>
      </c>
      <c r="J185" s="13" t="n">
        <v>10790</v>
      </c>
      <c r="K185" s="13" t="n">
        <v>10530.56</v>
      </c>
      <c r="L185" s="13" t="n">
        <v>775.62</v>
      </c>
      <c r="M185" s="13" t="n">
        <v>982.96</v>
      </c>
      <c r="N185" s="13" t="n">
        <v>4437</v>
      </c>
      <c r="O185" s="38" t="n">
        <v>22.15</v>
      </c>
      <c r="P185" s="39" t="inlineStr">
        <is>
          <t>Windy</t>
        </is>
      </c>
      <c r="Q185" s="13" t="n">
        <v>1564</v>
      </c>
      <c r="R185" s="13" t="n">
        <v>579.14</v>
      </c>
      <c r="S185" s="13" t="n">
        <v>149.5</v>
      </c>
      <c r="T185" s="13" t="n">
        <v>9050.209999999999</v>
      </c>
      <c r="U185" s="13" t="n">
        <v>753.66</v>
      </c>
      <c r="V185" s="13" t="n">
        <v>12.24</v>
      </c>
      <c r="W185" s="13" t="n">
        <v>749.51</v>
      </c>
      <c r="X185" s="13" t="n">
        <v>1326.57</v>
      </c>
      <c r="Y185" s="13" t="n">
        <v>777.15</v>
      </c>
      <c r="Z185" s="19" t="n"/>
      <c r="AA185" s="18" t="n"/>
      <c r="AB185" s="38" t="n">
        <v>11.98</v>
      </c>
      <c r="AC185" s="14">
        <f>IFERROR(AVERAGEIFS($E$16:$E$736,$W$16:$W$736,"&gt;="&amp;W185-$C$5,$W$16:$W$736,"&lt;="&amp;W185+$C$5,$B$16:$B$736,B185,$A$16:$A$736,"&lt;&gt;"&amp;A185),"")</f>
        <v/>
      </c>
      <c r="AD185" s="14">
        <f>IF(AND(ISNUMBER(E185),ISNUMBER(AC185)),E185-AC185,"")</f>
        <v/>
      </c>
    </row>
    <row r="186">
      <c r="A186" s="17" t="n">
        <v>46120</v>
      </c>
      <c r="B186" s="29">
        <f>MONTH(A186)</f>
        <v/>
      </c>
      <c r="C186" s="29">
        <f>IF(AND(ISNUMBER(W186),ISNUMBER($C$4),ABS(W186-$C$4)&lt;=$C$5,ABS(MOD(B186-$C$6+6,12)-6)&lt;=$C$7,OR($C$8="Any",P186=$C$8)),1,0)</f>
        <v/>
      </c>
      <c r="D186" s="29">
        <f>IF(C186=1,COUNTIF($C$16:C186,1),"")</f>
        <v/>
      </c>
      <c r="E186" s="18" t="n">
        <v>32.77</v>
      </c>
      <c r="F186" s="18" t="n">
        <v>44.41</v>
      </c>
      <c r="G186" s="18" t="n">
        <v>9.49</v>
      </c>
      <c r="H186" s="38" t="n">
        <v>4.37</v>
      </c>
      <c r="I186" s="38" t="n">
        <v>-0.93</v>
      </c>
      <c r="J186" s="13" t="n">
        <v>10797</v>
      </c>
      <c r="K186" s="13" t="n">
        <v>10572</v>
      </c>
      <c r="L186" s="13" t="n">
        <v>461.25</v>
      </c>
      <c r="M186" s="13" t="n">
        <v>1205.96</v>
      </c>
      <c r="N186" s="13" t="n">
        <v>4437</v>
      </c>
      <c r="O186" s="38" t="n">
        <v>27.18</v>
      </c>
      <c r="P186" s="39" t="inlineStr">
        <is>
          <t>Windy</t>
        </is>
      </c>
      <c r="Q186" s="13" t="n">
        <v>1617</v>
      </c>
      <c r="R186" s="13" t="n">
        <v>609.63</v>
      </c>
      <c r="S186" s="13" t="n">
        <v>348.38</v>
      </c>
      <c r="T186" s="13" t="n">
        <v>8705.040000000001</v>
      </c>
      <c r="U186" s="13" t="n">
        <v>751.37</v>
      </c>
      <c r="V186" s="13" t="n">
        <v>22.34</v>
      </c>
      <c r="W186" s="13" t="n">
        <v>255.12</v>
      </c>
      <c r="X186" s="13" t="n">
        <v>843.08</v>
      </c>
      <c r="Y186" s="13" t="n">
        <v>280.27</v>
      </c>
      <c r="Z186" s="19" t="n"/>
      <c r="AA186" s="18" t="n"/>
      <c r="AB186" s="38" t="n">
        <v>10.84</v>
      </c>
      <c r="AC186" s="14">
        <f>IFERROR(AVERAGEIFS($E$16:$E$736,$W$16:$W$736,"&gt;="&amp;W186-$C$5,$W$16:$W$736,"&lt;="&amp;W186+$C$5,$B$16:$B$736,B186,$A$16:$A$736,"&lt;&gt;"&amp;A186),"")</f>
        <v/>
      </c>
      <c r="AD186" s="14">
        <f>IF(AND(ISNUMBER(E186),ISNUMBER(AC186)),E186-AC186,"")</f>
        <v/>
      </c>
    </row>
    <row r="187">
      <c r="A187" s="17" t="n">
        <v>46119</v>
      </c>
      <c r="B187" s="29">
        <f>MONTH(A187)</f>
        <v/>
      </c>
      <c r="C187" s="29">
        <f>IF(AND(ISNUMBER(W187),ISNUMBER($C$4),ABS(W187-$C$4)&lt;=$C$5,ABS(MOD(B187-$C$6+6,12)-6)&lt;=$C$7,OR($C$8="Any",P187=$C$8)),1,0)</f>
        <v/>
      </c>
      <c r="D187" s="29">
        <f>IF(C187=1,COUNTIF($C$16:C187,1),"")</f>
        <v/>
      </c>
      <c r="E187" s="18" t="n">
        <v>5.88</v>
      </c>
      <c r="F187" s="18" t="n">
        <v>7.34</v>
      </c>
      <c r="G187" s="18" t="n">
        <v>2.94</v>
      </c>
      <c r="H187" s="38" t="n">
        <v>3.07</v>
      </c>
      <c r="I187" s="38" t="n">
        <v>1.22</v>
      </c>
      <c r="J187" s="13" t="n">
        <v>11198</v>
      </c>
      <c r="K187" s="13" t="n">
        <v>10988.75</v>
      </c>
      <c r="L187" s="13" t="n">
        <v>3046.12</v>
      </c>
      <c r="M187" s="13" t="n">
        <v>3195.96</v>
      </c>
      <c r="N187" s="13" t="n">
        <v>4437</v>
      </c>
      <c r="O187" s="38" t="n">
        <v>72.03</v>
      </c>
      <c r="P187" s="39" t="inlineStr">
        <is>
          <t>Windy</t>
        </is>
      </c>
      <c r="Q187" s="13" t="n">
        <v>1225</v>
      </c>
      <c r="R187" s="13" t="n">
        <v>609.52</v>
      </c>
      <c r="S187" s="13" t="n">
        <v>12.67</v>
      </c>
      <c r="T187" s="13" t="n">
        <v>8635.09</v>
      </c>
      <c r="U187" s="13" t="n">
        <v>755.3</v>
      </c>
      <c r="V187" s="13" t="n">
        <v>397.06</v>
      </c>
      <c r="W187" s="13" t="n">
        <v>1215.77</v>
      </c>
      <c r="X187" s="13" t="n">
        <v>2228.22</v>
      </c>
      <c r="Y187" s="13" t="n">
        <v>1243.82</v>
      </c>
      <c r="Z187" s="19" t="n"/>
      <c r="AA187" s="18" t="n"/>
      <c r="AB187" s="38" t="n">
        <v>24.02</v>
      </c>
      <c r="AC187" s="14">
        <f>IFERROR(AVERAGEIFS($E$16:$E$736,$W$16:$W$736,"&gt;="&amp;W187-$C$5,$W$16:$W$736,"&lt;="&amp;W187+$C$5,$B$16:$B$736,B187,$A$16:$A$736,"&lt;&gt;"&amp;A187),"")</f>
        <v/>
      </c>
      <c r="AD187" s="14">
        <f>IF(AND(ISNUMBER(E187),ISNUMBER(AC187)),E187-AC187,"")</f>
        <v/>
      </c>
    </row>
    <row r="188">
      <c r="A188" s="17" t="n">
        <v>46118</v>
      </c>
      <c r="B188" s="29">
        <f>MONTH(A188)</f>
        <v/>
      </c>
      <c r="C188" s="29">
        <f>IF(AND(ISNUMBER(W188),ISNUMBER($C$4),ABS(W188-$C$4)&lt;=$C$5,ABS(MOD(B188-$C$6+6,12)-6)&lt;=$C$7,OR($C$8="Any",P188=$C$8)),1,0)</f>
        <v/>
      </c>
      <c r="D188" s="29">
        <f>IF(C188=1,COUNTIF($C$16:C188,1),"")</f>
        <v/>
      </c>
      <c r="E188" s="18" t="n">
        <v>11.91</v>
      </c>
      <c r="F188" s="18" t="n">
        <v>8.369999999999999</v>
      </c>
      <c r="G188" s="18" t="n">
        <v>18.98</v>
      </c>
      <c r="H188" s="38" t="n">
        <v>5.5</v>
      </c>
      <c r="I188" s="38" t="n">
        <v>0.55</v>
      </c>
      <c r="J188" s="13" t="n">
        <v>11265</v>
      </c>
      <c r="K188" s="13" t="n">
        <v>11048.44</v>
      </c>
      <c r="L188" s="13" t="n">
        <v>3092.06</v>
      </c>
      <c r="M188" s="13" t="n">
        <v>2710.88</v>
      </c>
      <c r="N188" s="13" t="n">
        <v>4437</v>
      </c>
      <c r="O188" s="38" t="n">
        <v>61.1</v>
      </c>
      <c r="P188" s="39" t="inlineStr">
        <is>
          <t>Windy</t>
        </is>
      </c>
      <c r="Q188" s="13" t="n">
        <v>1375</v>
      </c>
      <c r="R188" s="13" t="n">
        <v>609.75</v>
      </c>
      <c r="S188" s="13" t="n">
        <v>-54.33</v>
      </c>
      <c r="T188" s="13" t="n">
        <v>9157.530000000001</v>
      </c>
      <c r="U188" s="13" t="n">
        <v>755.62</v>
      </c>
      <c r="V188" s="13" t="n">
        <v>510.71</v>
      </c>
      <c r="W188" s="13" t="n">
        <v>1828.09</v>
      </c>
      <c r="X188" s="13" t="n">
        <v>2645.29</v>
      </c>
      <c r="Y188" s="13" t="n">
        <v>1863.15</v>
      </c>
      <c r="Z188" s="19" t="n"/>
      <c r="AA188" s="18" t="n"/>
      <c r="AB188" s="38" t="n">
        <v>22.25</v>
      </c>
      <c r="AC188" s="14">
        <f>IFERROR(AVERAGEIFS($E$16:$E$736,$W$16:$W$736,"&gt;="&amp;W188-$C$5,$W$16:$W$736,"&lt;="&amp;W188+$C$5,$B$16:$B$736,B188,$A$16:$A$736,"&lt;&gt;"&amp;A188),"")</f>
        <v/>
      </c>
      <c r="AD188" s="14">
        <f>IF(AND(ISNUMBER(E188),ISNUMBER(AC188)),E188-AC188,"")</f>
        <v/>
      </c>
    </row>
    <row r="189">
      <c r="A189" s="17" t="n">
        <v>46117</v>
      </c>
      <c r="B189" s="29">
        <f>MONTH(A189)</f>
        <v/>
      </c>
      <c r="C189" s="29">
        <f>IF(AND(ISNUMBER(W189),ISNUMBER($C$4),ABS(W189-$C$4)&lt;=$C$5,ABS(MOD(B189-$C$6+6,12)-6)&lt;=$C$7,OR($C$8="Any",P189=$C$8)),1,0)</f>
        <v/>
      </c>
      <c r="D189" s="29">
        <f>IF(C189=1,COUNTIF($C$16:C189,1),"")</f>
        <v/>
      </c>
      <c r="E189" s="18" t="n">
        <v>39.76</v>
      </c>
      <c r="F189" s="18" t="n">
        <v>45.72</v>
      </c>
      <c r="G189" s="18" t="n">
        <v>27.82</v>
      </c>
      <c r="H189" s="38" t="n">
        <v>2.93</v>
      </c>
      <c r="I189" s="38" t="n">
        <v>-0.39</v>
      </c>
      <c r="J189" s="13" t="n">
        <v>10729</v>
      </c>
      <c r="K189" s="13" t="n">
        <v>10520.88</v>
      </c>
      <c r="L189" s="13" t="n">
        <v>1282.31</v>
      </c>
      <c r="M189" s="13" t="n">
        <v>1210.42</v>
      </c>
      <c r="N189" s="13" t="n">
        <v>4437</v>
      </c>
      <c r="O189" s="38" t="n">
        <v>27.28</v>
      </c>
      <c r="P189" s="39" t="inlineStr">
        <is>
          <t>Windy</t>
        </is>
      </c>
      <c r="Q189" s="13" t="n">
        <v>687</v>
      </c>
      <c r="R189" s="13" t="n">
        <v>610.87</v>
      </c>
      <c r="S189" s="13" t="n">
        <v>356.71</v>
      </c>
      <c r="T189" s="13" t="n">
        <v>9256.83</v>
      </c>
      <c r="U189" s="13" t="n">
        <v>722.86</v>
      </c>
      <c r="V189" s="13" t="n">
        <v>75.61</v>
      </c>
      <c r="W189" s="13" t="n">
        <v>884.95</v>
      </c>
      <c r="X189" s="13" t="n">
        <v>1743.89</v>
      </c>
      <c r="Y189" s="13" t="n">
        <v>1046.31</v>
      </c>
      <c r="Z189" s="19" t="n"/>
      <c r="AA189" s="18" t="n"/>
      <c r="AB189" s="38" t="n">
        <v>17.08</v>
      </c>
      <c r="AC189" s="14">
        <f>IFERROR(AVERAGEIFS($E$16:$E$736,$W$16:$W$736,"&gt;="&amp;W189-$C$5,$W$16:$W$736,"&lt;="&amp;W189+$C$5,$B$16:$B$736,B189,$A$16:$A$736,"&lt;&gt;"&amp;A189),"")</f>
        <v/>
      </c>
      <c r="AD189" s="14">
        <f>IF(AND(ISNUMBER(E189),ISNUMBER(AC189)),E189-AC189,"")</f>
        <v/>
      </c>
    </row>
    <row r="190">
      <c r="A190" s="17" t="n">
        <v>46116</v>
      </c>
      <c r="B190" s="29">
        <f>MONTH(A190)</f>
        <v/>
      </c>
      <c r="C190" s="29">
        <f>IF(AND(ISNUMBER(W190),ISNUMBER($C$4),ABS(W190-$C$4)&lt;=$C$5,ABS(MOD(B190-$C$6+6,12)-6)&lt;=$C$7,OR($C$8="Any",P190=$C$8)),1,0)</f>
        <v/>
      </c>
      <c r="D190" s="29">
        <f>IF(C190=1,COUNTIF($C$16:C190,1),"")</f>
        <v/>
      </c>
      <c r="E190" s="18" t="n">
        <v>8.91</v>
      </c>
      <c r="F190" s="18" t="n">
        <v>7.38</v>
      </c>
      <c r="G190" s="18" t="n">
        <v>11.98</v>
      </c>
      <c r="H190" s="38" t="n">
        <v>6.87</v>
      </c>
      <c r="I190" s="38" t="n">
        <v>3.33</v>
      </c>
      <c r="J190" s="13" t="n">
        <v>10587</v>
      </c>
      <c r="K190" s="13" t="n">
        <v>10306.56</v>
      </c>
      <c r="L190" s="13" t="n">
        <v>2052.69</v>
      </c>
      <c r="M190" s="13" t="n">
        <v>2131.33</v>
      </c>
      <c r="N190" s="13" t="n">
        <v>4437</v>
      </c>
      <c r="O190" s="38" t="n">
        <v>48.04</v>
      </c>
      <c r="P190" s="39" t="inlineStr">
        <is>
          <t>Windy</t>
        </is>
      </c>
      <c r="Q190" s="13" t="n">
        <v>1688</v>
      </c>
      <c r="R190" s="13" t="n">
        <v>612.59</v>
      </c>
      <c r="S190" s="13" t="n">
        <v>51.88</v>
      </c>
      <c r="T190" s="13" t="n">
        <v>9554.5</v>
      </c>
      <c r="U190" s="13" t="n">
        <v>788.58</v>
      </c>
      <c r="V190" s="13" t="n">
        <v>226.51</v>
      </c>
      <c r="W190" s="13" t="n">
        <v>2044.61</v>
      </c>
      <c r="X190" s="13" t="n">
        <v>3322.78</v>
      </c>
      <c r="Y190" s="13" t="n">
        <v>2063.1</v>
      </c>
      <c r="Z190" s="19" t="n"/>
      <c r="AA190" s="18" t="n"/>
      <c r="AB190" s="38" t="n">
        <v>26.45</v>
      </c>
      <c r="AC190" s="14">
        <f>IFERROR(AVERAGEIFS($E$16:$E$736,$W$16:$W$736,"&gt;="&amp;W190-$C$5,$W$16:$W$736,"&lt;="&amp;W190+$C$5,$B$16:$B$736,B190,$A$16:$A$736,"&lt;&gt;"&amp;A190),"")</f>
        <v/>
      </c>
      <c r="AD190" s="14">
        <f>IF(AND(ISNUMBER(E190),ISNUMBER(AC190)),E190-AC190,"")</f>
        <v/>
      </c>
    </row>
    <row r="191">
      <c r="A191" s="17" t="n">
        <v>46115</v>
      </c>
      <c r="B191" s="29">
        <f>MONTH(A191)</f>
        <v/>
      </c>
      <c r="C191" s="29">
        <f>IF(AND(ISNUMBER(W191),ISNUMBER($C$4),ABS(W191-$C$4)&lt;=$C$5,ABS(MOD(B191-$C$6+6,12)-6)&lt;=$C$7,OR($C$8="Any",P191=$C$8)),1,0)</f>
        <v/>
      </c>
      <c r="D191" s="29">
        <f>IF(C191=1,COUNTIF($C$16:C191,1),"")</f>
        <v/>
      </c>
      <c r="E191" s="18" t="n">
        <v>24.33</v>
      </c>
      <c r="F191" s="18" t="n">
        <v>22.51</v>
      </c>
      <c r="G191" s="18" t="n">
        <v>27.98</v>
      </c>
      <c r="H191" s="38" t="n">
        <v>4.73</v>
      </c>
      <c r="I191" s="38" t="n">
        <v>0.82</v>
      </c>
      <c r="J191" s="13" t="n">
        <v>10619</v>
      </c>
      <c r="K191" s="13" t="n">
        <v>10428.19</v>
      </c>
      <c r="L191" s="13" t="n">
        <v>866.1900000000001</v>
      </c>
      <c r="M191" s="13" t="n">
        <v>696.12</v>
      </c>
      <c r="N191" s="13" t="n">
        <v>4437</v>
      </c>
      <c r="O191" s="38" t="n">
        <v>15.69</v>
      </c>
      <c r="P191" s="39" t="inlineStr">
        <is>
          <t>Calm</t>
        </is>
      </c>
      <c r="Q191" s="13" t="n">
        <v>1651</v>
      </c>
      <c r="R191" s="13" t="n">
        <v>608.85</v>
      </c>
      <c r="S191" s="13" t="n">
        <v>292.08</v>
      </c>
      <c r="T191" s="13" t="n">
        <v>9635.73</v>
      </c>
      <c r="U191" s="13" t="n">
        <v>766.2</v>
      </c>
      <c r="V191" s="13" t="n">
        <v>357.98</v>
      </c>
      <c r="W191" s="13" t="n">
        <v>1231.33</v>
      </c>
      <c r="X191" s="13" t="n">
        <v>2135.4</v>
      </c>
      <c r="Y191" s="13" t="n">
        <v>1233.86</v>
      </c>
      <c r="Z191" s="19" t="n"/>
      <c r="AA191" s="18" t="n"/>
      <c r="AB191" s="38" t="n">
        <v>19.83</v>
      </c>
      <c r="AC191" s="14">
        <f>IFERROR(AVERAGEIFS($E$16:$E$736,$W$16:$W$736,"&gt;="&amp;W191-$C$5,$W$16:$W$736,"&lt;="&amp;W191+$C$5,$B$16:$B$736,B191,$A$16:$A$736,"&lt;&gt;"&amp;A191),"")</f>
        <v/>
      </c>
      <c r="AD191" s="14">
        <f>IF(AND(ISNUMBER(E191),ISNUMBER(AC191)),E191-AC191,"")</f>
        <v/>
      </c>
    </row>
    <row r="192">
      <c r="A192" s="17" t="n">
        <v>46114</v>
      </c>
      <c r="B192" s="29">
        <f>MONTH(A192)</f>
        <v/>
      </c>
      <c r="C192" s="29">
        <f>IF(AND(ISNUMBER(W192),ISNUMBER($C$4),ABS(W192-$C$4)&lt;=$C$5,ABS(MOD(B192-$C$6+6,12)-6)&lt;=$C$7,OR($C$8="Any",P192=$C$8)),1,0)</f>
        <v/>
      </c>
      <c r="D192" s="29">
        <f>IF(C192=1,COUNTIF($C$16:C192,1),"")</f>
        <v/>
      </c>
      <c r="E192" s="18" t="n">
        <v>14.15</v>
      </c>
      <c r="F192" s="18" t="n">
        <v>16.41</v>
      </c>
      <c r="G192" s="18" t="n">
        <v>9.619999999999999</v>
      </c>
      <c r="H192" s="38" t="n">
        <v>0.1</v>
      </c>
      <c r="I192" s="38" t="n">
        <v>-0.82</v>
      </c>
      <c r="J192" s="13" t="n">
        <v>11149</v>
      </c>
      <c r="K192" s="13" t="n">
        <v>10988.94</v>
      </c>
      <c r="L192" s="13" t="n">
        <v>1818.81</v>
      </c>
      <c r="M192" s="13" t="n">
        <v>2018.58</v>
      </c>
      <c r="N192" s="13" t="n">
        <v>4437</v>
      </c>
      <c r="O192" s="38" t="n">
        <v>45.49</v>
      </c>
      <c r="P192" s="39" t="inlineStr">
        <is>
          <t>Windy</t>
        </is>
      </c>
      <c r="Q192" s="13" t="n">
        <v>974</v>
      </c>
      <c r="R192" s="13" t="n">
        <v>606.5599999999999</v>
      </c>
      <c r="S192" s="13" t="n">
        <v>238.88</v>
      </c>
      <c r="T192" s="13" t="n">
        <v>10030.03</v>
      </c>
      <c r="U192" s="13" t="n">
        <v>779.01</v>
      </c>
      <c r="V192" s="13" t="n">
        <v>464.96</v>
      </c>
      <c r="W192" s="13" t="n">
        <v>1026.03</v>
      </c>
      <c r="X192" s="13" t="n">
        <v>2560.43</v>
      </c>
      <c r="Y192" s="13" t="n">
        <v>1065.47</v>
      </c>
      <c r="Z192" s="19" t="n"/>
      <c r="AA192" s="18" t="n"/>
      <c r="AB192" s="38" t="n">
        <v>15.88</v>
      </c>
      <c r="AC192" s="14">
        <f>IFERROR(AVERAGEIFS($E$16:$E$736,$W$16:$W$736,"&gt;="&amp;W192-$C$5,$W$16:$W$736,"&lt;="&amp;W192+$C$5,$B$16:$B$736,B192,$A$16:$A$736,"&lt;&gt;"&amp;A192),"")</f>
        <v/>
      </c>
      <c r="AD192" s="14">
        <f>IF(AND(ISNUMBER(E192),ISNUMBER(AC192)),E192-AC192,"")</f>
        <v/>
      </c>
    </row>
    <row r="193">
      <c r="A193" s="17" t="n">
        <v>46113</v>
      </c>
      <c r="B193" s="29">
        <f>MONTH(A193)</f>
        <v/>
      </c>
      <c r="C193" s="29">
        <f>IF(AND(ISNUMBER(W193),ISNUMBER($C$4),ABS(W193-$C$4)&lt;=$C$5,ABS(MOD(B193-$C$6+6,12)-6)&lt;=$C$7,OR($C$8="Any",P193=$C$8)),1,0)</f>
        <v/>
      </c>
      <c r="D193" s="29">
        <f>IF(C193=1,COUNTIF($C$16:C193,1),"")</f>
        <v/>
      </c>
      <c r="E193" s="18" t="n">
        <v>15.56</v>
      </c>
      <c r="F193" s="18" t="n">
        <v>15.64</v>
      </c>
      <c r="G193" s="18" t="n">
        <v>15.38</v>
      </c>
      <c r="H193" s="38" t="n">
        <v>1.8</v>
      </c>
      <c r="I193" s="38" t="n">
        <v>-3.88</v>
      </c>
      <c r="J193" s="13" t="n">
        <v>11115</v>
      </c>
      <c r="K193" s="13" t="n">
        <v>10823.38</v>
      </c>
      <c r="L193" s="13" t="n">
        <v>1658.5</v>
      </c>
      <c r="M193" s="13" t="n">
        <v>1719.83</v>
      </c>
      <c r="N193" s="13" t="n">
        <v>4437</v>
      </c>
      <c r="O193" s="38" t="n">
        <v>38.76</v>
      </c>
      <c r="P193" s="39" t="inlineStr">
        <is>
          <t>Windy</t>
        </is>
      </c>
      <c r="Q193" s="13" t="n">
        <v>1565</v>
      </c>
      <c r="R193" s="13" t="n">
        <v>606.86</v>
      </c>
      <c r="S193" s="13" t="n">
        <v>-15.96</v>
      </c>
      <c r="T193" s="13" t="n">
        <v>10138.77</v>
      </c>
      <c r="U193" s="13" t="n">
        <v>773.62</v>
      </c>
      <c r="V193" s="13" t="n">
        <v>26.31</v>
      </c>
      <c r="W193" s="13" t="n">
        <v>1124.79</v>
      </c>
      <c r="X193" s="13" t="n">
        <v>2732.39</v>
      </c>
      <c r="Y193" s="13" t="n">
        <v>1133.62</v>
      </c>
      <c r="Z193" s="19" t="n"/>
      <c r="AA193" s="18" t="n"/>
      <c r="AB193" s="38" t="n">
        <v>14.84</v>
      </c>
      <c r="AC193" s="14">
        <f>IFERROR(AVERAGEIFS($E$16:$E$736,$W$16:$W$736,"&gt;="&amp;W193-$C$5,$W$16:$W$736,"&lt;="&amp;W193+$C$5,$B$16:$B$736,B193,$A$16:$A$736,"&lt;&gt;"&amp;A193),"")</f>
        <v/>
      </c>
      <c r="AD193" s="14">
        <f>IF(AND(ISNUMBER(E193),ISNUMBER(AC193)),E193-AC193,"")</f>
        <v/>
      </c>
    </row>
    <row r="194">
      <c r="A194" s="17" t="n">
        <v>46112</v>
      </c>
      <c r="B194" s="29">
        <f>MONTH(A194)</f>
        <v/>
      </c>
      <c r="C194" s="29">
        <f>IF(AND(ISNUMBER(W194),ISNUMBER($C$4),ABS(W194-$C$4)&lt;=$C$5,ABS(MOD(B194-$C$6+6,12)-6)&lt;=$C$7,OR($C$8="Any",P194=$C$8)),1,0)</f>
        <v/>
      </c>
      <c r="D194" s="29">
        <f>IF(C194=1,COUNTIF($C$16:C194,1),"")</f>
        <v/>
      </c>
      <c r="E194" s="18" t="n">
        <v>17.08</v>
      </c>
      <c r="F194" s="18" t="n">
        <v>13.72</v>
      </c>
      <c r="G194" s="18" t="n">
        <v>23.79</v>
      </c>
      <c r="H194" s="38" t="n">
        <v>-0.83</v>
      </c>
      <c r="I194" s="38" t="n">
        <v>-8.039999999999999</v>
      </c>
      <c r="J194" s="13" t="n">
        <v>11462</v>
      </c>
      <c r="K194" s="13" t="n">
        <v>11114.75</v>
      </c>
      <c r="L194" s="13" t="n">
        <v>2292.69</v>
      </c>
      <c r="M194" s="13" t="n">
        <v>1984.96</v>
      </c>
      <c r="N194" s="13" t="n">
        <v>4437</v>
      </c>
      <c r="O194" s="38" t="n">
        <v>44.74</v>
      </c>
      <c r="P194" s="39" t="inlineStr">
        <is>
          <t>Windy</t>
        </is>
      </c>
      <c r="Q194" s="13" t="n">
        <v>1634</v>
      </c>
      <c r="R194" s="13" t="n">
        <v>564.09</v>
      </c>
      <c r="S194" s="13" t="n">
        <v>-191.33</v>
      </c>
      <c r="T194" s="13" t="n">
        <v>10479.06</v>
      </c>
      <c r="U194" s="13" t="n">
        <v>769.37</v>
      </c>
      <c r="V194" s="13" t="n">
        <v>304.49</v>
      </c>
      <c r="W194" s="13" t="n">
        <v>2123.65</v>
      </c>
      <c r="X194" s="13" t="n">
        <v>3213.09</v>
      </c>
      <c r="Y194" s="13" t="n">
        <v>2178.93</v>
      </c>
      <c r="Z194" s="19" t="n"/>
      <c r="AA194" s="18" t="n"/>
      <c r="AB194" s="38" t="n">
        <v>11.14</v>
      </c>
      <c r="AC194" s="14">
        <f>IFERROR(AVERAGEIFS($E$16:$E$736,$W$16:$W$736,"&gt;="&amp;W194-$C$5,$W$16:$W$736,"&lt;="&amp;W194+$C$5,$B$16:$B$736,B194,$A$16:$A$736,"&lt;&gt;"&amp;A194),"")</f>
        <v/>
      </c>
      <c r="AD194" s="14">
        <f>IF(AND(ISNUMBER(E194),ISNUMBER(AC194)),E194-AC194,"")</f>
        <v/>
      </c>
    </row>
    <row r="195">
      <c r="A195" s="17" t="n">
        <v>46111</v>
      </c>
      <c r="B195" s="29">
        <f>MONTH(A195)</f>
        <v/>
      </c>
      <c r="C195" s="29">
        <f>IF(AND(ISNUMBER(W195),ISNUMBER($C$4),ABS(W195-$C$4)&lt;=$C$5,ABS(MOD(B195-$C$6+6,12)-6)&lt;=$C$7,OR($C$8="Any",P195=$C$8)),1,0)</f>
        <v/>
      </c>
      <c r="D195" s="29">
        <f>IF(C195=1,COUNTIF($C$16:C195,1),"")</f>
        <v/>
      </c>
      <c r="E195" s="18" t="n">
        <v>54.78</v>
      </c>
      <c r="F195" s="18" t="n">
        <v>64.17</v>
      </c>
      <c r="G195" s="18" t="n">
        <v>36.02</v>
      </c>
      <c r="H195" s="38" t="n">
        <v>-4</v>
      </c>
      <c r="I195" s="38" t="n">
        <v>-6.91</v>
      </c>
      <c r="J195" s="13" t="n">
        <v>11490</v>
      </c>
      <c r="K195" s="13" t="n">
        <v>11214.12</v>
      </c>
      <c r="L195" s="13" t="n">
        <v>957.9400000000001</v>
      </c>
      <c r="M195" s="13" t="n">
        <v>865.67</v>
      </c>
      <c r="N195" s="13" t="n">
        <v>4437</v>
      </c>
      <c r="O195" s="38" t="n">
        <v>19.51</v>
      </c>
      <c r="P195" s="39" t="inlineStr">
        <is>
          <t>Windy</t>
        </is>
      </c>
      <c r="Q195" s="13" t="n">
        <v>1351</v>
      </c>
      <c r="R195" s="13" t="n">
        <v>669.98</v>
      </c>
      <c r="S195" s="13" t="n">
        <v>202.54</v>
      </c>
      <c r="T195" s="13" t="n">
        <v>10584.92</v>
      </c>
      <c r="U195" s="13" t="n">
        <v>765.5700000000001</v>
      </c>
      <c r="V195" s="13" t="n">
        <v>16.22</v>
      </c>
      <c r="W195" s="13" t="n">
        <v>1075.69</v>
      </c>
      <c r="X195" s="13" t="n">
        <v>2257.83</v>
      </c>
      <c r="Y195" s="13" t="n">
        <v>1104.41</v>
      </c>
      <c r="Z195" s="19" t="n"/>
      <c r="AA195" s="18" t="n"/>
      <c r="AB195" s="38" t="n">
        <v>11.29</v>
      </c>
      <c r="AC195" s="14">
        <f>IFERROR(AVERAGEIFS($E$16:$E$736,$W$16:$W$736,"&gt;="&amp;W195-$C$5,$W$16:$W$736,"&lt;="&amp;W195+$C$5,$B$16:$B$736,B195,$A$16:$A$736,"&lt;&gt;"&amp;A195),"")</f>
        <v/>
      </c>
      <c r="AD195" s="14">
        <f>IF(AND(ISNUMBER(E195),ISNUMBER(AC195)),E195-AC195,"")</f>
        <v/>
      </c>
    </row>
    <row r="196">
      <c r="A196" s="17" t="n">
        <v>46110</v>
      </c>
      <c r="B196" s="29">
        <f>MONTH(A196)</f>
        <v/>
      </c>
      <c r="C196" s="29">
        <f>IF(AND(ISNUMBER(W196),ISNUMBER($C$4),ABS(W196-$C$4)&lt;=$C$5,ABS(MOD(B196-$C$6+6,12)-6)&lt;=$C$7,OR($C$8="Any",P196=$C$8)),1,0)</f>
        <v/>
      </c>
      <c r="D196" s="29">
        <f>IF(C196=1,COUNTIF($C$16:C196,1),"")</f>
        <v/>
      </c>
      <c r="E196" s="18" t="n">
        <v>36.47</v>
      </c>
      <c r="F196" s="18" t="n">
        <v>39.65</v>
      </c>
      <c r="G196" s="18" t="n">
        <v>30.12</v>
      </c>
      <c r="H196" s="38" t="n">
        <v>-1.23</v>
      </c>
      <c r="I196" s="38" t="n">
        <v>-5.92</v>
      </c>
      <c r="J196" s="13" t="n">
        <v>11241</v>
      </c>
      <c r="K196" s="13" t="n">
        <v>10931.88</v>
      </c>
      <c r="L196" s="13" t="n">
        <v>815.12</v>
      </c>
      <c r="M196" s="13" t="n">
        <v>698.25</v>
      </c>
      <c r="N196" s="13" t="n">
        <v>4437</v>
      </c>
      <c r="O196" s="38" t="n">
        <v>15.74</v>
      </c>
      <c r="P196" s="39" t="inlineStr">
        <is>
          <t>Calm</t>
        </is>
      </c>
      <c r="Q196" s="13" t="n">
        <v>577</v>
      </c>
      <c r="R196" s="13" t="n">
        <v>784.64</v>
      </c>
      <c r="S196" s="13" t="n">
        <v>371.79</v>
      </c>
      <c r="T196" s="13" t="n">
        <v>10556.21</v>
      </c>
      <c r="U196" s="13" t="n">
        <v>739.52</v>
      </c>
      <c r="V196" s="13" t="n">
        <v>18.37</v>
      </c>
      <c r="W196" s="13" t="n">
        <v>1483.4</v>
      </c>
      <c r="X196" s="13" t="n">
        <v>2042.19</v>
      </c>
      <c r="Y196" s="13" t="n">
        <v>1673.16</v>
      </c>
      <c r="Z196" s="19" t="n"/>
      <c r="AA196" s="18" t="n"/>
      <c r="AB196" s="38" t="n">
        <v>16.09</v>
      </c>
      <c r="AC196" s="14">
        <f>IFERROR(AVERAGEIFS($E$16:$E$736,$W$16:$W$736,"&gt;="&amp;W196-$C$5,$W$16:$W$736,"&lt;="&amp;W196+$C$5,$B$16:$B$736,B196,$A$16:$A$736,"&lt;&gt;"&amp;A196),"")</f>
        <v/>
      </c>
      <c r="AD196" s="14">
        <f>IF(AND(ISNUMBER(E196),ISNUMBER(AC196)),E196-AC196,"")</f>
        <v/>
      </c>
    </row>
    <row r="197">
      <c r="A197" s="17" t="n">
        <v>46109</v>
      </c>
      <c r="B197" s="29">
        <f>MONTH(A197)</f>
        <v/>
      </c>
      <c r="C197" s="29">
        <f>IF(AND(ISNUMBER(W197),ISNUMBER($C$4),ABS(W197-$C$4)&lt;=$C$5,ABS(MOD(B197-$C$6+6,12)-6)&lt;=$C$7,OR($C$8="Any",P197=$C$8)),1,0)</f>
        <v/>
      </c>
      <c r="D197" s="29">
        <f>IF(C197=1,COUNTIF($C$16:C197,1),"")</f>
        <v/>
      </c>
      <c r="E197" s="18" t="n">
        <v>31.92</v>
      </c>
      <c r="F197" s="18" t="n">
        <v>14.75</v>
      </c>
      <c r="G197" s="18" t="n">
        <v>66.27</v>
      </c>
      <c r="H197" s="38" t="n">
        <v>1</v>
      </c>
      <c r="I197" s="38" t="n">
        <v>-3.68</v>
      </c>
      <c r="J197" s="13" t="n">
        <v>11056</v>
      </c>
      <c r="K197" s="13" t="n">
        <v>10840.19</v>
      </c>
      <c r="L197" s="13" t="n">
        <v>1690</v>
      </c>
      <c r="M197" s="13" t="n">
        <v>1310.38</v>
      </c>
      <c r="N197" s="13" t="n">
        <v>4437</v>
      </c>
      <c r="O197" s="38" t="n">
        <v>29.53</v>
      </c>
      <c r="P197" s="39" t="inlineStr">
        <is>
          <t>Windy</t>
        </is>
      </c>
      <c r="Q197" s="13" t="n">
        <v>1594</v>
      </c>
      <c r="R197" s="13" t="n">
        <v>784.6799999999999</v>
      </c>
      <c r="S197" s="13" t="n">
        <v>295.08</v>
      </c>
      <c r="T197" s="13" t="n">
        <v>10473.83</v>
      </c>
      <c r="U197" s="13" t="n">
        <v>774.5700000000001</v>
      </c>
      <c r="V197" s="13" t="n">
        <v>48.98</v>
      </c>
      <c r="W197" s="13" t="n">
        <v>1532.61</v>
      </c>
      <c r="X197" s="13" t="n">
        <v>3407.32</v>
      </c>
      <c r="Y197" s="13" t="n">
        <v>1712.58</v>
      </c>
      <c r="Z197" s="19" t="n"/>
      <c r="AA197" s="18" t="n"/>
      <c r="AB197" s="38" t="n">
        <v>16.96</v>
      </c>
      <c r="AC197" s="14">
        <f>IFERROR(AVERAGEIFS($E$16:$E$736,$W$16:$W$736,"&gt;="&amp;W197-$C$5,$W$16:$W$736,"&lt;="&amp;W197+$C$5,$B$16:$B$736,B197,$A$16:$A$736,"&lt;&gt;"&amp;A197),"")</f>
        <v/>
      </c>
      <c r="AD197" s="14">
        <f>IF(AND(ISNUMBER(E197),ISNUMBER(AC197)),E197-AC197,"")</f>
        <v/>
      </c>
    </row>
    <row r="198">
      <c r="A198" s="17" t="n">
        <v>46108</v>
      </c>
      <c r="B198" s="29">
        <f>MONTH(A198)</f>
        <v/>
      </c>
      <c r="C198" s="29">
        <f>IF(AND(ISNUMBER(W198),ISNUMBER($C$4),ABS(W198-$C$4)&lt;=$C$5,ABS(MOD(B198-$C$6+6,12)-6)&lt;=$C$7,OR($C$8="Any",P198=$C$8)),1,0)</f>
        <v/>
      </c>
      <c r="D198" s="29">
        <f>IF(C198=1,COUNTIF($C$16:C198,1),"")</f>
        <v/>
      </c>
      <c r="E198" s="18" t="n">
        <v>26.94</v>
      </c>
      <c r="F198" s="18" t="n">
        <v>24.72</v>
      </c>
      <c r="G198" s="18" t="n">
        <v>31.4</v>
      </c>
      <c r="H198" s="38" t="n">
        <v>2.43</v>
      </c>
      <c r="I198" s="38" t="n">
        <v>-5.39</v>
      </c>
      <c r="J198" s="13" t="n">
        <v>11641</v>
      </c>
      <c r="K198" s="13" t="n">
        <v>11204.38</v>
      </c>
      <c r="L198" s="13" t="n">
        <v>2420.62</v>
      </c>
      <c r="M198" s="13" t="n">
        <v>2353.62</v>
      </c>
      <c r="N198" s="13" t="n">
        <v>4437</v>
      </c>
      <c r="O198" s="38" t="n">
        <v>53.05</v>
      </c>
      <c r="P198" s="39" t="inlineStr">
        <is>
          <t>Windy</t>
        </is>
      </c>
      <c r="Q198" s="13" t="n">
        <v>1639</v>
      </c>
      <c r="R198" s="13" t="n">
        <v>788.16</v>
      </c>
      <c r="S198" s="13" t="n">
        <v>-174.92</v>
      </c>
      <c r="T198" s="13" t="n">
        <v>10007.97</v>
      </c>
      <c r="U198" s="13" t="n">
        <v>769.12</v>
      </c>
      <c r="V198" s="13" t="n">
        <v>34.58</v>
      </c>
      <c r="W198" s="13" t="n">
        <v>1097.78</v>
      </c>
      <c r="X198" s="13" t="n">
        <v>2805.77</v>
      </c>
      <c r="Y198" s="13" t="n">
        <v>1269.04</v>
      </c>
      <c r="Z198" s="19" t="n"/>
      <c r="AA198" s="18" t="n"/>
      <c r="AB198" s="38" t="n">
        <v>21.13</v>
      </c>
      <c r="AC198" s="14">
        <f>IFERROR(AVERAGEIFS($E$16:$E$736,$W$16:$W$736,"&gt;="&amp;W198-$C$5,$W$16:$W$736,"&lt;="&amp;W198+$C$5,$B$16:$B$736,B198,$A$16:$A$736,"&lt;&gt;"&amp;A198),"")</f>
        <v/>
      </c>
      <c r="AD198" s="14">
        <f>IF(AND(ISNUMBER(E198),ISNUMBER(AC198)),E198-AC198,"")</f>
        <v/>
      </c>
    </row>
    <row r="199">
      <c r="A199" s="17" t="n">
        <v>46107</v>
      </c>
      <c r="B199" s="29">
        <f>MONTH(A199)</f>
        <v/>
      </c>
      <c r="C199" s="29">
        <f>IF(AND(ISNUMBER(W199),ISNUMBER($C$4),ABS(W199-$C$4)&lt;=$C$5,ABS(MOD(B199-$C$6+6,12)-6)&lt;=$C$7,OR($C$8="Any",P199=$C$8)),1,0)</f>
        <v/>
      </c>
      <c r="D199" s="29">
        <f>IF(C199=1,COUNTIF($C$16:C199,1),"")</f>
        <v/>
      </c>
      <c r="E199" s="18" t="n">
        <v>151.13</v>
      </c>
      <c r="F199" s="18" t="n">
        <v>200.68</v>
      </c>
      <c r="G199" s="18" t="n">
        <v>52.02</v>
      </c>
      <c r="H199" s="38" t="n">
        <v>-9.43</v>
      </c>
      <c r="I199" s="38" t="n">
        <v>-11.92</v>
      </c>
      <c r="J199" s="13" t="n">
        <v>11583</v>
      </c>
      <c r="K199" s="13" t="n">
        <v>11343.69</v>
      </c>
      <c r="L199" s="13" t="n">
        <v>396.5</v>
      </c>
      <c r="M199" s="13" t="n">
        <v>460.54</v>
      </c>
      <c r="N199" s="13" t="n">
        <v>4437</v>
      </c>
      <c r="O199" s="38" t="n">
        <v>10.38</v>
      </c>
      <c r="P199" s="39" t="inlineStr">
        <is>
          <t>Calm</t>
        </is>
      </c>
      <c r="Q199" s="13" t="n">
        <v>1479</v>
      </c>
      <c r="R199" s="13" t="n">
        <v>756.92</v>
      </c>
      <c r="S199" s="13" t="n">
        <v>512.54</v>
      </c>
      <c r="T199" s="13" t="n">
        <v>10166.8</v>
      </c>
      <c r="U199" s="13" t="n">
        <v>730.27</v>
      </c>
      <c r="V199" s="13" t="n">
        <v>291.71</v>
      </c>
      <c r="W199" s="13" t="n">
        <v>740.1799999999999</v>
      </c>
      <c r="X199" s="13" t="n">
        <v>1409.19</v>
      </c>
      <c r="Y199" s="13" t="n">
        <v>936.7</v>
      </c>
      <c r="Z199" s="19" t="n"/>
      <c r="AA199" s="18" t="n"/>
      <c r="AB199" s="38" t="n">
        <v>10.55</v>
      </c>
      <c r="AC199" s="14">
        <f>IFERROR(AVERAGEIFS($E$16:$E$736,$W$16:$W$736,"&gt;="&amp;W199-$C$5,$W$16:$W$736,"&lt;="&amp;W199+$C$5,$B$16:$B$736,B199,$A$16:$A$736,"&lt;&gt;"&amp;A199),"")</f>
        <v/>
      </c>
      <c r="AD199" s="14">
        <f>IF(AND(ISNUMBER(E199),ISNUMBER(AC199)),E199-AC199,"")</f>
        <v/>
      </c>
    </row>
    <row r="200">
      <c r="A200" s="17" t="n">
        <v>46105</v>
      </c>
      <c r="B200" s="29">
        <f>MONTH(A200)</f>
        <v/>
      </c>
      <c r="C200" s="29">
        <f>IF(AND(ISNUMBER(W200),ISNUMBER($C$4),ABS(W200-$C$4)&lt;=$C$5,ABS(MOD(B200-$C$6+6,12)-6)&lt;=$C$7,OR($C$8="Any",P200=$C$8)),1,0)</f>
        <v/>
      </c>
      <c r="D200" s="29">
        <f>IF(C200=1,COUNTIF($C$16:C200,1),"")</f>
        <v/>
      </c>
      <c r="E200" s="18" t="n">
        <v>41.27</v>
      </c>
      <c r="F200" s="18" t="n">
        <v>53.38</v>
      </c>
      <c r="G200" s="18" t="n">
        <v>13.59</v>
      </c>
      <c r="H200" s="38" t="n">
        <v>-2.07</v>
      </c>
      <c r="I200" s="38" t="n">
        <v>-4.06</v>
      </c>
      <c r="J200" s="13" t="n">
        <v>11520</v>
      </c>
      <c r="K200" s="13" t="n">
        <v>11389</v>
      </c>
      <c r="L200" s="13" t="n">
        <v>1412.75</v>
      </c>
      <c r="M200" s="13" t="n">
        <v>1673.7</v>
      </c>
      <c r="N200" s="13" t="n">
        <v>4437</v>
      </c>
      <c r="O200" s="38" t="n">
        <v>37.72</v>
      </c>
      <c r="P200" s="39" t="inlineStr">
        <is>
          <t>Windy</t>
        </is>
      </c>
      <c r="Q200" s="13" t="n">
        <v>773</v>
      </c>
      <c r="R200" s="13" t="n">
        <v>762.74</v>
      </c>
      <c r="S200" s="13" t="n">
        <v>85.04000000000001</v>
      </c>
      <c r="T200" s="13" t="n">
        <v>10481.19</v>
      </c>
      <c r="U200" s="13" t="n">
        <v>727.8</v>
      </c>
      <c r="V200" s="13" t="n">
        <v>43.71</v>
      </c>
      <c r="W200" s="13" t="n">
        <v>933.01</v>
      </c>
      <c r="X200" s="13" t="n">
        <v>1986.08</v>
      </c>
      <c r="Y200" s="13" t="n">
        <v>1138.05</v>
      </c>
      <c r="Z200" s="19" t="n"/>
      <c r="AA200" s="18" t="n"/>
      <c r="AB200" s="38" t="n">
        <v>16.3</v>
      </c>
      <c r="AC200" s="14">
        <f>IFERROR(AVERAGEIFS($E$16:$E$736,$W$16:$W$736,"&gt;="&amp;W200-$C$5,$W$16:$W$736,"&lt;="&amp;W200+$C$5,$B$16:$B$736,B200,$A$16:$A$736,"&lt;&gt;"&amp;A200),"")</f>
        <v/>
      </c>
      <c r="AD200" s="14">
        <f>IF(AND(ISNUMBER(E200),ISNUMBER(AC200)),E200-AC200,"")</f>
        <v/>
      </c>
    </row>
    <row r="201">
      <c r="A201" s="17" t="n">
        <v>46104</v>
      </c>
      <c r="B201" s="29">
        <f>MONTH(A201)</f>
        <v/>
      </c>
      <c r="C201" s="29">
        <f>IF(AND(ISNUMBER(W201),ISNUMBER($C$4),ABS(W201-$C$4)&lt;=$C$5,ABS(MOD(B201-$C$6+6,12)-6)&lt;=$C$7,OR($C$8="Any",P201=$C$8)),1,0)</f>
        <v/>
      </c>
      <c r="D201" s="29">
        <f>IF(C201=1,COUNTIF($C$16:C201,1),"")</f>
        <v/>
      </c>
      <c r="E201" s="18" t="n">
        <v>19.8</v>
      </c>
      <c r="F201" s="18" t="n">
        <v>22.24</v>
      </c>
      <c r="G201" s="18" t="n">
        <v>14.92</v>
      </c>
      <c r="H201" s="38" t="n">
        <v>6.13</v>
      </c>
      <c r="I201" s="38" t="n">
        <v>-1.22</v>
      </c>
      <c r="J201" s="13" t="n">
        <v>11258</v>
      </c>
      <c r="K201" s="13" t="n">
        <v>11129.56</v>
      </c>
      <c r="L201" s="13" t="n">
        <v>1628.62</v>
      </c>
      <c r="M201" s="13" t="n">
        <v>1879.54</v>
      </c>
      <c r="N201" s="13" t="n">
        <v>4437</v>
      </c>
      <c r="O201" s="38" t="n">
        <v>42.36</v>
      </c>
      <c r="P201" s="39" t="inlineStr">
        <is>
          <t>Windy</t>
        </is>
      </c>
      <c r="Q201" s="13" t="n">
        <v>1612</v>
      </c>
      <c r="R201" s="13" t="n">
        <v>754.79</v>
      </c>
      <c r="S201" s="13" t="n">
        <v>62.58</v>
      </c>
      <c r="T201" s="13" t="n">
        <v>10428.3</v>
      </c>
      <c r="U201" s="13" t="n">
        <v>726.21</v>
      </c>
      <c r="V201" s="13" t="n">
        <v>38.88</v>
      </c>
      <c r="W201" s="13" t="n">
        <v>1185.49</v>
      </c>
      <c r="X201" s="13" t="n">
        <v>2854.31</v>
      </c>
      <c r="Y201" s="13" t="n">
        <v>1377.82</v>
      </c>
      <c r="Z201" s="19" t="n"/>
      <c r="AA201" s="18" t="n"/>
      <c r="AB201" s="38" t="n">
        <v>16.32</v>
      </c>
      <c r="AC201" s="14">
        <f>IFERROR(AVERAGEIFS($E$16:$E$736,$W$16:$W$736,"&gt;="&amp;W201-$C$5,$W$16:$W$736,"&lt;="&amp;W201+$C$5,$B$16:$B$736,B201,$A$16:$A$736,"&lt;&gt;"&amp;A201),"")</f>
        <v/>
      </c>
      <c r="AD201" s="14">
        <f>IF(AND(ISNUMBER(E201),ISNUMBER(AC201)),E201-AC201,"")</f>
        <v/>
      </c>
    </row>
    <row r="202">
      <c r="A202" s="17" t="n">
        <v>46103</v>
      </c>
      <c r="B202" s="29">
        <f>MONTH(A202)</f>
        <v/>
      </c>
      <c r="C202" s="29">
        <f>IF(AND(ISNUMBER(W202),ISNUMBER($C$4),ABS(W202-$C$4)&lt;=$C$5,ABS(MOD(B202-$C$6+6,12)-6)&lt;=$C$7,OR($C$8="Any",P202=$C$8)),1,0)</f>
        <v/>
      </c>
      <c r="D202" s="29">
        <f>IF(C202=1,COUNTIF($C$16:C202,1),"")</f>
        <v/>
      </c>
      <c r="E202" s="18" t="n">
        <v>33.19</v>
      </c>
      <c r="F202" s="18" t="n">
        <v>36.72</v>
      </c>
      <c r="G202" s="18" t="n">
        <v>26.13</v>
      </c>
      <c r="H202" s="38" t="n">
        <v>5.33</v>
      </c>
      <c r="I202" s="38" t="n">
        <v>-0.68</v>
      </c>
      <c r="J202" s="13" t="n">
        <v>10936</v>
      </c>
      <c r="K202" s="13" t="n">
        <v>10688.19</v>
      </c>
      <c r="L202" s="13" t="n">
        <v>1509.69</v>
      </c>
      <c r="M202" s="13" t="n">
        <v>1391.21</v>
      </c>
      <c r="N202" s="13" t="n">
        <v>4437</v>
      </c>
      <c r="O202" s="38" t="n">
        <v>31.35</v>
      </c>
      <c r="P202" s="39" t="inlineStr">
        <is>
          <t>Windy</t>
        </is>
      </c>
      <c r="Q202" s="13" t="n">
        <v>1601</v>
      </c>
      <c r="R202" s="13" t="n">
        <v>747.1799999999999</v>
      </c>
      <c r="S202" s="13" t="n">
        <v>77.08</v>
      </c>
      <c r="T202" s="13" t="n">
        <v>10452.6</v>
      </c>
      <c r="U202" s="13" t="n">
        <v>721.21</v>
      </c>
      <c r="V202" s="13" t="n">
        <v>83.56</v>
      </c>
      <c r="W202" s="13" t="n">
        <v>1370.13</v>
      </c>
      <c r="X202" s="13" t="n">
        <v>3167.46</v>
      </c>
      <c r="Y202" s="13" t="n">
        <v>1564.49</v>
      </c>
      <c r="Z202" s="19" t="n"/>
      <c r="AA202" s="18" t="n"/>
      <c r="AB202" s="38" t="n">
        <v>22.3</v>
      </c>
      <c r="AC202" s="14">
        <f>IFERROR(AVERAGEIFS($E$16:$E$736,$W$16:$W$736,"&gt;="&amp;W202-$C$5,$W$16:$W$736,"&lt;="&amp;W202+$C$5,$B$16:$B$736,B202,$A$16:$A$736,"&lt;&gt;"&amp;A202),"")</f>
        <v/>
      </c>
      <c r="AD202" s="14">
        <f>IF(AND(ISNUMBER(E202),ISNUMBER(AC202)),E202-AC202,"")</f>
        <v/>
      </c>
    </row>
    <row r="203">
      <c r="A203" s="17" t="n">
        <v>46102</v>
      </c>
      <c r="B203" s="29">
        <f>MONTH(A203)</f>
        <v/>
      </c>
      <c r="C203" s="29">
        <f>IF(AND(ISNUMBER(W203),ISNUMBER($C$4),ABS(W203-$C$4)&lt;=$C$5,ABS(MOD(B203-$C$6+6,12)-6)&lt;=$C$7,OR($C$8="Any",P203=$C$8)),1,0)</f>
        <v/>
      </c>
      <c r="D203" s="29">
        <f>IF(C203=1,COUNTIF($C$16:C203,1),"")</f>
        <v/>
      </c>
      <c r="E203" s="18" t="n">
        <v>34.01</v>
      </c>
      <c r="F203" s="18" t="n">
        <v>41.57</v>
      </c>
      <c r="G203" s="18" t="n">
        <v>18.89</v>
      </c>
      <c r="H203" s="38" t="n">
        <v>1.97</v>
      </c>
      <c r="I203" s="38" t="n">
        <v>-0.98</v>
      </c>
      <c r="J203" s="13" t="n">
        <v>10923</v>
      </c>
      <c r="K203" s="13" t="n">
        <v>10680.25</v>
      </c>
      <c r="L203" s="13" t="n">
        <v>372.62</v>
      </c>
      <c r="M203" s="13" t="n">
        <v>944.79</v>
      </c>
      <c r="N203" s="13" t="n">
        <v>4437</v>
      </c>
      <c r="O203" s="38" t="n">
        <v>21.29</v>
      </c>
      <c r="P203" s="39" t="inlineStr">
        <is>
          <t>Windy</t>
        </is>
      </c>
      <c r="Q203" s="13" t="n">
        <v>1075</v>
      </c>
      <c r="R203" s="13" t="n">
        <v>747.29</v>
      </c>
      <c r="S203" s="13" t="n">
        <v>255.96</v>
      </c>
      <c r="T203" s="13" t="n">
        <v>10352.88</v>
      </c>
      <c r="U203" s="13" t="n">
        <v>730.71</v>
      </c>
      <c r="V203" s="13" t="n">
        <v>407.16</v>
      </c>
      <c r="W203" s="13" t="n">
        <v>1424.07</v>
      </c>
      <c r="X203" s="13" t="n">
        <v>1926.42</v>
      </c>
      <c r="Y203" s="13" t="n">
        <v>1628.69</v>
      </c>
      <c r="Z203" s="19" t="n"/>
      <c r="AA203" s="18" t="n"/>
      <c r="AB203" s="38" t="n">
        <v>12.3</v>
      </c>
      <c r="AC203" s="14">
        <f>IFERROR(AVERAGEIFS($E$16:$E$736,$W$16:$W$736,"&gt;="&amp;W203-$C$5,$W$16:$W$736,"&lt;="&amp;W203+$C$5,$B$16:$B$736,B203,$A$16:$A$736,"&lt;&gt;"&amp;A203),"")</f>
        <v/>
      </c>
      <c r="AD203" s="14">
        <f>IF(AND(ISNUMBER(E203),ISNUMBER(AC203)),E203-AC203,"")</f>
        <v/>
      </c>
    </row>
    <row r="204">
      <c r="A204" s="17" t="n">
        <v>46101</v>
      </c>
      <c r="B204" s="29">
        <f>MONTH(A204)</f>
        <v/>
      </c>
      <c r="C204" s="29">
        <f>IF(AND(ISNUMBER(W204),ISNUMBER($C$4),ABS(W204-$C$4)&lt;=$C$5,ABS(MOD(B204-$C$6+6,12)-6)&lt;=$C$7,OR($C$8="Any",P204=$C$8)),1,0)</f>
        <v/>
      </c>
      <c r="D204" s="29">
        <f>IF(C204=1,COUNTIF($C$16:C204,1),"")</f>
        <v/>
      </c>
      <c r="E204" s="18" t="n">
        <v>16.17</v>
      </c>
      <c r="F204" s="18" t="n">
        <v>19.38</v>
      </c>
      <c r="G204" s="18" t="n">
        <v>9.75</v>
      </c>
      <c r="H204" s="38" t="n">
        <v>8.73</v>
      </c>
      <c r="I204" s="38" t="n">
        <v>5.68</v>
      </c>
      <c r="J204" s="13" t="n">
        <v>11440</v>
      </c>
      <c r="K204" s="13" t="n">
        <v>11215.5</v>
      </c>
      <c r="L204" s="13" t="n">
        <v>2845.81</v>
      </c>
      <c r="M204" s="13" t="n">
        <v>2772.04</v>
      </c>
      <c r="N204" s="13" t="n">
        <v>4437</v>
      </c>
      <c r="O204" s="38" t="n">
        <v>62.48</v>
      </c>
      <c r="P204" s="39" t="inlineStr">
        <is>
          <t>Windy</t>
        </is>
      </c>
      <c r="Q204" s="13" t="n">
        <v>1432</v>
      </c>
      <c r="R204" s="13" t="n">
        <v>745.65</v>
      </c>
      <c r="S204" s="13" t="n">
        <v>-174.58</v>
      </c>
      <c r="T204" s="13" t="n">
        <v>10224.08</v>
      </c>
      <c r="U204" s="13" t="n">
        <v>720.83</v>
      </c>
      <c r="V204" s="13" t="n">
        <v>280.01</v>
      </c>
      <c r="W204" s="13" t="n">
        <v>1812.1</v>
      </c>
      <c r="X204" s="13" t="n">
        <v>3204.24</v>
      </c>
      <c r="Y204" s="13" t="n">
        <v>2066.18</v>
      </c>
      <c r="Z204" s="19" t="n"/>
      <c r="AA204" s="18" t="n"/>
      <c r="AB204" s="38" t="n">
        <v>32.64</v>
      </c>
      <c r="AC204" s="14">
        <f>IFERROR(AVERAGEIFS($E$16:$E$736,$W$16:$W$736,"&gt;="&amp;W204-$C$5,$W$16:$W$736,"&lt;="&amp;W204+$C$5,$B$16:$B$736,B204,$A$16:$A$736,"&lt;&gt;"&amp;A204),"")</f>
        <v/>
      </c>
      <c r="AD204" s="14">
        <f>IF(AND(ISNUMBER(E204),ISNUMBER(AC204)),E204-AC204,"")</f>
        <v/>
      </c>
    </row>
    <row r="205">
      <c r="A205" s="17" t="n">
        <v>46100</v>
      </c>
      <c r="B205" s="29">
        <f>MONTH(A205)</f>
        <v/>
      </c>
      <c r="C205" s="29">
        <f>IF(AND(ISNUMBER(W205),ISNUMBER($C$4),ABS(W205-$C$4)&lt;=$C$5,ABS(MOD(B205-$C$6+6,12)-6)&lt;=$C$7,OR($C$8="Any",P205=$C$8)),1,0)</f>
        <v/>
      </c>
      <c r="D205" s="29">
        <f>IF(C205=1,COUNTIF($C$16:C205,1),"")</f>
        <v/>
      </c>
      <c r="E205" s="18" t="n">
        <v>12.72</v>
      </c>
      <c r="F205" s="18" t="n">
        <v>17.13</v>
      </c>
      <c r="G205" s="18" t="n">
        <v>3.91</v>
      </c>
      <c r="H205" s="38" t="n">
        <v>11.87</v>
      </c>
      <c r="I205" s="38" t="n">
        <v>9.08</v>
      </c>
      <c r="J205" s="13" t="n">
        <v>11230</v>
      </c>
      <c r="K205" s="13" t="n">
        <v>10998.5</v>
      </c>
      <c r="L205" s="13" t="n">
        <v>2822.88</v>
      </c>
      <c r="M205" s="13" t="n">
        <v>3148.88</v>
      </c>
      <c r="N205" s="13" t="n">
        <v>4437</v>
      </c>
      <c r="O205" s="38" t="n">
        <v>70.97</v>
      </c>
      <c r="P205" s="39" t="inlineStr">
        <is>
          <t>Windy</t>
        </is>
      </c>
      <c r="Q205" s="13" t="n">
        <v>1222</v>
      </c>
      <c r="R205" s="13" t="n">
        <v>747.0700000000001</v>
      </c>
      <c r="S205" s="13" t="n">
        <v>-405.5</v>
      </c>
      <c r="T205" s="13" t="n">
        <v>10117.92</v>
      </c>
      <c r="U205" s="13" t="n">
        <v>687.75</v>
      </c>
      <c r="V205" s="13" t="n">
        <v>24.2</v>
      </c>
      <c r="W205" s="13" t="n">
        <v>2790.16</v>
      </c>
      <c r="X205" s="13" t="n">
        <v>3165.87</v>
      </c>
      <c r="Y205" s="13" t="n">
        <v>3012.85</v>
      </c>
      <c r="Z205" s="19" t="n"/>
      <c r="AA205" s="18" t="n"/>
      <c r="AB205" s="38" t="n">
        <v>36.46</v>
      </c>
      <c r="AC205" s="14">
        <f>IFERROR(AVERAGEIFS($E$16:$E$736,$W$16:$W$736,"&gt;="&amp;W205-$C$5,$W$16:$W$736,"&lt;="&amp;W205+$C$5,$B$16:$B$736,B205,$A$16:$A$736,"&lt;&gt;"&amp;A205),"")</f>
        <v/>
      </c>
      <c r="AD205" s="14">
        <f>IF(AND(ISNUMBER(E205),ISNUMBER(AC205)),E205-AC205,"")</f>
        <v/>
      </c>
    </row>
    <row r="206">
      <c r="A206" s="17" t="n">
        <v>46099</v>
      </c>
      <c r="B206" s="29">
        <f>MONTH(A206)</f>
        <v/>
      </c>
      <c r="C206" s="29">
        <f>IF(AND(ISNUMBER(W206),ISNUMBER($C$4),ABS(W206-$C$4)&lt;=$C$5,ABS(MOD(B206-$C$6+6,12)-6)&lt;=$C$7,OR($C$8="Any",P206=$C$8)),1,0)</f>
        <v/>
      </c>
      <c r="D206" s="29">
        <f>IF(C206=1,COUNTIF($C$16:C206,1),"")</f>
        <v/>
      </c>
      <c r="E206" s="18" t="n">
        <v>4.03</v>
      </c>
      <c r="F206" s="18" t="n">
        <v>5.82</v>
      </c>
      <c r="G206" s="18" t="n">
        <v>0.46</v>
      </c>
      <c r="H206" s="38" t="n">
        <v>11.53</v>
      </c>
      <c r="I206" s="38" t="n">
        <v>7.64</v>
      </c>
      <c r="J206" s="13" t="n">
        <v>11235</v>
      </c>
      <c r="K206" s="13" t="n">
        <v>11062.62</v>
      </c>
      <c r="L206" s="13" t="n">
        <v>3463.75</v>
      </c>
      <c r="M206" s="13" t="n">
        <v>3479.79</v>
      </c>
      <c r="N206" s="13" t="n">
        <v>4437</v>
      </c>
      <c r="O206" s="38" t="n">
        <v>78.43000000000001</v>
      </c>
      <c r="P206" s="39" t="inlineStr">
        <is>
          <t>Windy</t>
        </is>
      </c>
      <c r="Q206" s="13" t="n">
        <v>1037</v>
      </c>
      <c r="R206" s="13" t="n">
        <v>740.96</v>
      </c>
      <c r="S206" s="13" t="n">
        <v>-392.04</v>
      </c>
      <c r="T206" s="13" t="n">
        <v>10106.1</v>
      </c>
      <c r="U206" s="13" t="n">
        <v>706.11</v>
      </c>
      <c r="V206" s="13" t="n">
        <v>24.2</v>
      </c>
      <c r="W206" s="13" t="n">
        <v>2462.63</v>
      </c>
      <c r="X206" s="13" t="n">
        <v>3528.13</v>
      </c>
      <c r="Y206" s="13" t="n">
        <v>2667.73</v>
      </c>
      <c r="Z206" s="19" t="n"/>
      <c r="AA206" s="18" t="n"/>
      <c r="AB206" s="38" t="n">
        <v>33.82</v>
      </c>
      <c r="AC206" s="14">
        <f>IFERROR(AVERAGEIFS($E$16:$E$736,$W$16:$W$736,"&gt;="&amp;W206-$C$5,$W$16:$W$736,"&lt;="&amp;W206+$C$5,$B$16:$B$736,B206,$A$16:$A$736,"&lt;&gt;"&amp;A206),"")</f>
        <v/>
      </c>
      <c r="AD206" s="14">
        <f>IF(AND(ISNUMBER(E206),ISNUMBER(AC206)),E206-AC206,"")</f>
        <v/>
      </c>
    </row>
    <row r="207">
      <c r="A207" s="17" t="n">
        <v>46098</v>
      </c>
      <c r="B207" s="29">
        <f>MONTH(A207)</f>
        <v/>
      </c>
      <c r="C207" s="29">
        <f>IF(AND(ISNUMBER(W207),ISNUMBER($C$4),ABS(W207-$C$4)&lt;=$C$5,ABS(MOD(B207-$C$6+6,12)-6)&lt;=$C$7,OR($C$8="Any",P207=$C$8)),1,0)</f>
        <v/>
      </c>
      <c r="D207" s="29">
        <f>IF(C207=1,COUNTIF($C$16:C207,1),"")</f>
        <v/>
      </c>
      <c r="E207" s="18" t="n">
        <v>1.68</v>
      </c>
      <c r="F207" s="18" t="n">
        <v>1.97</v>
      </c>
      <c r="G207" s="18" t="n">
        <v>1.1</v>
      </c>
      <c r="H207" s="38" t="n">
        <v>11.6</v>
      </c>
      <c r="I207" s="38" t="n">
        <v>7.98</v>
      </c>
      <c r="J207" s="13" t="n">
        <v>11193</v>
      </c>
      <c r="K207" s="13" t="n">
        <v>11019.31</v>
      </c>
      <c r="L207" s="13" t="n">
        <v>3623.25</v>
      </c>
      <c r="M207" s="13" t="n">
        <v>3541.75</v>
      </c>
      <c r="N207" s="13" t="n">
        <v>4437</v>
      </c>
      <c r="O207" s="38" t="n">
        <v>79.81999999999999</v>
      </c>
      <c r="P207" s="39" t="inlineStr">
        <is>
          <t>Windy</t>
        </is>
      </c>
      <c r="Q207" s="13" t="n">
        <v>894</v>
      </c>
      <c r="R207" s="13" t="n">
        <v>749.02</v>
      </c>
      <c r="S207" s="13" t="n">
        <v>-238.96</v>
      </c>
      <c r="T207" s="13" t="n">
        <v>10322.79</v>
      </c>
      <c r="U207" s="13" t="n">
        <v>705.42</v>
      </c>
      <c r="V207" s="13" t="n">
        <v>289.75</v>
      </c>
      <c r="W207" s="13" t="n">
        <v>3021.25</v>
      </c>
      <c r="X207" s="13" t="n">
        <v>3955.15</v>
      </c>
      <c r="Y207" s="13" t="n">
        <v>3258.91</v>
      </c>
      <c r="Z207" s="19" t="n"/>
      <c r="AA207" s="18" t="n"/>
      <c r="AB207" s="38" t="n">
        <v>42.49</v>
      </c>
      <c r="AC207" s="14">
        <f>IFERROR(AVERAGEIFS($E$16:$E$736,$W$16:$W$736,"&gt;="&amp;W207-$C$5,$W$16:$W$736,"&lt;="&amp;W207+$C$5,$B$16:$B$736,B207,$A$16:$A$736,"&lt;&gt;"&amp;A207),"")</f>
        <v/>
      </c>
      <c r="AD207" s="14">
        <f>IF(AND(ISNUMBER(E207),ISNUMBER(AC207)),E207-AC207,"")</f>
        <v/>
      </c>
    </row>
    <row r="208">
      <c r="A208" s="17" t="n">
        <v>46097</v>
      </c>
      <c r="B208" s="29">
        <f>MONTH(A208)</f>
        <v/>
      </c>
      <c r="C208" s="29">
        <f>IF(AND(ISNUMBER(W208),ISNUMBER($C$4),ABS(W208-$C$4)&lt;=$C$5,ABS(MOD(B208-$C$6+6,12)-6)&lt;=$C$7,OR($C$8="Any",P208=$C$8)),1,0)</f>
        <v/>
      </c>
      <c r="D208" s="29">
        <f>IF(C208=1,COUNTIF($C$16:C208,1),"")</f>
        <v/>
      </c>
      <c r="E208" s="18" t="n">
        <v>8.73</v>
      </c>
      <c r="F208" s="18" t="n">
        <v>7.78</v>
      </c>
      <c r="G208" s="18" t="n">
        <v>10.62</v>
      </c>
      <c r="H208" s="38" t="n">
        <v>3.9</v>
      </c>
      <c r="I208" s="38" t="n">
        <v>-1.36</v>
      </c>
      <c r="J208" s="13" t="n">
        <v>11670</v>
      </c>
      <c r="K208" s="13" t="n">
        <v>11377.56</v>
      </c>
      <c r="L208" s="13" t="n">
        <v>3501.12</v>
      </c>
      <c r="M208" s="13" t="n">
        <v>3515.29</v>
      </c>
      <c r="N208" s="13" t="n">
        <v>4437</v>
      </c>
      <c r="O208" s="38" t="n">
        <v>79.23</v>
      </c>
      <c r="P208" s="39" t="inlineStr">
        <is>
          <t>Windy</t>
        </is>
      </c>
      <c r="Q208" s="13" t="n">
        <v>1105</v>
      </c>
      <c r="R208" s="13" t="n">
        <v>744.52</v>
      </c>
      <c r="S208" s="13" t="n">
        <v>-330.71</v>
      </c>
      <c r="T208" s="13" t="n">
        <v>10502.75</v>
      </c>
      <c r="U208" s="13" t="n">
        <v>701.11</v>
      </c>
      <c r="V208" s="13" t="n">
        <v>85.92</v>
      </c>
      <c r="W208" s="13" t="n">
        <v>3353</v>
      </c>
      <c r="X208" s="13" t="n">
        <v>3870.07</v>
      </c>
      <c r="Y208" s="13" t="n">
        <v>3649.69</v>
      </c>
      <c r="Z208" s="19" t="n"/>
      <c r="AA208" s="18" t="n"/>
      <c r="AB208" s="38" t="n">
        <v>33.22</v>
      </c>
      <c r="AC208" s="14">
        <f>IFERROR(AVERAGEIFS($E$16:$E$736,$W$16:$W$736,"&gt;="&amp;W208-$C$5,$W$16:$W$736,"&lt;="&amp;W208+$C$5,$B$16:$B$736,B208,$A$16:$A$736,"&lt;&gt;"&amp;A208),"")</f>
        <v/>
      </c>
      <c r="AD208" s="14">
        <f>IF(AND(ISNUMBER(E208),ISNUMBER(AC208)),E208-AC208,"")</f>
        <v/>
      </c>
    </row>
    <row r="209">
      <c r="A209" s="17" t="n">
        <v>46096</v>
      </c>
      <c r="B209" s="29">
        <f>MONTH(A209)</f>
        <v/>
      </c>
      <c r="C209" s="29">
        <f>IF(AND(ISNUMBER(W209),ISNUMBER($C$4),ABS(W209-$C$4)&lt;=$C$5,ABS(MOD(B209-$C$6+6,12)-6)&lt;=$C$7,OR($C$8="Any",P209=$C$8)),1,0)</f>
        <v/>
      </c>
      <c r="D209" s="29">
        <f>IF(C209=1,COUNTIF($C$16:C209,1),"")</f>
        <v/>
      </c>
      <c r="E209" s="18" t="n">
        <v>23.4</v>
      </c>
      <c r="F209" s="18" t="n">
        <v>22.15</v>
      </c>
      <c r="G209" s="18" t="n">
        <v>25.91</v>
      </c>
      <c r="H209" s="38" t="n">
        <v>-3.27</v>
      </c>
      <c r="I209" s="38" t="n">
        <v>-10.91</v>
      </c>
      <c r="J209" s="13" t="n">
        <v>11294</v>
      </c>
      <c r="K209" s="13" t="n">
        <v>10913.12</v>
      </c>
      <c r="L209" s="13" t="n">
        <v>1219.12</v>
      </c>
      <c r="M209" s="13" t="n">
        <v>1368.46</v>
      </c>
      <c r="N209" s="13" t="n">
        <v>4437</v>
      </c>
      <c r="O209" s="38" t="n">
        <v>30.84</v>
      </c>
      <c r="P209" s="39" t="inlineStr">
        <is>
          <t>Windy</t>
        </is>
      </c>
      <c r="Q209" s="13" t="n">
        <v>1730</v>
      </c>
      <c r="R209" s="13" t="n">
        <v>743.62</v>
      </c>
      <c r="S209" s="13" t="n">
        <v>-38.42</v>
      </c>
      <c r="T209" s="13" t="n">
        <v>10750.47</v>
      </c>
      <c r="U209" s="13" t="n">
        <v>729.89</v>
      </c>
      <c r="V209" s="13" t="n">
        <v>156.98</v>
      </c>
      <c r="W209" s="13" t="n">
        <v>1383.95</v>
      </c>
      <c r="X209" s="13" t="n">
        <v>2912.89</v>
      </c>
      <c r="Y209" s="13" t="n">
        <v>1565.38</v>
      </c>
      <c r="Z209" s="19" t="n"/>
      <c r="AA209" s="18" t="n"/>
      <c r="AB209" s="38" t="n">
        <v>18.33</v>
      </c>
      <c r="AC209" s="14">
        <f>IFERROR(AVERAGEIFS($E$16:$E$736,$W$16:$W$736,"&gt;="&amp;W209-$C$5,$W$16:$W$736,"&lt;="&amp;W209+$C$5,$B$16:$B$736,B209,$A$16:$A$736,"&lt;&gt;"&amp;A209),"")</f>
        <v/>
      </c>
      <c r="AD209" s="14">
        <f>IF(AND(ISNUMBER(E209),ISNUMBER(AC209)),E209-AC209,"")</f>
        <v/>
      </c>
    </row>
    <row r="210">
      <c r="A210" s="17" t="n">
        <v>46095</v>
      </c>
      <c r="B210" s="29">
        <f>MONTH(A210)</f>
        <v/>
      </c>
      <c r="C210" s="29">
        <f>IF(AND(ISNUMBER(W210),ISNUMBER($C$4),ABS(W210-$C$4)&lt;=$C$5,ABS(MOD(B210-$C$6+6,12)-6)&lt;=$C$7,OR($C$8="Any",P210=$C$8)),1,0)</f>
        <v/>
      </c>
      <c r="D210" s="29">
        <f>IF(C210=1,COUNTIF($C$16:C210,1),"")</f>
        <v/>
      </c>
      <c r="E210" s="18" t="n">
        <v>30.8</v>
      </c>
      <c r="F210" s="18" t="n">
        <v>31.94</v>
      </c>
      <c r="G210" s="18" t="n">
        <v>28.53</v>
      </c>
      <c r="H210" s="38" t="n">
        <v>-10.97</v>
      </c>
      <c r="I210" s="38" t="n">
        <v>-13.27</v>
      </c>
      <c r="J210" s="13" t="n">
        <v>11389</v>
      </c>
      <c r="K210" s="13" t="n">
        <v>11129.69</v>
      </c>
      <c r="L210" s="13" t="n">
        <v>1553.5</v>
      </c>
      <c r="M210" s="13" t="n">
        <v>1403.71</v>
      </c>
      <c r="N210" s="13" t="n">
        <v>4437</v>
      </c>
      <c r="O210" s="38" t="n">
        <v>31.64</v>
      </c>
      <c r="P210" s="39" t="inlineStr">
        <is>
          <t>Windy</t>
        </is>
      </c>
      <c r="Q210" s="13" t="n">
        <v>1413</v>
      </c>
      <c r="R210" s="13" t="n">
        <v>743.66</v>
      </c>
      <c r="S210" s="13" t="n">
        <v>59.17</v>
      </c>
      <c r="T210" s="13" t="n">
        <v>10953.04</v>
      </c>
      <c r="U210" s="13" t="n">
        <v>726.83</v>
      </c>
      <c r="V210" s="13" t="n">
        <v>372.87</v>
      </c>
      <c r="W210" s="13" t="n">
        <v>1071.47</v>
      </c>
      <c r="X210" s="13" t="n">
        <v>3068.72</v>
      </c>
      <c r="Y210" s="13" t="n">
        <v>1310.74</v>
      </c>
      <c r="Z210" s="19" t="n"/>
      <c r="AA210" s="18" t="n"/>
      <c r="AB210" s="38" t="n">
        <v>13.18</v>
      </c>
      <c r="AC210" s="14">
        <f>IFERROR(AVERAGEIFS($E$16:$E$736,$W$16:$W$736,"&gt;="&amp;W210-$C$5,$W$16:$W$736,"&lt;="&amp;W210+$C$5,$B$16:$B$736,B210,$A$16:$A$736,"&lt;&gt;"&amp;A210),"")</f>
        <v/>
      </c>
      <c r="AD210" s="14">
        <f>IF(AND(ISNUMBER(E210),ISNUMBER(AC210)),E210-AC210,"")</f>
        <v/>
      </c>
    </row>
    <row r="211">
      <c r="A211" s="17" t="n">
        <v>46094</v>
      </c>
      <c r="B211" s="29">
        <f>MONTH(A211)</f>
        <v/>
      </c>
      <c r="C211" s="29">
        <f>IF(AND(ISNUMBER(W211),ISNUMBER($C$4),ABS(W211-$C$4)&lt;=$C$5,ABS(MOD(B211-$C$6+6,12)-6)&lt;=$C$7,OR($C$8="Any",P211=$C$8)),1,0)</f>
        <v/>
      </c>
      <c r="D211" s="29">
        <f>IF(C211=1,COUNTIF($C$16:C211,1),"")</f>
        <v/>
      </c>
      <c r="E211" s="18" t="n">
        <v>38.62</v>
      </c>
      <c r="F211" s="18" t="n">
        <v>43.47</v>
      </c>
      <c r="G211" s="18" t="n">
        <v>28.91</v>
      </c>
      <c r="H211" s="38" t="n">
        <v>-6.93</v>
      </c>
      <c r="I211" s="38" t="n">
        <v>-10.62</v>
      </c>
      <c r="J211" s="13" t="n">
        <v>11646</v>
      </c>
      <c r="K211" s="13" t="n">
        <v>11352.38</v>
      </c>
      <c r="L211" s="13" t="n">
        <v>397.19</v>
      </c>
      <c r="M211" s="13" t="n">
        <v>474</v>
      </c>
      <c r="N211" s="13" t="n">
        <v>4437</v>
      </c>
      <c r="O211" s="38" t="n">
        <v>10.68</v>
      </c>
      <c r="P211" s="39" t="inlineStr">
        <is>
          <t>Calm</t>
        </is>
      </c>
      <c r="Q211" s="13" t="n">
        <v>1053</v>
      </c>
      <c r="R211" s="13" t="n">
        <v>744.6</v>
      </c>
      <c r="S211" s="13" t="n">
        <v>186.38</v>
      </c>
      <c r="T211" s="13" t="n">
        <v>11314.76</v>
      </c>
      <c r="U211" s="13" t="n">
        <v>749.8099999999999</v>
      </c>
      <c r="V211" s="13" t="n">
        <v>347.55</v>
      </c>
      <c r="W211" s="13" t="n">
        <v>1333.79</v>
      </c>
      <c r="X211" s="13" t="n">
        <v>1953.64</v>
      </c>
      <c r="Y211" s="13" t="n">
        <v>1478.24</v>
      </c>
      <c r="Z211" s="19" t="n"/>
      <c r="AA211" s="18" t="n"/>
      <c r="AB211" s="38" t="n">
        <v>12.43</v>
      </c>
      <c r="AC211" s="14">
        <f>IFERROR(AVERAGEIFS($E$16:$E$736,$W$16:$W$736,"&gt;="&amp;W211-$C$5,$W$16:$W$736,"&lt;="&amp;W211+$C$5,$B$16:$B$736,B211,$A$16:$A$736,"&lt;&gt;"&amp;A211),"")</f>
        <v/>
      </c>
      <c r="AD211" s="14">
        <f>IF(AND(ISNUMBER(E211),ISNUMBER(AC211)),E211-AC211,"")</f>
        <v/>
      </c>
    </row>
    <row r="212">
      <c r="A212" s="17" t="n">
        <v>46093</v>
      </c>
      <c r="B212" s="29">
        <f>MONTH(A212)</f>
        <v/>
      </c>
      <c r="C212" s="29">
        <f>IF(AND(ISNUMBER(W212),ISNUMBER($C$4),ABS(W212-$C$4)&lt;=$C$5,ABS(MOD(B212-$C$6+6,12)-6)&lt;=$C$7,OR($C$8="Any",P212=$C$8)),1,0)</f>
        <v/>
      </c>
      <c r="D212" s="29">
        <f>IF(C212=1,COUNTIF($C$16:C212,1),"")</f>
        <v/>
      </c>
      <c r="E212" s="18" t="n">
        <v>26.15</v>
      </c>
      <c r="F212" s="18" t="n">
        <v>35.02</v>
      </c>
      <c r="G212" s="18" t="n">
        <v>8.41</v>
      </c>
      <c r="H212" s="38" t="n">
        <v>-1.5</v>
      </c>
      <c r="I212" s="38" t="n">
        <v>-5.08</v>
      </c>
      <c r="J212" s="13" t="n">
        <v>11613</v>
      </c>
      <c r="K212" s="13" t="n">
        <v>11421.25</v>
      </c>
      <c r="L212" s="13" t="n">
        <v>1101.44</v>
      </c>
      <c r="M212" s="13" t="n">
        <v>1701.83</v>
      </c>
      <c r="N212" s="13" t="n">
        <v>4437</v>
      </c>
      <c r="O212" s="38" t="n">
        <v>38.36</v>
      </c>
      <c r="P212" s="39" t="inlineStr">
        <is>
          <t>Windy</t>
        </is>
      </c>
      <c r="Q212" s="13" t="n">
        <v>899</v>
      </c>
      <c r="R212" s="13" t="n">
        <v>744.97</v>
      </c>
      <c r="S212" s="13" t="n">
        <v>-81.42</v>
      </c>
      <c r="T212" s="13" t="n">
        <v>10856.45</v>
      </c>
      <c r="U212" s="13" t="n">
        <v>736.76</v>
      </c>
      <c r="V212" s="13" t="n">
        <v>201.36</v>
      </c>
      <c r="W212" s="13" t="n">
        <v>926.1900000000001</v>
      </c>
      <c r="X212" s="13" t="n">
        <v>2012.25</v>
      </c>
      <c r="Y212" s="13" t="n">
        <v>1094.32</v>
      </c>
      <c r="Z212" s="19" t="n"/>
      <c r="AA212" s="18" t="n"/>
      <c r="AB212" s="38" t="n">
        <v>21.81</v>
      </c>
      <c r="AC212" s="14">
        <f>IFERROR(AVERAGEIFS($E$16:$E$736,$W$16:$W$736,"&gt;="&amp;W212-$C$5,$W$16:$W$736,"&lt;="&amp;W212+$C$5,$B$16:$B$736,B212,$A$16:$A$736,"&lt;&gt;"&amp;A212),"")</f>
        <v/>
      </c>
      <c r="AD212" s="14">
        <f>IF(AND(ISNUMBER(E212),ISNUMBER(AC212)),E212-AC212,"")</f>
        <v/>
      </c>
    </row>
    <row r="213">
      <c r="A213" s="17" t="n">
        <v>46092</v>
      </c>
      <c r="B213" s="29">
        <f>MONTH(A213)</f>
        <v/>
      </c>
      <c r="C213" s="29">
        <f>IF(AND(ISNUMBER(W213),ISNUMBER($C$4),ABS(W213-$C$4)&lt;=$C$5,ABS(MOD(B213-$C$6+6,12)-6)&lt;=$C$7,OR($C$8="Any",P213=$C$8)),1,0)</f>
        <v/>
      </c>
      <c r="D213" s="29">
        <f>IF(C213=1,COUNTIF($C$16:C213,1),"")</f>
        <v/>
      </c>
      <c r="E213" s="18" t="n">
        <v>10.18</v>
      </c>
      <c r="F213" s="18" t="n">
        <v>13.59</v>
      </c>
      <c r="G213" s="18" t="n">
        <v>3.36</v>
      </c>
      <c r="H213" s="38" t="n">
        <v>0.93</v>
      </c>
      <c r="I213" s="38" t="n">
        <v>-3.18</v>
      </c>
      <c r="J213" s="13" t="n">
        <v>11235</v>
      </c>
      <c r="K213" s="13" t="n">
        <v>11008.25</v>
      </c>
      <c r="L213" s="13" t="n">
        <v>2582.44</v>
      </c>
      <c r="M213" s="13" t="n">
        <v>2967.67</v>
      </c>
      <c r="N213" s="13" t="n">
        <v>4437</v>
      </c>
      <c r="O213" s="38" t="n">
        <v>66.88</v>
      </c>
      <c r="P213" s="39" t="inlineStr">
        <is>
          <t>Windy</t>
        </is>
      </c>
      <c r="Q213" s="13" t="n">
        <v>1442</v>
      </c>
      <c r="R213" s="13" t="n">
        <v>745.61</v>
      </c>
      <c r="S213" s="13" t="n">
        <v>-250.12</v>
      </c>
      <c r="T213" s="13" t="n">
        <v>9810.559999999999</v>
      </c>
      <c r="U213" s="13" t="n">
        <v>668.22</v>
      </c>
      <c r="V213" s="13" t="n">
        <v>290.1</v>
      </c>
      <c r="W213" s="13" t="n">
        <v>1456.68</v>
      </c>
      <c r="X213" s="13" t="n">
        <v>2779.3</v>
      </c>
      <c r="Y213" s="13" t="n">
        <v>1726.59</v>
      </c>
      <c r="Z213" s="19" t="n"/>
      <c r="AA213" s="18" t="n"/>
      <c r="AB213" s="38" t="n">
        <v>24.61</v>
      </c>
      <c r="AC213" s="14">
        <f>IFERROR(AVERAGEIFS($E$16:$E$736,$W$16:$W$736,"&gt;="&amp;W213-$C$5,$W$16:$W$736,"&lt;="&amp;W213+$C$5,$B$16:$B$736,B213,$A$16:$A$736,"&lt;&gt;"&amp;A213),"")</f>
        <v/>
      </c>
      <c r="AD213" s="14">
        <f>IF(AND(ISNUMBER(E213),ISNUMBER(AC213)),E213-AC213,"")</f>
        <v/>
      </c>
    </row>
    <row r="214">
      <c r="A214" s="17" t="n">
        <v>46091</v>
      </c>
      <c r="B214" s="29">
        <f>MONTH(A214)</f>
        <v/>
      </c>
      <c r="C214" s="29">
        <f>IF(AND(ISNUMBER(W214),ISNUMBER($C$4),ABS(W214-$C$4)&lt;=$C$5,ABS(MOD(B214-$C$6+6,12)-6)&lt;=$C$7,OR($C$8="Any",P214=$C$8)),1,0)</f>
        <v/>
      </c>
      <c r="D214" s="29">
        <f>IF(C214=1,COUNTIF($C$16:C214,1),"")</f>
        <v/>
      </c>
      <c r="E214" s="18" t="n">
        <v>35.58</v>
      </c>
      <c r="F214" s="18" t="n">
        <v>37.71</v>
      </c>
      <c r="G214" s="18" t="n">
        <v>31.33</v>
      </c>
      <c r="H214" s="38" t="n">
        <v>-2.07</v>
      </c>
      <c r="I214" s="38" t="n">
        <v>-7.39</v>
      </c>
      <c r="J214" s="13" t="n">
        <v>11130</v>
      </c>
      <c r="K214" s="13" t="n">
        <v>10733.44</v>
      </c>
      <c r="L214" s="13" t="n">
        <v>1318.75</v>
      </c>
      <c r="M214" s="13" t="n">
        <v>1488.46</v>
      </c>
      <c r="N214" s="13" t="n">
        <v>4437</v>
      </c>
      <c r="O214" s="38" t="n">
        <v>33.55</v>
      </c>
      <c r="P214" s="39" t="inlineStr">
        <is>
          <t>Windy</t>
        </is>
      </c>
      <c r="Q214" s="13" t="n">
        <v>1586</v>
      </c>
      <c r="R214" s="13" t="n">
        <v>743.1</v>
      </c>
      <c r="S214" s="13" t="n">
        <v>355</v>
      </c>
      <c r="T214" s="13" t="n">
        <v>8897.25</v>
      </c>
      <c r="U214" s="13" t="n">
        <v>650.3200000000001</v>
      </c>
      <c r="V214" s="13" t="n">
        <v>227.68</v>
      </c>
      <c r="W214" s="13" t="n">
        <v>864.96</v>
      </c>
      <c r="X214" s="13" t="n">
        <v>1573.42</v>
      </c>
      <c r="Y214" s="13" t="n">
        <v>1121.97</v>
      </c>
      <c r="Z214" s="19" t="n"/>
      <c r="AA214" s="18" t="n"/>
      <c r="AB214" s="38" t="n">
        <v>21.86</v>
      </c>
      <c r="AC214" s="14">
        <f>IFERROR(AVERAGEIFS($E$16:$E$736,$W$16:$W$736,"&gt;="&amp;W214-$C$5,$W$16:$W$736,"&lt;="&amp;W214+$C$5,$B$16:$B$736,B214,$A$16:$A$736,"&lt;&gt;"&amp;A214),"")</f>
        <v/>
      </c>
      <c r="AD214" s="14">
        <f>IF(AND(ISNUMBER(E214),ISNUMBER(AC214)),E214-AC214,"")</f>
        <v/>
      </c>
    </row>
    <row r="215">
      <c r="A215" s="17" t="n">
        <v>46090</v>
      </c>
      <c r="B215" s="29">
        <f>MONTH(A215)</f>
        <v/>
      </c>
      <c r="C215" s="29">
        <f>IF(AND(ISNUMBER(W215),ISNUMBER($C$4),ABS(W215-$C$4)&lt;=$C$5,ABS(MOD(B215-$C$6+6,12)-6)&lt;=$C$7,OR($C$8="Any",P215=$C$8)),1,0)</f>
        <v/>
      </c>
      <c r="D215" s="29">
        <f>IF(C215=1,COUNTIF($C$16:C215,1),"")</f>
        <v/>
      </c>
      <c r="E215" s="18" t="n">
        <v>73.15000000000001</v>
      </c>
      <c r="F215" s="18" t="n">
        <v>87.97</v>
      </c>
      <c r="G215" s="18" t="n">
        <v>43.51</v>
      </c>
      <c r="H215" s="38" t="n">
        <v>-2.07</v>
      </c>
      <c r="I215" s="38" t="n">
        <v>-6.02</v>
      </c>
      <c r="J215" s="13" t="n">
        <v>11144</v>
      </c>
      <c r="K215" s="13" t="n">
        <v>10927.81</v>
      </c>
      <c r="L215" s="13" t="n">
        <v>2072.38</v>
      </c>
      <c r="M215" s="13" t="n">
        <v>2111.96</v>
      </c>
      <c r="N215" s="13" t="n">
        <v>4437</v>
      </c>
      <c r="O215" s="38" t="n">
        <v>47.6</v>
      </c>
      <c r="P215" s="39" t="inlineStr">
        <is>
          <t>Windy</t>
        </is>
      </c>
      <c r="Q215" s="13" t="n">
        <v>1227</v>
      </c>
      <c r="R215" s="13" t="n">
        <v>737.4400000000001</v>
      </c>
      <c r="S215" s="13" t="n">
        <v>306.83</v>
      </c>
      <c r="T215" s="13" t="n">
        <v>9103.299999999999</v>
      </c>
      <c r="U215" s="13" t="n">
        <v>678.39</v>
      </c>
      <c r="V215" s="13" t="n">
        <v>264.88</v>
      </c>
      <c r="W215" s="13" t="n">
        <v>535.54</v>
      </c>
      <c r="X215" s="13" t="n">
        <v>1959.61</v>
      </c>
      <c r="Y215" s="13" t="n">
        <v>780.5700000000001</v>
      </c>
      <c r="Z215" s="19" t="n"/>
      <c r="AA215" s="18" t="n"/>
      <c r="AB215" s="38" t="n">
        <v>20.6</v>
      </c>
      <c r="AC215" s="14">
        <f>IFERROR(AVERAGEIFS($E$16:$E$736,$W$16:$W$736,"&gt;="&amp;W215-$C$5,$W$16:$W$736,"&lt;="&amp;W215+$C$5,$B$16:$B$736,B215,$A$16:$A$736,"&lt;&gt;"&amp;A215),"")</f>
        <v/>
      </c>
      <c r="AD215" s="14">
        <f>IF(AND(ISNUMBER(E215),ISNUMBER(AC215)),E215-AC215,"")</f>
        <v/>
      </c>
    </row>
    <row r="216">
      <c r="A216" s="17" t="n">
        <v>46089</v>
      </c>
      <c r="B216" s="29">
        <f>MONTH(A216)</f>
        <v/>
      </c>
      <c r="C216" s="29">
        <f>IF(AND(ISNUMBER(W216),ISNUMBER($C$4),ABS(W216-$C$4)&lt;=$C$5,ABS(MOD(B216-$C$6+6,12)-6)&lt;=$C$7,OR($C$8="Any",P216=$C$8)),1,0)</f>
        <v/>
      </c>
      <c r="D216" s="29">
        <f>IF(C216=1,COUNTIF($C$16:C216,1),"")</f>
        <v/>
      </c>
      <c r="E216" s="18" t="n">
        <v>56.82</v>
      </c>
      <c r="F216" s="18" t="n">
        <v>72.77</v>
      </c>
      <c r="G216" s="18" t="n">
        <v>14.3</v>
      </c>
      <c r="H216" s="38" t="n">
        <v>6.77</v>
      </c>
      <c r="I216" s="38" t="n">
        <v>1.45</v>
      </c>
      <c r="J216" s="13" t="n">
        <v>10599</v>
      </c>
      <c r="K216" s="13" t="n">
        <v>10357.12</v>
      </c>
      <c r="L216" s="13" t="n">
        <v>2348.06</v>
      </c>
      <c r="M216" s="13" t="n">
        <v>2577.68</v>
      </c>
      <c r="N216" s="13" t="n">
        <v>4437</v>
      </c>
      <c r="O216" s="38" t="n">
        <v>58.1</v>
      </c>
      <c r="P216" s="39" t="inlineStr">
        <is>
          <t>Windy</t>
        </is>
      </c>
      <c r="Q216" s="13" t="n">
        <v>554</v>
      </c>
      <c r="R216" s="13" t="n">
        <v>703.26</v>
      </c>
      <c r="S216" s="13" t="n">
        <v>47.32</v>
      </c>
      <c r="T216" s="13" t="n">
        <v>8874.950000000001</v>
      </c>
      <c r="U216" s="13" t="n">
        <v>700.35</v>
      </c>
      <c r="V216" s="13" t="n">
        <v>9415.4</v>
      </c>
      <c r="W216" s="13" t="n">
        <v>959.13</v>
      </c>
      <c r="X216" s="13" t="n">
        <v>2248.54</v>
      </c>
      <c r="Y216" s="13" t="n">
        <v>1109.24</v>
      </c>
      <c r="Z216" s="19" t="n"/>
      <c r="AA216" s="18" t="n"/>
      <c r="AB216" s="38" t="n">
        <v>33.56</v>
      </c>
      <c r="AC216" s="14">
        <f>IFERROR(AVERAGEIFS($E$16:$E$736,$W$16:$W$736,"&gt;="&amp;W216-$C$5,$W$16:$W$736,"&lt;="&amp;W216+$C$5,$B$16:$B$736,B216,$A$16:$A$736,"&lt;&gt;"&amp;A216),"")</f>
        <v/>
      </c>
      <c r="AD216" s="14">
        <f>IF(AND(ISNUMBER(E216),ISNUMBER(AC216)),E216-AC216,"")</f>
        <v/>
      </c>
    </row>
    <row r="217">
      <c r="A217" s="17" t="n">
        <v>46088</v>
      </c>
      <c r="B217" s="29">
        <f>MONTH(A217)</f>
        <v/>
      </c>
      <c r="C217" s="29">
        <f>IF(AND(ISNUMBER(W217),ISNUMBER($C$4),ABS(W217-$C$4)&lt;=$C$5,ABS(MOD(B217-$C$6+6,12)-6)&lt;=$C$7,OR($C$8="Any",P217=$C$8)),1,0)</f>
        <v/>
      </c>
      <c r="D217" s="29">
        <f>IF(C217=1,COUNTIF($C$16:C217,1),"")</f>
        <v/>
      </c>
      <c r="E217" s="18" t="n">
        <v>3.55</v>
      </c>
      <c r="F217" s="18" t="n">
        <v>5.2</v>
      </c>
      <c r="G217" s="18" t="n">
        <v>0.25</v>
      </c>
      <c r="H217" s="38" t="n">
        <v>9.6</v>
      </c>
      <c r="I217" s="38" t="n">
        <v>6.34</v>
      </c>
      <c r="J217" s="13" t="n">
        <v>10984</v>
      </c>
      <c r="K217" s="13" t="n">
        <v>10732.62</v>
      </c>
      <c r="L217" s="13" t="n">
        <v>3798.88</v>
      </c>
      <c r="M217" s="13" t="n">
        <v>3923.75</v>
      </c>
      <c r="N217" s="13" t="n">
        <v>4424</v>
      </c>
      <c r="O217" s="38" t="n">
        <v>88.69</v>
      </c>
      <c r="P217" s="39" t="inlineStr">
        <is>
          <t>Windy</t>
        </is>
      </c>
      <c r="Q217" s="13" t="n">
        <v>1262</v>
      </c>
      <c r="R217" s="13" t="n">
        <v>714.22</v>
      </c>
      <c r="S217" s="13" t="n">
        <v>-781.54</v>
      </c>
      <c r="T217" s="13" t="n">
        <v>10014.44</v>
      </c>
      <c r="U217" s="13" t="n">
        <v>757.11</v>
      </c>
      <c r="V217" s="13" t="n">
        <v>376.52</v>
      </c>
      <c r="W217" s="13" t="n">
        <v>3002.92</v>
      </c>
      <c r="X217" s="13" t="n">
        <v>3917.02</v>
      </c>
      <c r="Y217" s="13" t="n">
        <v>3141</v>
      </c>
      <c r="Z217" s="19" t="n"/>
      <c r="AA217" s="18" t="n"/>
      <c r="AB217" s="38" t="n">
        <v>38.43</v>
      </c>
      <c r="AC217" s="14">
        <f>IFERROR(AVERAGEIFS($E$16:$E$736,$W$16:$W$736,"&gt;="&amp;W217-$C$5,$W$16:$W$736,"&lt;="&amp;W217+$C$5,$B$16:$B$736,B217,$A$16:$A$736,"&lt;&gt;"&amp;A217),"")</f>
        <v/>
      </c>
      <c r="AD217" s="14">
        <f>IF(AND(ISNUMBER(E217),ISNUMBER(AC217)),E217-AC217,"")</f>
        <v/>
      </c>
    </row>
    <row r="218">
      <c r="A218" s="17" t="n">
        <v>46087</v>
      </c>
      <c r="B218" s="29">
        <f>MONTH(A218)</f>
        <v/>
      </c>
      <c r="C218" s="29">
        <f>IF(AND(ISNUMBER(W218),ISNUMBER($C$4),ABS(W218-$C$4)&lt;=$C$5,ABS(MOD(B218-$C$6+6,12)-6)&lt;=$C$7,OR($C$8="Any",P218=$C$8)),1,0)</f>
        <v/>
      </c>
      <c r="D218" s="29">
        <f>IF(C218=1,COUNTIF($C$16:C218,1),"")</f>
        <v/>
      </c>
      <c r="E218" s="18" t="n">
        <v>11.93</v>
      </c>
      <c r="F218" s="18" t="n">
        <v>10.93</v>
      </c>
      <c r="G218" s="18" t="n">
        <v>13.92</v>
      </c>
      <c r="H218" s="38" t="n">
        <v>5.93</v>
      </c>
      <c r="I218" s="38" t="n">
        <v>0.19</v>
      </c>
      <c r="J218" s="13" t="n">
        <v>11339</v>
      </c>
      <c r="K218" s="13" t="n">
        <v>11042.25</v>
      </c>
      <c r="L218" s="13" t="n">
        <v>2375.44</v>
      </c>
      <c r="M218" s="13" t="n">
        <v>2325.83</v>
      </c>
      <c r="N218" s="13" t="n">
        <v>4381</v>
      </c>
      <c r="O218" s="38" t="n">
        <v>53.09</v>
      </c>
      <c r="P218" s="39" t="inlineStr">
        <is>
          <t>Windy</t>
        </is>
      </c>
      <c r="Q218" s="13" t="n">
        <v>1459</v>
      </c>
      <c r="R218" s="13" t="n">
        <v>735.91</v>
      </c>
      <c r="S218" s="13" t="n">
        <v>171.42</v>
      </c>
      <c r="T218" s="13" t="n">
        <v>10478.15</v>
      </c>
      <c r="U218" s="13" t="n">
        <v>700.53</v>
      </c>
      <c r="V218" s="13" t="n">
        <v>464.96</v>
      </c>
      <c r="W218" s="13" t="n">
        <v>2170.79</v>
      </c>
      <c r="X218" s="13" t="n">
        <v>3595.7</v>
      </c>
      <c r="Y218" s="13" t="n">
        <v>2430.7</v>
      </c>
      <c r="Z218" s="19" t="n"/>
      <c r="AA218" s="18" t="n"/>
      <c r="AB218" s="38" t="n">
        <v>28.53</v>
      </c>
      <c r="AC218" s="14">
        <f>IFERROR(AVERAGEIFS($E$16:$E$736,$W$16:$W$736,"&gt;="&amp;W218-$C$5,$W$16:$W$736,"&lt;="&amp;W218+$C$5,$B$16:$B$736,B218,$A$16:$A$736,"&lt;&gt;"&amp;A218),"")</f>
        <v/>
      </c>
      <c r="AD218" s="14">
        <f>IF(AND(ISNUMBER(E218),ISNUMBER(AC218)),E218-AC218,"")</f>
        <v/>
      </c>
    </row>
    <row r="219">
      <c r="A219" s="17" t="n">
        <v>46086</v>
      </c>
      <c r="B219" s="29">
        <f>MONTH(A219)</f>
        <v/>
      </c>
      <c r="C219" s="29">
        <f>IF(AND(ISNUMBER(W219),ISNUMBER($C$4),ABS(W219-$C$4)&lt;=$C$5,ABS(MOD(B219-$C$6+6,12)-6)&lt;=$C$7,OR($C$8="Any",P219=$C$8)),1,0)</f>
        <v/>
      </c>
      <c r="D219" s="29">
        <f>IF(C219=1,COUNTIF($C$16:C219,1),"")</f>
        <v/>
      </c>
      <c r="E219" s="18" t="n">
        <v>43.8</v>
      </c>
      <c r="F219" s="18" t="n">
        <v>47.87</v>
      </c>
      <c r="G219" s="18" t="n">
        <v>35.65</v>
      </c>
      <c r="H219" s="38" t="n">
        <v>4.37</v>
      </c>
      <c r="I219" s="38" t="n">
        <v>-2.68</v>
      </c>
      <c r="J219" s="13" t="n">
        <v>11431</v>
      </c>
      <c r="K219" s="13" t="n">
        <v>11164.88</v>
      </c>
      <c r="L219" s="13" t="n">
        <v>359.31</v>
      </c>
      <c r="M219" s="13" t="n">
        <v>312.96</v>
      </c>
      <c r="N219" s="13" t="n">
        <v>4381</v>
      </c>
      <c r="O219" s="38" t="n">
        <v>7.14</v>
      </c>
      <c r="P219" s="39" t="inlineStr">
        <is>
          <t>Calm</t>
        </is>
      </c>
      <c r="Q219" s="13" t="n">
        <v>1394</v>
      </c>
      <c r="R219" s="13" t="n">
        <v>717.1</v>
      </c>
      <c r="S219" s="13" t="n">
        <v>565.42</v>
      </c>
      <c r="T219" s="13" t="n">
        <v>10793.54</v>
      </c>
      <c r="U219" s="13" t="n">
        <v>667.15</v>
      </c>
      <c r="V219" s="13" t="n">
        <v>319.39</v>
      </c>
      <c r="W219" s="13" t="n">
        <v>1112.66</v>
      </c>
      <c r="X219" s="13" t="n">
        <v>1988.71</v>
      </c>
      <c r="Y219" s="13" t="n">
        <v>1359.39</v>
      </c>
      <c r="Z219" s="19" t="n"/>
      <c r="AA219" s="18" t="n"/>
      <c r="AB219" s="38" t="n">
        <v>19.52</v>
      </c>
      <c r="AC219" s="14">
        <f>IFERROR(AVERAGEIFS($E$16:$E$736,$W$16:$W$736,"&gt;="&amp;W219-$C$5,$W$16:$W$736,"&lt;="&amp;W219+$C$5,$B$16:$B$736,B219,$A$16:$A$736,"&lt;&gt;"&amp;A219),"")</f>
        <v/>
      </c>
      <c r="AD219" s="14">
        <f>IF(AND(ISNUMBER(E219),ISNUMBER(AC219)),E219-AC219,"")</f>
        <v/>
      </c>
    </row>
    <row r="220">
      <c r="A220" s="17" t="n">
        <v>46085</v>
      </c>
      <c r="B220" s="29">
        <f>MONTH(A220)</f>
        <v/>
      </c>
      <c r="C220" s="29">
        <f>IF(AND(ISNUMBER(W220),ISNUMBER($C$4),ABS(W220-$C$4)&lt;=$C$5,ABS(MOD(B220-$C$6+6,12)-6)&lt;=$C$7,OR($C$8="Any",P220=$C$8)),1,0)</f>
        <v/>
      </c>
      <c r="D220" s="29">
        <f>IF(C220=1,COUNTIF($C$16:C220,1),"")</f>
        <v/>
      </c>
      <c r="E220" s="18" t="n">
        <v>69.83</v>
      </c>
      <c r="F220" s="18" t="n">
        <v>70.48999999999999</v>
      </c>
      <c r="G220" s="18" t="n">
        <v>68.48999999999999</v>
      </c>
      <c r="H220" s="38" t="n">
        <v>-3.17</v>
      </c>
      <c r="I220" s="38" t="n">
        <v>-6.91</v>
      </c>
      <c r="J220" s="13" t="n">
        <v>11774</v>
      </c>
      <c r="K220" s="13" t="n">
        <v>11509.69</v>
      </c>
      <c r="L220" s="13" t="n">
        <v>327.25</v>
      </c>
      <c r="M220" s="13" t="n">
        <v>299.62</v>
      </c>
      <c r="N220" s="13" t="n">
        <v>4381</v>
      </c>
      <c r="O220" s="38" t="n">
        <v>6.84</v>
      </c>
      <c r="P220" s="39" t="inlineStr">
        <is>
          <t>Calm</t>
        </is>
      </c>
      <c r="Q220" s="13" t="n">
        <v>631</v>
      </c>
      <c r="R220" s="13" t="n">
        <v>675.26</v>
      </c>
      <c r="S220" s="13" t="n">
        <v>490.25</v>
      </c>
      <c r="T220" s="13" t="n">
        <v>11243.5</v>
      </c>
      <c r="U220" s="13" t="n">
        <v>661.6799999999999</v>
      </c>
      <c r="V220" s="13" t="n">
        <v>82.27</v>
      </c>
      <c r="W220" s="13" t="n">
        <v>1314.79</v>
      </c>
      <c r="X220" s="13" t="n">
        <v>1727.84</v>
      </c>
      <c r="Y220" s="13" t="n">
        <v>1555.48</v>
      </c>
      <c r="Z220" s="19" t="n"/>
      <c r="AA220" s="18" t="n"/>
      <c r="AB220" s="38" t="n">
        <v>13.13</v>
      </c>
      <c r="AC220" s="14">
        <f>IFERROR(AVERAGEIFS($E$16:$E$736,$W$16:$W$736,"&gt;="&amp;W220-$C$5,$W$16:$W$736,"&lt;="&amp;W220+$C$5,$B$16:$B$736,B220,$A$16:$A$736,"&lt;&gt;"&amp;A220),"")</f>
        <v/>
      </c>
      <c r="AD220" s="14">
        <f>IF(AND(ISNUMBER(E220),ISNUMBER(AC220)),E220-AC220,"")</f>
        <v/>
      </c>
    </row>
    <row r="221">
      <c r="A221" s="17" t="n">
        <v>46084</v>
      </c>
      <c r="B221" s="29">
        <f>MONTH(A221)</f>
        <v/>
      </c>
      <c r="C221" s="29">
        <f>IF(AND(ISNUMBER(W221),ISNUMBER($C$4),ABS(W221-$C$4)&lt;=$C$5,ABS(MOD(B221-$C$6+6,12)-6)&lt;=$C$7,OR($C$8="Any",P221=$C$8)),1,0)</f>
        <v/>
      </c>
      <c r="D221" s="29">
        <f>IF(C221=1,COUNTIF($C$16:C221,1),"")</f>
        <v/>
      </c>
      <c r="E221" s="18" t="n">
        <v>14.2</v>
      </c>
      <c r="F221" s="18" t="n">
        <v>11.01</v>
      </c>
      <c r="G221" s="18" t="n">
        <v>20.57</v>
      </c>
      <c r="H221" s="38" t="n">
        <v>1.8</v>
      </c>
      <c r="I221" s="38" t="n">
        <v>-1.93</v>
      </c>
      <c r="J221" s="13" t="n">
        <v>11814</v>
      </c>
      <c r="K221" s="13" t="n">
        <v>11486.38</v>
      </c>
      <c r="L221" s="13" t="n">
        <v>2895.06</v>
      </c>
      <c r="M221" s="13" t="n">
        <v>2634.08</v>
      </c>
      <c r="N221" s="13" t="n">
        <v>4381</v>
      </c>
      <c r="O221" s="38" t="n">
        <v>60.13</v>
      </c>
      <c r="P221" s="39" t="inlineStr">
        <is>
          <t>Windy</t>
        </is>
      </c>
      <c r="Q221" s="13" t="n">
        <v>936</v>
      </c>
      <c r="R221" s="13" t="n">
        <v>719.61</v>
      </c>
      <c r="S221" s="13" t="n">
        <v>-92.92</v>
      </c>
      <c r="T221" s="13" t="n">
        <v>11306.54</v>
      </c>
      <c r="U221" s="13" t="n">
        <v>668.5</v>
      </c>
      <c r="V221" s="13" t="n">
        <v>138.99</v>
      </c>
      <c r="W221" s="13" t="n">
        <v>2440.62</v>
      </c>
      <c r="X221" s="13" t="n">
        <v>3830.14</v>
      </c>
      <c r="Y221" s="13" t="n">
        <v>2676.22</v>
      </c>
      <c r="Z221" s="19" t="n"/>
      <c r="AA221" s="18" t="n"/>
      <c r="AB221" s="38" t="n">
        <v>27.38</v>
      </c>
      <c r="AC221" s="14">
        <f>IFERROR(AVERAGEIFS($E$16:$E$736,$W$16:$W$736,"&gt;="&amp;W221-$C$5,$W$16:$W$736,"&lt;="&amp;W221+$C$5,$B$16:$B$736,B221,$A$16:$A$736,"&lt;&gt;"&amp;A221),"")</f>
        <v/>
      </c>
      <c r="AD221" s="14">
        <f>IF(AND(ISNUMBER(E221),ISNUMBER(AC221)),E221-AC221,"")</f>
        <v/>
      </c>
    </row>
    <row r="222">
      <c r="A222" s="17" t="n">
        <v>46083</v>
      </c>
      <c r="B222" s="29">
        <f>MONTH(A222)</f>
        <v/>
      </c>
      <c r="C222" s="29">
        <f>IF(AND(ISNUMBER(W222),ISNUMBER($C$4),ABS(W222-$C$4)&lt;=$C$5,ABS(MOD(B222-$C$6+6,12)-6)&lt;=$C$7,OR($C$8="Any",P222=$C$8)),1,0)</f>
        <v/>
      </c>
      <c r="D222" s="29">
        <f>IF(C222=1,COUNTIF($C$16:C222,1),"")</f>
        <v/>
      </c>
      <c r="E222" s="18" t="n">
        <v>28.51</v>
      </c>
      <c r="F222" s="18" t="n">
        <v>34.43</v>
      </c>
      <c r="G222" s="18" t="n">
        <v>16.68</v>
      </c>
      <c r="H222" s="38" t="n">
        <v>2.3</v>
      </c>
      <c r="I222" s="38" t="n">
        <v>-2.51</v>
      </c>
      <c r="J222" s="13" t="n">
        <v>11629</v>
      </c>
      <c r="K222" s="13" t="n">
        <v>11436.88</v>
      </c>
      <c r="L222" s="13" t="n">
        <v>1418</v>
      </c>
      <c r="M222" s="13" t="n">
        <v>1646.29</v>
      </c>
      <c r="N222" s="13" t="n">
        <v>4381</v>
      </c>
      <c r="O222" s="38" t="n">
        <v>37.58</v>
      </c>
      <c r="P222" s="39" t="inlineStr">
        <is>
          <t>Windy</t>
        </is>
      </c>
      <c r="Q222" s="13" t="n">
        <v>1463</v>
      </c>
      <c r="R222" s="13" t="n">
        <v>726.6900000000001</v>
      </c>
      <c r="S222" s="13" t="n">
        <v>-44.79</v>
      </c>
      <c r="T222" s="13" t="n">
        <v>11132.77</v>
      </c>
      <c r="U222" s="13" t="n">
        <v>679.76</v>
      </c>
      <c r="V222" s="13" t="n">
        <v>85.92</v>
      </c>
      <c r="W222" s="13" t="n">
        <v>2076.55</v>
      </c>
      <c r="X222" s="13" t="n">
        <v>2650.6</v>
      </c>
      <c r="Y222" s="13" t="n">
        <v>2284.31</v>
      </c>
      <c r="Z222" s="19" t="n"/>
      <c r="AA222" s="18" t="n"/>
      <c r="AB222" s="38" t="n">
        <v>22.11</v>
      </c>
      <c r="AC222" s="14">
        <f>IFERROR(AVERAGEIFS($E$16:$E$736,$W$16:$W$736,"&gt;="&amp;W222-$C$5,$W$16:$W$736,"&lt;="&amp;W222+$C$5,$B$16:$B$736,B222,$A$16:$A$736,"&lt;&gt;"&amp;A222),"")</f>
        <v/>
      </c>
      <c r="AD222" s="14">
        <f>IF(AND(ISNUMBER(E222),ISNUMBER(AC222)),E222-AC222,"")</f>
        <v/>
      </c>
    </row>
    <row r="223">
      <c r="A223" s="17" t="n">
        <v>46082</v>
      </c>
      <c r="B223" s="29">
        <f>MONTH(A223)</f>
        <v/>
      </c>
      <c r="C223" s="29">
        <f>IF(AND(ISNUMBER(W223),ISNUMBER($C$4),ABS(W223-$C$4)&lt;=$C$5,ABS(MOD(B223-$C$6+6,12)-6)&lt;=$C$7,OR($C$8="Any",P223=$C$8)),1,0)</f>
        <v/>
      </c>
      <c r="D223" s="29">
        <f>IF(C223=1,COUNTIF($C$16:C223,1),"")</f>
        <v/>
      </c>
      <c r="E223" s="18" t="n">
        <v>15.5</v>
      </c>
      <c r="F223" s="18" t="n">
        <v>16.48</v>
      </c>
      <c r="G223" s="18" t="n">
        <v>13.53</v>
      </c>
      <c r="H223" s="38" t="n">
        <v>3.93</v>
      </c>
      <c r="I223" s="38" t="n">
        <v>-4.88</v>
      </c>
      <c r="J223" s="13" t="n">
        <v>11309</v>
      </c>
      <c r="K223" s="13" t="n">
        <v>10931.38</v>
      </c>
      <c r="L223" s="13" t="n">
        <v>2648.56</v>
      </c>
      <c r="M223" s="13" t="n">
        <v>2549.92</v>
      </c>
      <c r="N223" s="13" t="n">
        <v>4381</v>
      </c>
      <c r="O223" s="38" t="n">
        <v>58.2</v>
      </c>
      <c r="P223" s="39" t="inlineStr">
        <is>
          <t>Windy</t>
        </is>
      </c>
      <c r="Q223" s="13" t="n">
        <v>1641</v>
      </c>
      <c r="R223" s="13" t="n">
        <v>728.64</v>
      </c>
      <c r="S223" s="13" t="n">
        <v>-157.08</v>
      </c>
      <c r="T223" s="13" t="n">
        <v>10148.2</v>
      </c>
      <c r="U223" s="13" t="n">
        <v>763.65</v>
      </c>
      <c r="V223" s="13" t="n">
        <v>393.13</v>
      </c>
      <c r="W223" s="13" t="n">
        <v>1811.39</v>
      </c>
      <c r="X223" s="13" t="n">
        <v>3403.64</v>
      </c>
      <c r="Y223" s="13" t="n">
        <v>1920.52</v>
      </c>
      <c r="Z223" s="19" t="n"/>
      <c r="AA223" s="18" t="n"/>
      <c r="AB223" s="38" t="n">
        <v>30.57</v>
      </c>
      <c r="AC223" s="14">
        <f>IFERROR(AVERAGEIFS($E$16:$E$736,$W$16:$W$736,"&gt;="&amp;W223-$C$5,$W$16:$W$736,"&lt;="&amp;W223+$C$5,$B$16:$B$736,B223,$A$16:$A$736,"&lt;&gt;"&amp;A223),"")</f>
        <v/>
      </c>
      <c r="AD223" s="14">
        <f>IF(AND(ISNUMBER(E223),ISNUMBER(AC223)),E223-AC223,"")</f>
        <v/>
      </c>
    </row>
    <row r="224">
      <c r="A224" s="17" t="n">
        <v>46081</v>
      </c>
      <c r="B224" s="29">
        <f>MONTH(A224)</f>
        <v/>
      </c>
      <c r="C224" s="29">
        <f>IF(AND(ISNUMBER(W224),ISNUMBER($C$4),ABS(W224-$C$4)&lt;=$C$5,ABS(MOD(B224-$C$6+6,12)-6)&lt;=$C$7,OR($C$8="Any",P224=$C$8)),1,0)</f>
        <v/>
      </c>
      <c r="D224" s="29">
        <f>IF(C224=1,COUNTIF($C$16:C224,1),"")</f>
        <v/>
      </c>
      <c r="E224" s="18" t="n">
        <v>74.64</v>
      </c>
      <c r="F224" s="18" t="n">
        <v>95.79000000000001</v>
      </c>
      <c r="G224" s="18" t="n">
        <v>32.34</v>
      </c>
      <c r="H224" s="38" t="n">
        <v>-8.300000000000001</v>
      </c>
      <c r="I224" s="38" t="n">
        <v>-13.72</v>
      </c>
      <c r="J224" s="13" t="n">
        <v>11207</v>
      </c>
      <c r="K224" s="13" t="n">
        <v>10999.81</v>
      </c>
      <c r="L224" s="13" t="n">
        <v>733.1900000000001</v>
      </c>
      <c r="M224" s="13" t="n">
        <v>815.58</v>
      </c>
      <c r="N224" s="13" t="n">
        <v>4381</v>
      </c>
      <c r="O224" s="38" t="n">
        <v>18.62</v>
      </c>
      <c r="P224" s="39" t="inlineStr">
        <is>
          <t>Windy</t>
        </is>
      </c>
      <c r="Q224" s="13" t="n">
        <v>1354</v>
      </c>
      <c r="R224" s="13" t="n">
        <v>728.83</v>
      </c>
      <c r="S224" s="13" t="n">
        <v>253.62</v>
      </c>
      <c r="T224" s="13" t="n">
        <v>10186.37</v>
      </c>
      <c r="U224" s="13" t="n">
        <v>749.1900000000001</v>
      </c>
      <c r="V224" s="13" t="n">
        <v>266.26</v>
      </c>
      <c r="W224" s="13" t="n">
        <v>695.2</v>
      </c>
      <c r="X224" s="13" t="n">
        <v>1803.5</v>
      </c>
      <c r="Y224" s="13" t="n">
        <v>842.91</v>
      </c>
      <c r="Z224" s="19" t="n"/>
      <c r="AA224" s="18" t="n"/>
      <c r="AB224" s="38" t="n">
        <v>16.7</v>
      </c>
      <c r="AC224" s="14">
        <f>IFERROR(AVERAGEIFS($E$16:$E$736,$W$16:$W$736,"&gt;="&amp;W224-$C$5,$W$16:$W$736,"&lt;="&amp;W224+$C$5,$B$16:$B$736,B224,$A$16:$A$736,"&lt;&gt;"&amp;A224),"")</f>
        <v/>
      </c>
      <c r="AD224" s="14">
        <f>IF(AND(ISNUMBER(E224),ISNUMBER(AC224)),E224-AC224,"")</f>
        <v/>
      </c>
    </row>
    <row r="225">
      <c r="A225" s="17" t="n">
        <v>46080</v>
      </c>
      <c r="B225" s="29">
        <f>MONTH(A225)</f>
        <v/>
      </c>
      <c r="C225" s="29">
        <f>IF(AND(ISNUMBER(W225),ISNUMBER($C$4),ABS(W225-$C$4)&lt;=$C$5,ABS(MOD(B225-$C$6+6,12)-6)&lt;=$C$7,OR($C$8="Any",P225=$C$8)),1,0)</f>
        <v/>
      </c>
      <c r="D225" s="29">
        <f>IF(C225=1,COUNTIF($C$16:C225,1),"")</f>
        <v/>
      </c>
      <c r="E225" s="18" t="n">
        <v>26.58</v>
      </c>
      <c r="F225" s="18" t="n">
        <v>29.82</v>
      </c>
      <c r="G225" s="18" t="n">
        <v>20.11</v>
      </c>
      <c r="H225" s="38" t="n">
        <v>-5.27</v>
      </c>
      <c r="I225" s="38" t="n">
        <v>-9.68</v>
      </c>
      <c r="J225" s="13" t="n">
        <v>11793</v>
      </c>
      <c r="K225" s="13" t="n">
        <v>11547.62</v>
      </c>
      <c r="L225" s="13" t="n">
        <v>1394.88</v>
      </c>
      <c r="M225" s="13" t="n">
        <v>1583.29</v>
      </c>
      <c r="N225" s="13" t="n">
        <v>4381</v>
      </c>
      <c r="O225" s="38" t="n">
        <v>36.14</v>
      </c>
      <c r="P225" s="39" t="inlineStr">
        <is>
          <t>Windy</t>
        </is>
      </c>
      <c r="Q225" s="13" t="n">
        <v>433</v>
      </c>
      <c r="R225" s="13" t="n">
        <v>708.64</v>
      </c>
      <c r="S225" s="13" t="n">
        <v>279.25</v>
      </c>
      <c r="T225" s="13" t="n">
        <v>10225.1</v>
      </c>
      <c r="U225" s="13" t="n">
        <v>749.9299999999999</v>
      </c>
      <c r="V225" s="13" t="n">
        <v>521.6</v>
      </c>
      <c r="W225" s="13" t="n">
        <v>1113.13</v>
      </c>
      <c r="X225" s="13" t="n">
        <v>1598.94</v>
      </c>
      <c r="Y225" s="13" t="n">
        <v>1209.57</v>
      </c>
      <c r="Z225" s="19" t="n"/>
      <c r="AA225" s="18" t="n"/>
      <c r="AB225" s="38" t="n">
        <v>16.1</v>
      </c>
      <c r="AC225" s="14">
        <f>IFERROR(AVERAGEIFS($E$16:$E$736,$W$16:$W$736,"&gt;="&amp;W225-$C$5,$W$16:$W$736,"&lt;="&amp;W225+$C$5,$B$16:$B$736,B225,$A$16:$A$736,"&lt;&gt;"&amp;A225),"")</f>
        <v/>
      </c>
      <c r="AD225" s="14">
        <f>IF(AND(ISNUMBER(E225),ISNUMBER(AC225)),E225-AC225,"")</f>
        <v/>
      </c>
    </row>
    <row r="226">
      <c r="A226" s="17" t="n">
        <v>46079</v>
      </c>
      <c r="B226" s="29">
        <f>MONTH(A226)</f>
        <v/>
      </c>
      <c r="C226" s="29">
        <f>IF(AND(ISNUMBER(W226),ISNUMBER($C$4),ABS(W226-$C$4)&lt;=$C$5,ABS(MOD(B226-$C$6+6,12)-6)&lt;=$C$7,OR($C$8="Any",P226=$C$8)),1,0)</f>
        <v/>
      </c>
      <c r="D226" s="29">
        <f>IF(C226=1,COUNTIF($C$16:C226,1),"")</f>
        <v/>
      </c>
      <c r="E226" s="18" t="n">
        <v>2.93</v>
      </c>
      <c r="F226" s="18" t="n">
        <v>2.45</v>
      </c>
      <c r="G226" s="18" t="n">
        <v>3.88</v>
      </c>
      <c r="H226" s="38" t="n">
        <v>4.53</v>
      </c>
      <c r="I226" s="38" t="n">
        <v>1.21</v>
      </c>
      <c r="J226" s="13" t="n">
        <v>11515</v>
      </c>
      <c r="K226" s="13" t="n">
        <v>11240.19</v>
      </c>
      <c r="L226" s="13" t="n">
        <v>3662.31</v>
      </c>
      <c r="M226" s="13" t="n">
        <v>3774.88</v>
      </c>
      <c r="N226" s="13" t="n">
        <v>4381</v>
      </c>
      <c r="O226" s="38" t="n">
        <v>86.16</v>
      </c>
      <c r="P226" s="39" t="inlineStr">
        <is>
          <t>Windy</t>
        </is>
      </c>
      <c r="Q226" s="13" t="n">
        <v>1217</v>
      </c>
      <c r="R226" s="13" t="n">
        <v>731.9400000000001</v>
      </c>
      <c r="S226" s="13" t="n">
        <v>-548.08</v>
      </c>
      <c r="T226" s="13" t="n">
        <v>10026.96</v>
      </c>
      <c r="U226" s="13" t="n">
        <v>727.67</v>
      </c>
      <c r="V226" s="13" t="n">
        <v>236.28</v>
      </c>
      <c r="W226" s="13" t="n">
        <v>3025.48</v>
      </c>
      <c r="X226" s="13" t="n">
        <v>3501.13</v>
      </c>
      <c r="Y226" s="13" t="n">
        <v>3166.12</v>
      </c>
      <c r="Z226" s="19" t="n"/>
      <c r="AA226" s="18" t="n"/>
      <c r="AB226" s="38" t="n">
        <v>44.86</v>
      </c>
      <c r="AC226" s="14">
        <f>IFERROR(AVERAGEIFS($E$16:$E$736,$W$16:$W$736,"&gt;="&amp;W226-$C$5,$W$16:$W$736,"&lt;="&amp;W226+$C$5,$B$16:$B$736,B226,$A$16:$A$736,"&lt;&gt;"&amp;A226),"")</f>
        <v/>
      </c>
      <c r="AD226" s="14">
        <f>IF(AND(ISNUMBER(E226),ISNUMBER(AC226)),E226-AC226,"")</f>
        <v/>
      </c>
    </row>
    <row r="227">
      <c r="A227" s="17" t="n">
        <v>46078</v>
      </c>
      <c r="B227" s="29">
        <f>MONTH(A227)</f>
        <v/>
      </c>
      <c r="C227" s="29">
        <f>IF(AND(ISNUMBER(W227),ISNUMBER($C$4),ABS(W227-$C$4)&lt;=$C$5,ABS(MOD(B227-$C$6+6,12)-6)&lt;=$C$7,OR($C$8="Any",P227=$C$8)),1,0)</f>
        <v/>
      </c>
      <c r="D227" s="29">
        <f>IF(C227=1,COUNTIF($C$16:C227,1),"")</f>
        <v/>
      </c>
      <c r="E227" s="18" t="n">
        <v>3.29</v>
      </c>
      <c r="F227" s="18" t="n">
        <v>3.51</v>
      </c>
      <c r="G227" s="18" t="n">
        <v>2.84</v>
      </c>
      <c r="H227" s="38" t="n">
        <v>3.1</v>
      </c>
      <c r="I227" s="38" t="n">
        <v>-0.01</v>
      </c>
      <c r="J227" s="13" t="n">
        <v>11449</v>
      </c>
      <c r="K227" s="13" t="n">
        <v>11187.38</v>
      </c>
      <c r="L227" s="13" t="n">
        <v>3790.12</v>
      </c>
      <c r="M227" s="13" t="n">
        <v>3707.71</v>
      </c>
      <c r="N227" s="13" t="n">
        <v>4381</v>
      </c>
      <c r="O227" s="38" t="n">
        <v>84.63</v>
      </c>
      <c r="P227" s="39" t="inlineStr">
        <is>
          <t>Windy</t>
        </is>
      </c>
      <c r="Q227" s="13" t="n">
        <v>1051</v>
      </c>
      <c r="R227" s="13" t="n">
        <v>732.16</v>
      </c>
      <c r="S227" s="13" t="n">
        <v>-417.88</v>
      </c>
      <c r="T227" s="13" t="n">
        <v>10077.89</v>
      </c>
      <c r="U227" s="13" t="n">
        <v>750.85</v>
      </c>
      <c r="V227" s="13" t="n">
        <v>455.58</v>
      </c>
      <c r="W227" s="13" t="n">
        <v>2941.77</v>
      </c>
      <c r="X227" s="13" t="n">
        <v>3662.47</v>
      </c>
      <c r="Y227" s="13" t="n">
        <v>3048.02</v>
      </c>
      <c r="Z227" s="19" t="n"/>
      <c r="AA227" s="18" t="n"/>
      <c r="AB227" s="38" t="n">
        <v>34.12</v>
      </c>
      <c r="AC227" s="14">
        <f>IFERROR(AVERAGEIFS($E$16:$E$736,$W$16:$W$736,"&gt;="&amp;W227-$C$5,$W$16:$W$736,"&lt;="&amp;W227+$C$5,$B$16:$B$736,B227,$A$16:$A$736,"&lt;&gt;"&amp;A227),"")</f>
        <v/>
      </c>
      <c r="AD227" s="14">
        <f>IF(AND(ISNUMBER(E227),ISNUMBER(AC227)),E227-AC227,"")</f>
        <v/>
      </c>
    </row>
    <row r="228">
      <c r="A228" s="17" t="n">
        <v>46077</v>
      </c>
      <c r="B228" s="29">
        <f>MONTH(A228)</f>
        <v/>
      </c>
      <c r="C228" s="29">
        <f>IF(AND(ISNUMBER(W228),ISNUMBER($C$4),ABS(W228-$C$4)&lt;=$C$5,ABS(MOD(B228-$C$6+6,12)-6)&lt;=$C$7,OR($C$8="Any",P228=$C$8)),1,0)</f>
        <v/>
      </c>
      <c r="D228" s="29">
        <f>IF(C228=1,COUNTIF($C$16:C228,1),"")</f>
        <v/>
      </c>
      <c r="E228" s="18" t="n">
        <v>20.95</v>
      </c>
      <c r="F228" s="18" t="n">
        <v>22.2</v>
      </c>
      <c r="G228" s="18" t="n">
        <v>18.47</v>
      </c>
      <c r="H228" s="38" t="n">
        <v>0.07000000000000001</v>
      </c>
      <c r="I228" s="38" t="n">
        <v>-5.24</v>
      </c>
      <c r="J228" s="13" t="n">
        <v>11549</v>
      </c>
      <c r="K228" s="13" t="n">
        <v>11274.44</v>
      </c>
      <c r="L228" s="13" t="n">
        <v>1655.06</v>
      </c>
      <c r="M228" s="13" t="n">
        <v>1684.33</v>
      </c>
      <c r="N228" s="13" t="n">
        <v>4381</v>
      </c>
      <c r="O228" s="38" t="n">
        <v>38.45</v>
      </c>
      <c r="P228" s="39" t="inlineStr">
        <is>
          <t>Windy</t>
        </is>
      </c>
      <c r="Q228" s="13" t="n">
        <v>1537</v>
      </c>
      <c r="R228" s="13" t="n">
        <v>714.59</v>
      </c>
      <c r="S228" s="13" t="n">
        <v>41.92</v>
      </c>
      <c r="T228" s="13" t="n">
        <v>11011.63</v>
      </c>
      <c r="U228" s="13" t="n">
        <v>734.99</v>
      </c>
      <c r="V228" s="13" t="n">
        <v>192.06</v>
      </c>
      <c r="W228" s="13" t="n">
        <v>2279.7</v>
      </c>
      <c r="X228" s="13" t="n">
        <v>3132.71</v>
      </c>
      <c r="Y228" s="13" t="n">
        <v>2423.71</v>
      </c>
      <c r="Z228" s="19" t="n"/>
      <c r="AA228" s="18" t="n"/>
      <c r="AB228" s="38" t="n">
        <v>24.27</v>
      </c>
      <c r="AC228" s="14">
        <f>IFERROR(AVERAGEIFS($E$16:$E$736,$W$16:$W$736,"&gt;="&amp;W228-$C$5,$W$16:$W$736,"&lt;="&amp;W228+$C$5,$B$16:$B$736,B228,$A$16:$A$736,"&lt;&gt;"&amp;A228),"")</f>
        <v/>
      </c>
      <c r="AD228" s="14">
        <f>IF(AND(ISNUMBER(E228),ISNUMBER(AC228)),E228-AC228,"")</f>
        <v/>
      </c>
    </row>
    <row r="229">
      <c r="A229" s="17" t="n">
        <v>46076</v>
      </c>
      <c r="B229" s="29">
        <f>MONTH(A229)</f>
        <v/>
      </c>
      <c r="C229" s="29">
        <f>IF(AND(ISNUMBER(W229),ISNUMBER($C$4),ABS(W229-$C$4)&lt;=$C$5,ABS(MOD(B229-$C$6+6,12)-6)&lt;=$C$7,OR($C$8="Any",P229=$C$8)),1,0)</f>
        <v/>
      </c>
      <c r="D229" s="29">
        <f>IF(C229=1,COUNTIF($C$16:C229,1),"")</f>
        <v/>
      </c>
      <c r="E229" s="18" t="n">
        <v>26.26</v>
      </c>
      <c r="F229" s="18" t="n">
        <v>30.92</v>
      </c>
      <c r="G229" s="18" t="n">
        <v>16.94</v>
      </c>
      <c r="H229" s="38" t="n">
        <v>-4.9</v>
      </c>
      <c r="I229" s="38" t="n">
        <v>-8.77</v>
      </c>
      <c r="J229" s="13" t="n">
        <v>11913</v>
      </c>
      <c r="K229" s="13" t="n">
        <v>11663.75</v>
      </c>
      <c r="L229" s="13" t="n">
        <v>1956.69</v>
      </c>
      <c r="M229" s="13" t="n">
        <v>1921.46</v>
      </c>
      <c r="N229" s="13" t="n">
        <v>4381</v>
      </c>
      <c r="O229" s="38" t="n">
        <v>43.86</v>
      </c>
      <c r="P229" s="39" t="inlineStr">
        <is>
          <t>Windy</t>
        </is>
      </c>
      <c r="Q229" s="13" t="n">
        <v>970</v>
      </c>
      <c r="R229" s="13" t="n">
        <v>736.28</v>
      </c>
      <c r="S229" s="13" t="n">
        <v>-182.04</v>
      </c>
      <c r="T229" s="13" t="n">
        <v>11262.98</v>
      </c>
      <c r="U229" s="13" t="n">
        <v>781.66</v>
      </c>
      <c r="V229" s="13" t="n">
        <v>49.1</v>
      </c>
      <c r="W229" s="13" t="n">
        <v>1741.84</v>
      </c>
      <c r="X229" s="13" t="n">
        <v>2866.74</v>
      </c>
      <c r="Y229" s="13" t="n">
        <v>1888.98</v>
      </c>
      <c r="Z229" s="19" t="n"/>
      <c r="AA229" s="18" t="n"/>
      <c r="AB229" s="38" t="n">
        <v>19.2</v>
      </c>
      <c r="AC229" s="14">
        <f>IFERROR(AVERAGEIFS($E$16:$E$736,$W$16:$W$736,"&gt;="&amp;W229-$C$5,$W$16:$W$736,"&lt;="&amp;W229+$C$5,$B$16:$B$736,B229,$A$16:$A$736,"&lt;&gt;"&amp;A229),"")</f>
        <v/>
      </c>
      <c r="AD229" s="14">
        <f>IF(AND(ISNUMBER(E229),ISNUMBER(AC229)),E229-AC229,"")</f>
        <v/>
      </c>
    </row>
    <row r="230">
      <c r="A230" s="17" t="n">
        <v>46075</v>
      </c>
      <c r="B230" s="29">
        <f>MONTH(A230)</f>
        <v/>
      </c>
      <c r="C230" s="29">
        <f>IF(AND(ISNUMBER(W230),ISNUMBER($C$4),ABS(W230-$C$4)&lt;=$C$5,ABS(MOD(B230-$C$6+6,12)-6)&lt;=$C$7,OR($C$8="Any",P230=$C$8)),1,0)</f>
        <v/>
      </c>
      <c r="D230" s="29">
        <f>IF(C230=1,COUNTIF($C$16:C230,1),"")</f>
        <v/>
      </c>
      <c r="E230" s="18" t="n">
        <v>12.49</v>
      </c>
      <c r="F230" s="18" t="n">
        <v>11.18</v>
      </c>
      <c r="G230" s="18" t="n">
        <v>15.11</v>
      </c>
      <c r="H230" s="38" t="n">
        <v>-12.57</v>
      </c>
      <c r="I230" s="38" t="n">
        <v>-17.35</v>
      </c>
      <c r="J230" s="13" t="n">
        <v>11835</v>
      </c>
      <c r="K230" s="13" t="n">
        <v>11423.06</v>
      </c>
      <c r="L230" s="13" t="n">
        <v>2081.12</v>
      </c>
      <c r="M230" s="13" t="n">
        <v>2074.71</v>
      </c>
      <c r="N230" s="13" t="n">
        <v>4381</v>
      </c>
      <c r="O230" s="38" t="n">
        <v>47.36</v>
      </c>
      <c r="P230" s="39" t="inlineStr">
        <is>
          <t>Windy</t>
        </is>
      </c>
      <c r="Q230" s="13" t="n">
        <v>1449</v>
      </c>
      <c r="R230" s="13" t="n">
        <v>737.97</v>
      </c>
      <c r="S230" s="13" t="n">
        <v>-73.95999999999999</v>
      </c>
      <c r="T230" s="13" t="n">
        <v>11516.45</v>
      </c>
      <c r="U230" s="13" t="n">
        <v>795.0700000000001</v>
      </c>
      <c r="V230" s="13" t="n">
        <v>49.1</v>
      </c>
      <c r="W230" s="13" t="n">
        <v>2684.19</v>
      </c>
      <c r="X230" s="13" t="n">
        <v>3795.55</v>
      </c>
      <c r="Y230" s="13" t="n">
        <v>2765.98</v>
      </c>
      <c r="Z230" s="19" t="n"/>
      <c r="AA230" s="18" t="n"/>
      <c r="AB230" s="38" t="n">
        <v>12.39</v>
      </c>
      <c r="AC230" s="14">
        <f>IFERROR(AVERAGEIFS($E$16:$E$736,$W$16:$W$736,"&gt;="&amp;W230-$C$5,$W$16:$W$736,"&lt;="&amp;W230+$C$5,$B$16:$B$736,B230,$A$16:$A$736,"&lt;&gt;"&amp;A230),"")</f>
        <v/>
      </c>
      <c r="AD230" s="14">
        <f>IF(AND(ISNUMBER(E230),ISNUMBER(AC230)),E230-AC230,"")</f>
        <v/>
      </c>
    </row>
    <row r="231">
      <c r="A231" s="17" t="n">
        <v>46074</v>
      </c>
      <c r="B231" s="29">
        <f>MONTH(A231)</f>
        <v/>
      </c>
      <c r="C231" s="29">
        <f>IF(AND(ISNUMBER(W231),ISNUMBER($C$4),ABS(W231-$C$4)&lt;=$C$5,ABS(MOD(B231-$C$6+6,12)-6)&lt;=$C$7,OR($C$8="Any",P231=$C$8)),1,0)</f>
        <v/>
      </c>
      <c r="D231" s="29">
        <f>IF(C231=1,COUNTIF($C$16:C231,1),"")</f>
        <v/>
      </c>
      <c r="E231" s="18" t="n">
        <v>38.78</v>
      </c>
      <c r="F231" s="18" t="n">
        <v>36.95</v>
      </c>
      <c r="G231" s="18" t="n">
        <v>42.43</v>
      </c>
      <c r="H231" s="38" t="n">
        <v>-14.47</v>
      </c>
      <c r="I231" s="38" t="n">
        <v>-20.52</v>
      </c>
      <c r="J231" s="13" t="n">
        <v>11835</v>
      </c>
      <c r="K231" s="13" t="n">
        <v>11481.19</v>
      </c>
      <c r="L231" s="13" t="n">
        <v>182.06</v>
      </c>
      <c r="M231" s="13" t="n">
        <v>169</v>
      </c>
      <c r="N231" s="13" t="n">
        <v>4381</v>
      </c>
      <c r="O231" s="38" t="n">
        <v>3.86</v>
      </c>
      <c r="P231" s="39" t="inlineStr">
        <is>
          <t>Calm</t>
        </is>
      </c>
      <c r="Q231" s="13" t="n">
        <v>1427</v>
      </c>
      <c r="R231" s="13" t="n">
        <v>742.12</v>
      </c>
      <c r="S231" s="13" t="n">
        <v>114.54</v>
      </c>
      <c r="T231" s="13" t="n">
        <v>11441.37</v>
      </c>
      <c r="U231" s="13" t="n">
        <v>768.13</v>
      </c>
      <c r="V231" s="13" t="n">
        <v>544.74</v>
      </c>
      <c r="W231" s="13" t="n">
        <v>990.76</v>
      </c>
      <c r="X231" s="13" t="n">
        <v>1965.24</v>
      </c>
      <c r="Y231" s="13" t="n">
        <v>1127.79</v>
      </c>
      <c r="Z231" s="19" t="n"/>
      <c r="AA231" s="18" t="n"/>
      <c r="AB231" s="38" t="n">
        <v>8.93</v>
      </c>
      <c r="AC231" s="14">
        <f>IFERROR(AVERAGEIFS($E$16:$E$736,$W$16:$W$736,"&gt;="&amp;W231-$C$5,$W$16:$W$736,"&lt;="&amp;W231+$C$5,$B$16:$B$736,B231,$A$16:$A$736,"&lt;&gt;"&amp;A231),"")</f>
        <v/>
      </c>
      <c r="AD231" s="14">
        <f>IF(AND(ISNUMBER(E231),ISNUMBER(AC231)),E231-AC231,"")</f>
        <v/>
      </c>
    </row>
    <row r="232">
      <c r="A232" s="17" t="n">
        <v>46073</v>
      </c>
      <c r="B232" s="29">
        <f>MONTH(A232)</f>
        <v/>
      </c>
      <c r="C232" s="29">
        <f>IF(AND(ISNUMBER(W232),ISNUMBER($C$4),ABS(W232-$C$4)&lt;=$C$5,ABS(MOD(B232-$C$6+6,12)-6)&lt;=$C$7,OR($C$8="Any",P232=$C$8)),1,0)</f>
        <v/>
      </c>
      <c r="D232" s="29">
        <f>IF(C232=1,COUNTIF($C$16:C232,1),"")</f>
        <v/>
      </c>
      <c r="E232" s="18" t="n">
        <v>51.85</v>
      </c>
      <c r="F232" s="18" t="n">
        <v>56.85</v>
      </c>
      <c r="G232" s="18" t="n">
        <v>41.85</v>
      </c>
      <c r="H232" s="38" t="n">
        <v>-14.03</v>
      </c>
      <c r="I232" s="38" t="n">
        <v>-20.11</v>
      </c>
      <c r="J232" s="13" t="n">
        <v>11916</v>
      </c>
      <c r="K232" s="13" t="n">
        <v>11698.12</v>
      </c>
      <c r="L232" s="13" t="n">
        <v>23.5</v>
      </c>
      <c r="M232" s="13" t="n">
        <v>102.71</v>
      </c>
      <c r="N232" s="13" t="n">
        <v>4381</v>
      </c>
      <c r="O232" s="38" t="n">
        <v>2.34</v>
      </c>
      <c r="P232" s="39" t="inlineStr">
        <is>
          <t>Calm</t>
        </is>
      </c>
      <c r="Q232" s="13" t="n">
        <v>1268</v>
      </c>
      <c r="R232" s="13" t="n">
        <v>747.59</v>
      </c>
      <c r="S232" s="13" t="n">
        <v>194.67</v>
      </c>
      <c r="T232" s="13" t="n">
        <v>11518.99</v>
      </c>
      <c r="U232" s="13" t="n">
        <v>747.35</v>
      </c>
      <c r="V232" s="13" t="n">
        <v>75.86</v>
      </c>
      <c r="W232" s="13" t="n">
        <v>1178.01</v>
      </c>
      <c r="X232" s="13" t="n">
        <v>1602.25</v>
      </c>
      <c r="Y232" s="13" t="n">
        <v>1341.21</v>
      </c>
      <c r="Z232" s="19" t="n"/>
      <c r="AA232" s="18" t="n"/>
      <c r="AB232" s="38" t="n">
        <v>9.23</v>
      </c>
      <c r="AC232" s="14">
        <f>IFERROR(AVERAGEIFS($E$16:$E$736,$W$16:$W$736,"&gt;="&amp;W232-$C$5,$W$16:$W$736,"&lt;="&amp;W232+$C$5,$B$16:$B$736,B232,$A$16:$A$736,"&lt;&gt;"&amp;A232),"")</f>
        <v/>
      </c>
      <c r="AD232" s="14">
        <f>IF(AND(ISNUMBER(E232),ISNUMBER(AC232)),E232-AC232,"")</f>
        <v/>
      </c>
    </row>
    <row r="233">
      <c r="A233" s="17" t="n">
        <v>46072</v>
      </c>
      <c r="B233" s="29">
        <f>MONTH(A233)</f>
        <v/>
      </c>
      <c r="C233" s="29">
        <f>IF(AND(ISNUMBER(W233),ISNUMBER($C$4),ABS(W233-$C$4)&lt;=$C$5,ABS(MOD(B233-$C$6+6,12)-6)&lt;=$C$7,OR($C$8="Any",P233=$C$8)),1,0)</f>
        <v/>
      </c>
      <c r="D233" s="29">
        <f>IF(C233=1,COUNTIF($C$16:C233,1),"")</f>
        <v/>
      </c>
      <c r="E233" s="18" t="n">
        <v>65.90000000000001</v>
      </c>
      <c r="F233" s="18" t="n">
        <v>67.5</v>
      </c>
      <c r="G233" s="18" t="n">
        <v>62.7</v>
      </c>
      <c r="H233" s="38" t="n">
        <v>-20.87</v>
      </c>
      <c r="I233" s="38" t="n">
        <v>-25.44</v>
      </c>
      <c r="J233" s="13" t="n">
        <v>11856</v>
      </c>
      <c r="K233" s="13" t="n">
        <v>11668.62</v>
      </c>
      <c r="L233" s="13" t="n">
        <v>303.38</v>
      </c>
      <c r="M233" s="13" t="n">
        <v>295.04</v>
      </c>
      <c r="N233" s="13" t="n">
        <v>4381</v>
      </c>
      <c r="O233" s="38" t="n">
        <v>6.73</v>
      </c>
      <c r="P233" s="39" t="inlineStr">
        <is>
          <t>Calm</t>
        </is>
      </c>
      <c r="Q233" s="13" t="n">
        <v>1389</v>
      </c>
      <c r="R233" s="13" t="n">
        <v>742.46</v>
      </c>
      <c r="S233" s="13" t="n">
        <v>160.29</v>
      </c>
      <c r="T233" s="13" t="n">
        <v>11456.11</v>
      </c>
      <c r="U233" s="13" t="n">
        <v>725.8200000000001</v>
      </c>
      <c r="V233" s="13" t="n">
        <v>220.73</v>
      </c>
      <c r="W233" s="13" t="n">
        <v>971.34</v>
      </c>
      <c r="X233" s="13" t="n">
        <v>1815.89</v>
      </c>
      <c r="Y233" s="13" t="n">
        <v>1199.03</v>
      </c>
      <c r="Z233" s="19" t="n"/>
      <c r="AA233" s="18" t="n"/>
      <c r="AB233" s="38" t="n">
        <v>13.32</v>
      </c>
      <c r="AC233" s="14">
        <f>IFERROR(AVERAGEIFS($E$16:$E$736,$W$16:$W$736,"&gt;="&amp;W233-$C$5,$W$16:$W$736,"&lt;="&amp;W233+$C$5,$B$16:$B$736,B233,$A$16:$A$736,"&lt;&gt;"&amp;A233),"")</f>
        <v/>
      </c>
      <c r="AD233" s="14">
        <f>IF(AND(ISNUMBER(E233),ISNUMBER(AC233)),E233-AC233,"")</f>
        <v/>
      </c>
    </row>
    <row r="234">
      <c r="A234" s="17" t="n">
        <v>46071</v>
      </c>
      <c r="B234" s="29">
        <f>MONTH(A234)</f>
        <v/>
      </c>
      <c r="C234" s="29">
        <f>IF(AND(ISNUMBER(W234),ISNUMBER($C$4),ABS(W234-$C$4)&lt;=$C$5,ABS(MOD(B234-$C$6+6,12)-6)&lt;=$C$7,OR($C$8="Any",P234=$C$8)),1,0)</f>
        <v/>
      </c>
      <c r="D234" s="29">
        <f>IF(C234=1,COUNTIF($C$16:C234,1),"")</f>
        <v/>
      </c>
      <c r="E234" s="18" t="n">
        <v>24.66</v>
      </c>
      <c r="F234" s="18" t="n">
        <v>26.63</v>
      </c>
      <c r="G234" s="18" t="n">
        <v>20.71</v>
      </c>
      <c r="H234" s="38" t="n">
        <v>-22.67</v>
      </c>
      <c r="I234" s="38" t="n">
        <v>-24.85</v>
      </c>
      <c r="J234" s="13" t="n">
        <v>12236</v>
      </c>
      <c r="K234" s="13" t="n">
        <v>11916.94</v>
      </c>
      <c r="L234" s="13" t="n">
        <v>1587.31</v>
      </c>
      <c r="M234" s="13" t="n">
        <v>1857.67</v>
      </c>
      <c r="N234" s="13" t="n">
        <v>4381</v>
      </c>
      <c r="O234" s="38" t="n">
        <v>42.4</v>
      </c>
      <c r="P234" s="39" t="inlineStr">
        <is>
          <t>Windy</t>
        </is>
      </c>
      <c r="Q234" s="13" t="n">
        <v>1056</v>
      </c>
      <c r="R234" s="13" t="n">
        <v>750.14</v>
      </c>
      <c r="S234" s="13" t="n">
        <v>-145.46</v>
      </c>
      <c r="T234" s="13" t="n">
        <v>11363.7</v>
      </c>
      <c r="U234" s="13" t="n">
        <v>702.21</v>
      </c>
      <c r="V234" s="13" t="n">
        <v>350.27</v>
      </c>
      <c r="W234" s="13" t="n">
        <v>1318.9</v>
      </c>
      <c r="X234" s="13" t="n">
        <v>2472.9</v>
      </c>
      <c r="Y234" s="13" t="n">
        <v>1613.51</v>
      </c>
      <c r="Z234" s="19" t="n"/>
      <c r="AA234" s="18" t="n"/>
      <c r="AB234" s="38" t="n">
        <v>13.83</v>
      </c>
      <c r="AC234" s="14">
        <f>IFERROR(AVERAGEIFS($E$16:$E$736,$W$16:$W$736,"&gt;="&amp;W234-$C$5,$W$16:$W$736,"&lt;="&amp;W234+$C$5,$B$16:$B$736,B234,$A$16:$A$736,"&lt;&gt;"&amp;A234),"")</f>
        <v/>
      </c>
      <c r="AD234" s="14">
        <f>IF(AND(ISNUMBER(E234),ISNUMBER(AC234)),E234-AC234,"")</f>
        <v/>
      </c>
    </row>
    <row r="235">
      <c r="A235" s="17" t="n">
        <v>46070</v>
      </c>
      <c r="B235" s="29">
        <f>MONTH(A235)</f>
        <v/>
      </c>
      <c r="C235" s="29">
        <f>IF(AND(ISNUMBER(W235),ISNUMBER($C$4),ABS(W235-$C$4)&lt;=$C$5,ABS(MOD(B235-$C$6+6,12)-6)&lt;=$C$7,OR($C$8="Any",P235=$C$8)),1,0)</f>
        <v/>
      </c>
      <c r="D235" s="29">
        <f>IF(C235=1,COUNTIF($C$16:C235,1),"")</f>
        <v/>
      </c>
      <c r="E235" s="18" t="n">
        <v>12.97</v>
      </c>
      <c r="F235" s="18" t="n">
        <v>12.84</v>
      </c>
      <c r="G235" s="18" t="n">
        <v>13.22</v>
      </c>
      <c r="H235" s="38" t="n">
        <v>-6.6</v>
      </c>
      <c r="I235" s="38" t="n">
        <v>-14.77</v>
      </c>
      <c r="J235" s="13" t="n">
        <v>12427</v>
      </c>
      <c r="K235" s="13" t="n">
        <v>12068.19</v>
      </c>
      <c r="L235" s="13" t="n">
        <v>3320.94</v>
      </c>
      <c r="M235" s="13" t="n">
        <v>3273.79</v>
      </c>
      <c r="N235" s="13" t="n">
        <v>4381</v>
      </c>
      <c r="O235" s="38" t="n">
        <v>74.73</v>
      </c>
      <c r="P235" s="39" t="inlineStr">
        <is>
          <t>Windy</t>
        </is>
      </c>
      <c r="Q235" s="13" t="n">
        <v>326</v>
      </c>
      <c r="R235" s="13" t="n">
        <v>749.73</v>
      </c>
      <c r="S235" s="13" t="n">
        <v>-636.17</v>
      </c>
      <c r="T235" s="13" t="n">
        <v>11422.13</v>
      </c>
      <c r="U235" s="13" t="n">
        <v>758.42</v>
      </c>
      <c r="V235" s="13" t="n">
        <v>537.1900000000001</v>
      </c>
      <c r="W235" s="13" t="n">
        <v>2103.31</v>
      </c>
      <c r="X235" s="13" t="n">
        <v>3194.16</v>
      </c>
      <c r="Y235" s="13" t="n">
        <v>2246.45</v>
      </c>
      <c r="Z235" s="19" t="n"/>
      <c r="AA235" s="18" t="n"/>
      <c r="AB235" s="38" t="n">
        <v>25.41</v>
      </c>
      <c r="AC235" s="14">
        <f>IFERROR(AVERAGEIFS($E$16:$E$736,$W$16:$W$736,"&gt;="&amp;W235-$C$5,$W$16:$W$736,"&lt;="&amp;W235+$C$5,$B$16:$B$736,B235,$A$16:$A$736,"&lt;&gt;"&amp;A235),"")</f>
        <v/>
      </c>
      <c r="AD235" s="14">
        <f>IF(AND(ISNUMBER(E235),ISNUMBER(AC235)),E235-AC235,"")</f>
        <v/>
      </c>
    </row>
    <row r="236">
      <c r="A236" s="17" t="n">
        <v>46069</v>
      </c>
      <c r="B236" s="29">
        <f>MONTH(A236)</f>
        <v/>
      </c>
      <c r="C236" s="29">
        <f>IF(AND(ISNUMBER(W236),ISNUMBER($C$4),ABS(W236-$C$4)&lt;=$C$5,ABS(MOD(B236-$C$6+6,12)-6)&lt;=$C$7,OR($C$8="Any",P236=$C$8)),1,0)</f>
        <v/>
      </c>
      <c r="D236" s="29">
        <f>IF(C236=1,COUNTIF($C$16:C236,1),"")</f>
        <v/>
      </c>
      <c r="E236" s="18" t="n">
        <v>15.11</v>
      </c>
      <c r="F236" s="18" t="n">
        <v>16.26</v>
      </c>
      <c r="G236" s="18" t="n">
        <v>12.83</v>
      </c>
      <c r="H236" s="38" t="n">
        <v>-2.13</v>
      </c>
      <c r="I236" s="38" t="n">
        <v>-4.13</v>
      </c>
      <c r="J236" s="13" t="n">
        <v>11861</v>
      </c>
      <c r="K236" s="13" t="n">
        <v>11196.69</v>
      </c>
      <c r="L236" s="13" t="n">
        <v>2350.56</v>
      </c>
      <c r="M236" s="13" t="n">
        <v>2227.71</v>
      </c>
      <c r="N236" s="13" t="n">
        <v>4381</v>
      </c>
      <c r="O236" s="38" t="n">
        <v>50.85</v>
      </c>
      <c r="P236" s="39" t="inlineStr">
        <is>
          <t>Windy</t>
        </is>
      </c>
      <c r="Q236" s="13" t="n">
        <v>1038</v>
      </c>
      <c r="R236" s="13" t="n">
        <v>750.14</v>
      </c>
      <c r="S236" s="13" t="n">
        <v>-396.5</v>
      </c>
      <c r="T236" s="13" t="n">
        <v>11413.41</v>
      </c>
      <c r="U236" s="13" t="n">
        <v>773.3</v>
      </c>
      <c r="V236" s="13" t="n">
        <v>30.69</v>
      </c>
      <c r="W236" s="13" t="n">
        <v>2701.97</v>
      </c>
      <c r="X236" s="13" t="n">
        <v>3554.87</v>
      </c>
      <c r="Y236" s="13" t="n">
        <v>2870.28</v>
      </c>
      <c r="Z236" s="19" t="n"/>
      <c r="AA236" s="18" t="n"/>
      <c r="AB236" s="38" t="n">
        <v>16.3</v>
      </c>
      <c r="AC236" s="14">
        <f>IFERROR(AVERAGEIFS($E$16:$E$736,$W$16:$W$736,"&gt;="&amp;W236-$C$5,$W$16:$W$736,"&lt;="&amp;W236+$C$5,$B$16:$B$736,B236,$A$16:$A$736,"&lt;&gt;"&amp;A236),"")</f>
        <v/>
      </c>
      <c r="AD236" s="14">
        <f>IF(AND(ISNUMBER(E236),ISNUMBER(AC236)),E236-AC236,"")</f>
        <v/>
      </c>
    </row>
    <row r="237">
      <c r="A237" s="17" t="n">
        <v>46068</v>
      </c>
      <c r="B237" s="29">
        <f>MONTH(A237)</f>
        <v/>
      </c>
      <c r="C237" s="29">
        <f>IF(AND(ISNUMBER(W237),ISNUMBER($C$4),ABS(W237-$C$4)&lt;=$C$5,ABS(MOD(B237-$C$6+6,12)-6)&lt;=$C$7,OR($C$8="Any",P237=$C$8)),1,0)</f>
        <v/>
      </c>
      <c r="D237" s="29">
        <f>IF(C237=1,COUNTIF($C$16:C237,1),"")</f>
        <v/>
      </c>
      <c r="E237" s="18" t="n">
        <v>14.78</v>
      </c>
      <c r="F237" s="18" t="n">
        <v>14.83</v>
      </c>
      <c r="G237" s="18" t="n">
        <v>14.69</v>
      </c>
      <c r="H237" s="38" t="n">
        <v>2.67</v>
      </c>
      <c r="I237" s="38" t="n">
        <v>-1.8</v>
      </c>
      <c r="J237" s="13" t="n">
        <v>11175</v>
      </c>
      <c r="K237" s="13" t="n">
        <v>10694</v>
      </c>
      <c r="L237" s="13" t="n">
        <v>1682.88</v>
      </c>
      <c r="M237" s="13" t="n">
        <v>1828.5</v>
      </c>
      <c r="N237" s="13" t="n">
        <v>4381</v>
      </c>
      <c r="O237" s="38" t="n">
        <v>41.74</v>
      </c>
      <c r="P237" s="39" t="inlineStr">
        <is>
          <t>Windy</t>
        </is>
      </c>
      <c r="Q237" s="13" t="n">
        <v>1473</v>
      </c>
      <c r="R237" s="13" t="n">
        <v>749.3200000000001</v>
      </c>
      <c r="S237" s="13" t="n">
        <v>-110.08</v>
      </c>
      <c r="T237" s="13" t="n">
        <v>11310.7</v>
      </c>
      <c r="U237" s="13" t="n">
        <v>745.38</v>
      </c>
      <c r="V237" s="13" t="n">
        <v>85.92</v>
      </c>
      <c r="W237" s="13" t="n">
        <v>2838.15</v>
      </c>
      <c r="X237" s="13" t="n">
        <v>3939.62</v>
      </c>
      <c r="Y237" s="13" t="n">
        <v>3021.61</v>
      </c>
      <c r="Z237" s="19" t="n"/>
      <c r="AA237" s="18" t="n"/>
      <c r="AB237" s="38" t="n">
        <v>25.84</v>
      </c>
      <c r="AC237" s="14">
        <f>IFERROR(AVERAGEIFS($E$16:$E$736,$W$16:$W$736,"&gt;="&amp;W237-$C$5,$W$16:$W$736,"&lt;="&amp;W237+$C$5,$B$16:$B$736,B237,$A$16:$A$736,"&lt;&gt;"&amp;A237),"")</f>
        <v/>
      </c>
      <c r="AD237" s="14">
        <f>IF(AND(ISNUMBER(E237),ISNUMBER(AC237)),E237-AC237,"")</f>
        <v/>
      </c>
    </row>
    <row r="238">
      <c r="A238" s="17" t="n">
        <v>46067</v>
      </c>
      <c r="B238" s="29">
        <f>MONTH(A238)</f>
        <v/>
      </c>
      <c r="C238" s="29">
        <f>IF(AND(ISNUMBER(W238),ISNUMBER($C$4),ABS(W238-$C$4)&lt;=$C$5,ABS(MOD(B238-$C$6+6,12)-6)&lt;=$C$7,OR($C$8="Any",P238=$C$8)),1,0)</f>
        <v/>
      </c>
      <c r="D238" s="29">
        <f>IF(C238=1,COUNTIF($C$16:C238,1),"")</f>
        <v/>
      </c>
      <c r="E238" s="18" t="n">
        <v>13.21</v>
      </c>
      <c r="F238" s="18" t="n">
        <v>11.5</v>
      </c>
      <c r="G238" s="18" t="n">
        <v>16.64</v>
      </c>
      <c r="H238" s="38" t="n">
        <v>2.93</v>
      </c>
      <c r="I238" s="38" t="n">
        <v>-0.05</v>
      </c>
      <c r="J238" s="13" t="n">
        <v>11013</v>
      </c>
      <c r="K238" s="13" t="n">
        <v>10679.44</v>
      </c>
      <c r="L238" s="13" t="n">
        <v>2328.75</v>
      </c>
      <c r="M238" s="13" t="n">
        <v>2323.58</v>
      </c>
      <c r="N238" s="13" t="n">
        <v>4381</v>
      </c>
      <c r="O238" s="38" t="n">
        <v>53.04</v>
      </c>
      <c r="P238" s="39" t="inlineStr">
        <is>
          <t>Windy</t>
        </is>
      </c>
      <c r="Q238" s="13" t="n">
        <v>1309</v>
      </c>
      <c r="R238" s="13" t="n">
        <v>750.14</v>
      </c>
      <c r="S238" s="13" t="n">
        <v>-555.25</v>
      </c>
      <c r="T238" s="13" t="n">
        <v>11067.72</v>
      </c>
      <c r="U238" s="13" t="n">
        <v>763.77</v>
      </c>
      <c r="V238" s="13" t="n">
        <v>32.5</v>
      </c>
      <c r="W238" s="13" t="n">
        <v>2760.69</v>
      </c>
      <c r="X238" s="13" t="n">
        <v>3715.08</v>
      </c>
      <c r="Y238" s="13" t="n">
        <v>2947.1</v>
      </c>
      <c r="Z238" s="19" t="n"/>
      <c r="AA238" s="18" t="n"/>
      <c r="AB238" s="38" t="n">
        <v>21.05</v>
      </c>
      <c r="AC238" s="14">
        <f>IFERROR(AVERAGEIFS($E$16:$E$736,$W$16:$W$736,"&gt;="&amp;W238-$C$5,$W$16:$W$736,"&lt;="&amp;W238+$C$5,$B$16:$B$736,B238,$A$16:$A$736,"&lt;&gt;"&amp;A238),"")</f>
        <v/>
      </c>
      <c r="AD238" s="14">
        <f>IF(AND(ISNUMBER(E238),ISNUMBER(AC238)),E238-AC238,"")</f>
        <v/>
      </c>
    </row>
    <row r="239">
      <c r="A239" s="17" t="n">
        <v>46066</v>
      </c>
      <c r="B239" s="29">
        <f>MONTH(A239)</f>
        <v/>
      </c>
      <c r="C239" s="29">
        <f>IF(AND(ISNUMBER(W239),ISNUMBER($C$4),ABS(W239-$C$4)&lt;=$C$5,ABS(MOD(B239-$C$6+6,12)-6)&lt;=$C$7,OR($C$8="Any",P239=$C$8)),1,0)</f>
        <v/>
      </c>
      <c r="D239" s="29">
        <f>IF(C239=1,COUNTIF($C$16:C239,1),"")</f>
        <v/>
      </c>
      <c r="E239" s="18" t="n">
        <v>20.99</v>
      </c>
      <c r="F239" s="18" t="n">
        <v>27.11</v>
      </c>
      <c r="G239" s="18" t="n">
        <v>8.75</v>
      </c>
      <c r="H239" s="38" t="n">
        <v>4.53</v>
      </c>
      <c r="I239" s="38" t="n">
        <v>1.46</v>
      </c>
      <c r="J239" s="13" t="n">
        <v>11099</v>
      </c>
      <c r="K239" s="13" t="n">
        <v>10894.31</v>
      </c>
      <c r="L239" s="13" t="n">
        <v>1482.38</v>
      </c>
      <c r="M239" s="13" t="n">
        <v>2094.12</v>
      </c>
      <c r="N239" s="13" t="n">
        <v>4381</v>
      </c>
      <c r="O239" s="38" t="n">
        <v>47.8</v>
      </c>
      <c r="P239" s="39" t="inlineStr">
        <is>
          <t>Windy</t>
        </is>
      </c>
      <c r="Q239" s="13" t="n">
        <v>979</v>
      </c>
      <c r="R239" s="13" t="n">
        <v>750.52</v>
      </c>
      <c r="S239" s="13" t="n">
        <v>-382.5</v>
      </c>
      <c r="T239" s="13" t="n">
        <v>10798.67</v>
      </c>
      <c r="U239" s="13" t="n">
        <v>749.5599999999999</v>
      </c>
      <c r="V239" s="13" t="n">
        <v>258.31</v>
      </c>
      <c r="W239" s="13" t="n">
        <v>2136.02</v>
      </c>
      <c r="X239" s="13" t="n">
        <v>2651.59</v>
      </c>
      <c r="Y239" s="13" t="n">
        <v>2288.67</v>
      </c>
      <c r="Z239" s="19" t="n"/>
      <c r="AA239" s="18" t="n"/>
      <c r="AB239" s="38" t="n">
        <v>20.74</v>
      </c>
      <c r="AC239" s="14">
        <f>IFERROR(AVERAGEIFS($E$16:$E$736,$W$16:$W$736,"&gt;="&amp;W239-$C$5,$W$16:$W$736,"&lt;="&amp;W239+$C$5,$B$16:$B$736,B239,$A$16:$A$736,"&lt;&gt;"&amp;A239),"")</f>
        <v/>
      </c>
      <c r="AD239" s="14">
        <f>IF(AND(ISNUMBER(E239),ISNUMBER(AC239)),E239-AC239,"")</f>
        <v/>
      </c>
    </row>
    <row r="240">
      <c r="A240" s="17" t="n">
        <v>46065</v>
      </c>
      <c r="B240" s="29">
        <f>MONTH(A240)</f>
        <v/>
      </c>
      <c r="C240" s="29">
        <f>IF(AND(ISNUMBER(W240),ISNUMBER($C$4),ABS(W240-$C$4)&lt;=$C$5,ABS(MOD(B240-$C$6+6,12)-6)&lt;=$C$7,OR($C$8="Any",P240=$C$8)),1,0)</f>
        <v/>
      </c>
      <c r="D240" s="29">
        <f>IF(C240=1,COUNTIF($C$16:C240,1),"")</f>
        <v/>
      </c>
      <c r="E240" s="18" t="n">
        <v>16.3</v>
      </c>
      <c r="F240" s="18" t="n">
        <v>19.03</v>
      </c>
      <c r="G240" s="18" t="n">
        <v>10.85</v>
      </c>
      <c r="H240" s="38" t="n">
        <v>5.97</v>
      </c>
      <c r="I240" s="38" t="n">
        <v>1.7</v>
      </c>
      <c r="J240" s="13" t="n">
        <v>11373</v>
      </c>
      <c r="K240" s="13" t="n">
        <v>11017.75</v>
      </c>
      <c r="L240" s="13" t="n">
        <v>2288.12</v>
      </c>
      <c r="M240" s="13" t="n">
        <v>2585.88</v>
      </c>
      <c r="N240" s="13" t="n">
        <v>4381</v>
      </c>
      <c r="O240" s="38" t="n">
        <v>59.02</v>
      </c>
      <c r="P240" s="39" t="inlineStr">
        <is>
          <t>Windy</t>
        </is>
      </c>
      <c r="Q240" s="13" t="n">
        <v>1002</v>
      </c>
      <c r="R240" s="13" t="n">
        <v>744.41</v>
      </c>
      <c r="S240" s="13" t="n">
        <v>-598.88</v>
      </c>
      <c r="T240" s="13" t="n">
        <v>10894.48</v>
      </c>
      <c r="U240" s="13" t="n">
        <v>757.62</v>
      </c>
      <c r="V240" s="13" t="n">
        <v>146.94</v>
      </c>
      <c r="W240" s="13" t="n">
        <v>2408.37</v>
      </c>
      <c r="X240" s="13" t="n">
        <v>3203.38</v>
      </c>
      <c r="Y240" s="13" t="n">
        <v>2590.63</v>
      </c>
      <c r="Z240" s="19" t="n"/>
      <c r="AA240" s="18" t="n"/>
      <c r="AB240" s="38" t="n">
        <v>31.57</v>
      </c>
      <c r="AC240" s="14">
        <f>IFERROR(AVERAGEIFS($E$16:$E$736,$W$16:$W$736,"&gt;="&amp;W240-$C$5,$W$16:$W$736,"&lt;="&amp;W240+$C$5,$B$16:$B$736,B240,$A$16:$A$736,"&lt;&gt;"&amp;A240),"")</f>
        <v/>
      </c>
      <c r="AD240" s="14">
        <f>IF(AND(ISNUMBER(E240),ISNUMBER(AC240)),E240-AC240,"")</f>
        <v/>
      </c>
    </row>
    <row r="241">
      <c r="A241" s="17" t="n">
        <v>46064</v>
      </c>
      <c r="B241" s="29">
        <f>MONTH(A241)</f>
        <v/>
      </c>
      <c r="C241" s="29">
        <f>IF(AND(ISNUMBER(W241),ISNUMBER($C$4),ABS(W241-$C$4)&lt;=$C$5,ABS(MOD(B241-$C$6+6,12)-6)&lt;=$C$7,OR($C$8="Any",P241=$C$8)),1,0)</f>
        <v/>
      </c>
      <c r="D241" s="29">
        <f>IF(C241=1,COUNTIF($C$16:C241,1),"")</f>
        <v/>
      </c>
      <c r="E241" s="18" t="n">
        <v>18.53</v>
      </c>
      <c r="F241" s="18" t="n">
        <v>21.7</v>
      </c>
      <c r="G241" s="18" t="n">
        <v>12.2</v>
      </c>
      <c r="H241" s="38" t="n">
        <v>4.03</v>
      </c>
      <c r="I241" s="38" t="n">
        <v>-0.67</v>
      </c>
      <c r="J241" s="13" t="n">
        <v>11368</v>
      </c>
      <c r="K241" s="13" t="n">
        <v>11034.62</v>
      </c>
      <c r="L241" s="13" t="n">
        <v>1513.88</v>
      </c>
      <c r="M241" s="13" t="n">
        <v>1966.83</v>
      </c>
      <c r="N241" s="13" t="n">
        <v>4381</v>
      </c>
      <c r="O241" s="38" t="n">
        <v>44.89</v>
      </c>
      <c r="P241" s="39" t="inlineStr">
        <is>
          <t>Windy</t>
        </is>
      </c>
      <c r="Q241" s="13" t="n">
        <v>1368</v>
      </c>
      <c r="R241" s="13" t="n">
        <v>743.14</v>
      </c>
      <c r="S241" s="13" t="n">
        <v>-274.25</v>
      </c>
      <c r="T241" s="13" t="n">
        <v>10707.33</v>
      </c>
      <c r="U241" s="13" t="n">
        <v>741.51</v>
      </c>
      <c r="V241" s="13" t="n">
        <v>589.4</v>
      </c>
      <c r="W241" s="13" t="n">
        <v>1914.23</v>
      </c>
      <c r="X241" s="13" t="n">
        <v>2692</v>
      </c>
      <c r="Y241" s="13" t="n">
        <v>2089.72</v>
      </c>
      <c r="Z241" s="19" t="n"/>
      <c r="AA241" s="18" t="n"/>
      <c r="AB241" s="38" t="n">
        <v>26.5</v>
      </c>
      <c r="AC241" s="14">
        <f>IFERROR(AVERAGEIFS($E$16:$E$736,$W$16:$W$736,"&gt;="&amp;W241-$C$5,$W$16:$W$736,"&lt;="&amp;W241+$C$5,$B$16:$B$736,B241,$A$16:$A$736,"&lt;&gt;"&amp;A241),"")</f>
        <v/>
      </c>
      <c r="AD241" s="14">
        <f>IF(AND(ISNUMBER(E241),ISNUMBER(AC241)),E241-AC241,"")</f>
        <v/>
      </c>
    </row>
    <row r="242">
      <c r="A242" s="17" t="n">
        <v>46063</v>
      </c>
      <c r="B242" s="29">
        <f>MONTH(A242)</f>
        <v/>
      </c>
      <c r="C242" s="29">
        <f>IF(AND(ISNUMBER(W242),ISNUMBER($C$4),ABS(W242-$C$4)&lt;=$C$5,ABS(MOD(B242-$C$6+6,12)-6)&lt;=$C$7,OR($C$8="Any",P242=$C$8)),1,0)</f>
        <v/>
      </c>
      <c r="D242" s="29">
        <f>IF(C242=1,COUNTIF($C$16:C242,1),"")</f>
        <v/>
      </c>
      <c r="E242" s="18" t="n">
        <v>15.24</v>
      </c>
      <c r="F242" s="18" t="n">
        <v>16.12</v>
      </c>
      <c r="G242" s="18" t="n">
        <v>13.46</v>
      </c>
      <c r="H242" s="38" t="n">
        <v>3.9</v>
      </c>
      <c r="I242" s="38" t="n">
        <v>-0.11</v>
      </c>
      <c r="J242" s="13" t="n">
        <v>11468</v>
      </c>
      <c r="K242" s="13" t="n">
        <v>11122.19</v>
      </c>
      <c r="L242" s="13" t="n">
        <v>2351.5</v>
      </c>
      <c r="M242" s="13" t="n">
        <v>2499.54</v>
      </c>
      <c r="N242" s="13" t="n">
        <v>4381</v>
      </c>
      <c r="O242" s="38" t="n">
        <v>57.05</v>
      </c>
      <c r="P242" s="39" t="inlineStr">
        <is>
          <t>Windy</t>
        </is>
      </c>
      <c r="Q242" s="13" t="n">
        <v>1371</v>
      </c>
      <c r="R242" s="13" t="n">
        <v>743.74</v>
      </c>
      <c r="S242" s="13" t="n">
        <v>-612.79</v>
      </c>
      <c r="T242" s="13" t="n">
        <v>10791.55</v>
      </c>
      <c r="U242" s="13" t="n">
        <v>744.27</v>
      </c>
      <c r="V242" s="13" t="n">
        <v>71.88</v>
      </c>
      <c r="W242" s="13" t="n">
        <v>2225.84</v>
      </c>
      <c r="X242" s="13" t="n">
        <v>3148.01</v>
      </c>
      <c r="Y242" s="13" t="n">
        <v>2402.31</v>
      </c>
      <c r="Z242" s="19" t="n"/>
      <c r="AA242" s="18" t="n"/>
      <c r="AB242" s="38" t="n">
        <v>27.45</v>
      </c>
      <c r="AC242" s="14">
        <f>IFERROR(AVERAGEIFS($E$16:$E$736,$W$16:$W$736,"&gt;="&amp;W242-$C$5,$W$16:$W$736,"&lt;="&amp;W242+$C$5,$B$16:$B$736,B242,$A$16:$A$736,"&lt;&gt;"&amp;A242),"")</f>
        <v/>
      </c>
      <c r="AD242" s="14">
        <f>IF(AND(ISNUMBER(E242),ISNUMBER(AC242)),E242-AC242,"")</f>
        <v/>
      </c>
    </row>
    <row r="243">
      <c r="A243" s="17" t="n">
        <v>46062</v>
      </c>
      <c r="B243" s="29">
        <f>MONTH(A243)</f>
        <v/>
      </c>
      <c r="C243" s="29">
        <f>IF(AND(ISNUMBER(W243),ISNUMBER($C$4),ABS(W243-$C$4)&lt;=$C$5,ABS(MOD(B243-$C$6+6,12)-6)&lt;=$C$7,OR($C$8="Any",P243=$C$8)),1,0)</f>
        <v/>
      </c>
      <c r="D243" s="29">
        <f>IF(C243=1,COUNTIF($C$16:C243,1),"")</f>
        <v/>
      </c>
      <c r="E243" s="18" t="n">
        <v>32.52</v>
      </c>
      <c r="F243" s="18" t="n">
        <v>35.34</v>
      </c>
      <c r="G243" s="18" t="n">
        <v>26.88</v>
      </c>
      <c r="H243" s="38" t="n">
        <v>4.13</v>
      </c>
      <c r="I243" s="38" t="n">
        <v>-0.4</v>
      </c>
      <c r="J243" s="13" t="n">
        <v>11430</v>
      </c>
      <c r="K243" s="13" t="n">
        <v>11091.62</v>
      </c>
      <c r="L243" s="13" t="n">
        <v>1148.38</v>
      </c>
      <c r="M243" s="13" t="n">
        <v>1163.42</v>
      </c>
      <c r="N243" s="13" t="n">
        <v>4381</v>
      </c>
      <c r="O243" s="38" t="n">
        <v>26.56</v>
      </c>
      <c r="P243" s="39" t="inlineStr">
        <is>
          <t>Windy</t>
        </is>
      </c>
      <c r="Q243" s="13" t="n">
        <v>1186</v>
      </c>
      <c r="R243" s="13" t="n">
        <v>742.3099999999999</v>
      </c>
      <c r="S243" s="13" t="n">
        <v>-69.25</v>
      </c>
      <c r="T243" s="13" t="n">
        <v>10778.76</v>
      </c>
      <c r="U243" s="13" t="n">
        <v>741.75</v>
      </c>
      <c r="V243" s="13" t="n">
        <v>98.5</v>
      </c>
      <c r="W243" s="13" t="n">
        <v>1132.8</v>
      </c>
      <c r="X243" s="13" t="n">
        <v>2250.73</v>
      </c>
      <c r="Y243" s="13" t="n">
        <v>1303.84</v>
      </c>
      <c r="Z243" s="19" t="n"/>
      <c r="AA243" s="18" t="n"/>
      <c r="AB243" s="38" t="n">
        <v>20.81</v>
      </c>
      <c r="AC243" s="14">
        <f>IFERROR(AVERAGEIFS($E$16:$E$736,$W$16:$W$736,"&gt;="&amp;W243-$C$5,$W$16:$W$736,"&lt;="&amp;W243+$C$5,$B$16:$B$736,B243,$A$16:$A$736,"&lt;&gt;"&amp;A243),"")</f>
        <v/>
      </c>
      <c r="AD243" s="14">
        <f>IF(AND(ISNUMBER(E243),ISNUMBER(AC243)),E243-AC243,"")</f>
        <v/>
      </c>
    </row>
    <row r="244">
      <c r="A244" s="17" t="n">
        <v>46061</v>
      </c>
      <c r="B244" s="29">
        <f>MONTH(A244)</f>
        <v/>
      </c>
      <c r="C244" s="29">
        <f>IF(AND(ISNUMBER(W244),ISNUMBER($C$4),ABS(W244-$C$4)&lt;=$C$5,ABS(MOD(B244-$C$6+6,12)-6)&lt;=$C$7,OR($C$8="Any",P244=$C$8)),1,0)</f>
        <v/>
      </c>
      <c r="D244" s="29">
        <f>IF(C244=1,COUNTIF($C$16:C244,1),"")</f>
        <v/>
      </c>
      <c r="E244" s="18" t="n">
        <v>5.45</v>
      </c>
      <c r="F244" s="18" t="n">
        <v>7.17</v>
      </c>
      <c r="G244" s="18" t="n">
        <v>2.02</v>
      </c>
      <c r="H244" s="38" t="n">
        <v>6.17</v>
      </c>
      <c r="I244" s="38" t="n">
        <v>3.73</v>
      </c>
      <c r="J244" s="13" t="n">
        <v>11014</v>
      </c>
      <c r="K244" s="13" t="n">
        <v>10719.69</v>
      </c>
      <c r="L244" s="13" t="n">
        <v>2805.38</v>
      </c>
      <c r="M244" s="13" t="n">
        <v>3100.5</v>
      </c>
      <c r="N244" s="13" t="n">
        <v>4381</v>
      </c>
      <c r="O244" s="38" t="n">
        <v>70.77</v>
      </c>
      <c r="P244" s="39" t="inlineStr">
        <is>
          <t>Windy</t>
        </is>
      </c>
      <c r="Q244" s="13" t="n">
        <v>963</v>
      </c>
      <c r="R244" s="13" t="n">
        <v>742.09</v>
      </c>
      <c r="S244" s="13" t="n">
        <v>-625.71</v>
      </c>
      <c r="T244" s="13" t="n">
        <v>10892.53</v>
      </c>
      <c r="U244" s="13" t="n">
        <v>742.0599999999999</v>
      </c>
      <c r="V244" s="13" t="n">
        <v>270.23</v>
      </c>
      <c r="W244" s="13" t="n">
        <v>2667.08</v>
      </c>
      <c r="X244" s="13" t="n">
        <v>3918.45</v>
      </c>
      <c r="Y244" s="13" t="n">
        <v>2845.81</v>
      </c>
      <c r="Z244" s="19" t="n"/>
      <c r="AA244" s="18" t="n"/>
      <c r="AB244" s="38" t="n">
        <v>31.89</v>
      </c>
      <c r="AC244" s="14">
        <f>IFERROR(AVERAGEIFS($E$16:$E$736,$W$16:$W$736,"&gt;="&amp;W244-$C$5,$W$16:$W$736,"&lt;="&amp;W244+$C$5,$B$16:$B$736,B244,$A$16:$A$736,"&lt;&gt;"&amp;A244),"")</f>
        <v/>
      </c>
      <c r="AD244" s="14">
        <f>IF(AND(ISNUMBER(E244),ISNUMBER(AC244)),E244-AC244,"")</f>
        <v/>
      </c>
    </row>
    <row r="245">
      <c r="A245" s="17" t="n">
        <v>46060</v>
      </c>
      <c r="B245" s="29">
        <f>MONTH(A245)</f>
        <v/>
      </c>
      <c r="C245" s="29">
        <f>IF(AND(ISNUMBER(W245),ISNUMBER($C$4),ABS(W245-$C$4)&lt;=$C$5,ABS(MOD(B245-$C$6+6,12)-6)&lt;=$C$7,OR($C$8="Any",P245=$C$8)),1,0)</f>
        <v/>
      </c>
      <c r="D245" s="29">
        <f>IF(C245=1,COUNTIF($C$16:C245,1),"")</f>
        <v/>
      </c>
      <c r="E245" s="18" t="n">
        <v>6.47</v>
      </c>
      <c r="F245" s="18" t="n">
        <v>6.2</v>
      </c>
      <c r="G245" s="18" t="n">
        <v>7.02</v>
      </c>
      <c r="H245" s="38" t="n">
        <v>8.199999999999999</v>
      </c>
      <c r="I245" s="38" t="n">
        <v>4.7</v>
      </c>
      <c r="J245" s="13" t="n">
        <v>11139</v>
      </c>
      <c r="K245" s="13" t="n">
        <v>10786.75</v>
      </c>
      <c r="L245" s="13" t="n">
        <v>3138.94</v>
      </c>
      <c r="M245" s="13" t="n">
        <v>3219.33</v>
      </c>
      <c r="N245" s="13" t="n">
        <v>4381</v>
      </c>
      <c r="O245" s="38" t="n">
        <v>73.48</v>
      </c>
      <c r="P245" s="39" t="inlineStr">
        <is>
          <t>Windy</t>
        </is>
      </c>
      <c r="Q245" s="13" t="n">
        <v>1184</v>
      </c>
      <c r="R245" s="13" t="n">
        <v>743.47</v>
      </c>
      <c r="S245" s="13" t="n">
        <v>-598.21</v>
      </c>
      <c r="T245" s="13" t="n">
        <v>10520.9</v>
      </c>
      <c r="U245" s="13" t="n">
        <v>741.5700000000001</v>
      </c>
      <c r="V245" s="13" t="n">
        <v>83.45</v>
      </c>
      <c r="W245" s="13" t="n">
        <v>3359.84</v>
      </c>
      <c r="X245" s="13" t="n">
        <v>3812.51</v>
      </c>
      <c r="Y245" s="13" t="n">
        <v>3559</v>
      </c>
      <c r="Z245" s="19" t="n"/>
      <c r="AA245" s="18" t="n"/>
      <c r="AB245" s="38" t="n">
        <v>28.02</v>
      </c>
      <c r="AC245" s="14">
        <f>IFERROR(AVERAGEIFS($E$16:$E$736,$W$16:$W$736,"&gt;="&amp;W245-$C$5,$W$16:$W$736,"&lt;="&amp;W245+$C$5,$B$16:$B$736,B245,$A$16:$A$736,"&lt;&gt;"&amp;A245),"")</f>
        <v/>
      </c>
      <c r="AD245" s="14">
        <f>IF(AND(ISNUMBER(E245),ISNUMBER(AC245)),E245-AC245,"")</f>
        <v/>
      </c>
    </row>
    <row r="246">
      <c r="A246" s="17" t="n">
        <v>46059</v>
      </c>
      <c r="B246" s="29">
        <f>MONTH(A246)</f>
        <v/>
      </c>
      <c r="C246" s="29">
        <f>IF(AND(ISNUMBER(W246),ISNUMBER($C$4),ABS(W246-$C$4)&lt;=$C$5,ABS(MOD(B246-$C$6+6,12)-6)&lt;=$C$7,OR($C$8="Any",P246=$C$8)),1,0)</f>
        <v/>
      </c>
      <c r="D246" s="29">
        <f>IF(C246=1,COUNTIF($C$16:C246,1),"")</f>
        <v/>
      </c>
      <c r="E246" s="18" t="n">
        <v>14.08</v>
      </c>
      <c r="F246" s="18" t="n">
        <v>13.03</v>
      </c>
      <c r="G246" s="18" t="n">
        <v>16.17</v>
      </c>
      <c r="H246" s="38" t="n">
        <v>7.87</v>
      </c>
      <c r="I246" s="38" t="n">
        <v>3.26</v>
      </c>
      <c r="J246" s="13" t="n">
        <v>11396</v>
      </c>
      <c r="K246" s="13" t="n">
        <v>11130.31</v>
      </c>
      <c r="L246" s="13" t="n">
        <v>3158.38</v>
      </c>
      <c r="M246" s="13" t="n">
        <v>2906.17</v>
      </c>
      <c r="N246" s="13" t="n">
        <v>4381</v>
      </c>
      <c r="O246" s="38" t="n">
        <v>66.34</v>
      </c>
      <c r="P246" s="39" t="inlineStr">
        <is>
          <t>Windy</t>
        </is>
      </c>
      <c r="Q246" s="13" t="n">
        <v>1002</v>
      </c>
      <c r="R246" s="13" t="n">
        <v>743.25</v>
      </c>
      <c r="S246" s="13" t="n">
        <v>-536.54</v>
      </c>
      <c r="T246" s="13" t="n">
        <v>10906.53</v>
      </c>
      <c r="U246" s="13" t="n">
        <v>739.23</v>
      </c>
      <c r="V246" s="13" t="n">
        <v>460.98</v>
      </c>
      <c r="W246" s="13" t="n">
        <v>3292.99</v>
      </c>
      <c r="X246" s="13" t="n">
        <v>3740.05</v>
      </c>
      <c r="Y246" s="13" t="n">
        <v>3439.14</v>
      </c>
      <c r="Z246" s="19" t="n"/>
      <c r="AA246" s="18" t="n"/>
      <c r="AB246" s="38" t="n">
        <v>29.71</v>
      </c>
      <c r="AC246" s="14">
        <f>IFERROR(AVERAGEIFS($E$16:$E$736,$W$16:$W$736,"&gt;="&amp;W246-$C$5,$W$16:$W$736,"&lt;="&amp;W246+$C$5,$B$16:$B$736,B246,$A$16:$A$736,"&lt;&gt;"&amp;A246),"")</f>
        <v/>
      </c>
      <c r="AD246" s="14">
        <f>IF(AND(ISNUMBER(E246),ISNUMBER(AC246)),E246-AC246,"")</f>
        <v/>
      </c>
    </row>
    <row r="247">
      <c r="A247" s="17" t="n">
        <v>46058</v>
      </c>
      <c r="B247" s="29">
        <f>MONTH(A247)</f>
        <v/>
      </c>
      <c r="C247" s="29">
        <f>IF(AND(ISNUMBER(W247),ISNUMBER($C$4),ABS(W247-$C$4)&lt;=$C$5,ABS(MOD(B247-$C$6+6,12)-6)&lt;=$C$7,OR($C$8="Any",P247=$C$8)),1,0)</f>
        <v/>
      </c>
      <c r="D247" s="29">
        <f>IF(C247=1,COUNTIF($C$16:C247,1),"")</f>
        <v/>
      </c>
      <c r="E247" s="18" t="n">
        <v>18.7</v>
      </c>
      <c r="F247" s="18" t="n">
        <v>21.5</v>
      </c>
      <c r="G247" s="18" t="n">
        <v>13.12</v>
      </c>
      <c r="H247" s="38" t="n">
        <v>10.6</v>
      </c>
      <c r="I247" s="38" t="n">
        <v>6.52</v>
      </c>
      <c r="J247" s="13" t="n">
        <v>11381</v>
      </c>
      <c r="K247" s="13" t="n">
        <v>11035.69</v>
      </c>
      <c r="L247" s="13" t="n">
        <v>2127.94</v>
      </c>
      <c r="M247" s="13" t="n">
        <v>2518.54</v>
      </c>
      <c r="N247" s="13" t="n">
        <v>4381</v>
      </c>
      <c r="O247" s="38" t="n">
        <v>57.49</v>
      </c>
      <c r="P247" s="39" t="inlineStr">
        <is>
          <t>Windy</t>
        </is>
      </c>
      <c r="Q247" s="13" t="n">
        <v>1273</v>
      </c>
      <c r="R247" s="13" t="n">
        <v>742.42</v>
      </c>
      <c r="S247" s="13" t="n">
        <v>-519.38</v>
      </c>
      <c r="T247" s="13" t="n">
        <v>11047.08</v>
      </c>
      <c r="U247" s="13" t="n">
        <v>735.85</v>
      </c>
      <c r="V247" s="13" t="n">
        <v>475.67</v>
      </c>
      <c r="W247" s="13" t="n">
        <v>1607.27</v>
      </c>
      <c r="X247" s="13" t="n">
        <v>3363.47</v>
      </c>
      <c r="Y247" s="13" t="n">
        <v>1795.29</v>
      </c>
      <c r="Z247" s="19" t="n"/>
      <c r="AA247" s="18" t="n"/>
      <c r="AB247" s="38" t="n">
        <v>31.07</v>
      </c>
      <c r="AC247" s="14">
        <f>IFERROR(AVERAGEIFS($E$16:$E$736,$W$16:$W$736,"&gt;="&amp;W247-$C$5,$W$16:$W$736,"&lt;="&amp;W247+$C$5,$B$16:$B$736,B247,$A$16:$A$736,"&lt;&gt;"&amp;A247),"")</f>
        <v/>
      </c>
      <c r="AD247" s="14">
        <f>IF(AND(ISNUMBER(E247),ISNUMBER(AC247)),E247-AC247,"")</f>
        <v/>
      </c>
    </row>
    <row r="248">
      <c r="A248" s="17" t="n">
        <v>46057</v>
      </c>
      <c r="B248" s="29">
        <f>MONTH(A248)</f>
        <v/>
      </c>
      <c r="C248" s="29">
        <f>IF(AND(ISNUMBER(W248),ISNUMBER($C$4),ABS(W248-$C$4)&lt;=$C$5,ABS(MOD(B248-$C$6+6,12)-6)&lt;=$C$7,OR($C$8="Any",P248=$C$8)),1,0)</f>
        <v/>
      </c>
      <c r="D248" s="29">
        <f>IF(C248=1,COUNTIF($C$16:C248,1),"")</f>
        <v/>
      </c>
      <c r="E248" s="18" t="n">
        <v>7.21</v>
      </c>
      <c r="F248" s="18" t="n">
        <v>9.84</v>
      </c>
      <c r="G248" s="18" t="n">
        <v>1.97</v>
      </c>
      <c r="H248" s="38" t="n">
        <v>9.43</v>
      </c>
      <c r="I248" s="38" t="n">
        <v>6.44</v>
      </c>
      <c r="J248" s="13" t="n">
        <v>11421</v>
      </c>
      <c r="K248" s="13" t="n">
        <v>10992.56</v>
      </c>
      <c r="L248" s="13" t="n">
        <v>3829.69</v>
      </c>
      <c r="M248" s="13" t="n">
        <v>3907.46</v>
      </c>
      <c r="N248" s="13" t="n">
        <v>4336.67</v>
      </c>
      <c r="O248" s="38" t="n">
        <v>90.09999999999999</v>
      </c>
      <c r="P248" s="39" t="inlineStr">
        <is>
          <t>Windy</t>
        </is>
      </c>
      <c r="Q248" s="13" t="n">
        <v>689</v>
      </c>
      <c r="R248" s="13" t="n">
        <v>742.39</v>
      </c>
      <c r="S248" s="13" t="n">
        <v>-934.88</v>
      </c>
      <c r="T248" s="13" t="n">
        <v>10970.07</v>
      </c>
      <c r="U248" s="13" t="n">
        <v>738.12</v>
      </c>
      <c r="V248" s="13" t="n">
        <v>322.25</v>
      </c>
      <c r="W248" s="13" t="n">
        <v>3062.51</v>
      </c>
      <c r="X248" s="13" t="n">
        <v>4112.55</v>
      </c>
      <c r="Y248" s="13" t="n">
        <v>3221.49</v>
      </c>
      <c r="Z248" s="19" t="n"/>
      <c r="AA248" s="18" t="n"/>
      <c r="AB248" s="38" t="n">
        <v>35.84</v>
      </c>
      <c r="AC248" s="14">
        <f>IFERROR(AVERAGEIFS($E$16:$E$736,$W$16:$W$736,"&gt;="&amp;W248-$C$5,$W$16:$W$736,"&lt;="&amp;W248+$C$5,$B$16:$B$736,B248,$A$16:$A$736,"&lt;&gt;"&amp;A248),"")</f>
        <v/>
      </c>
      <c r="AD248" s="14">
        <f>IF(AND(ISNUMBER(E248),ISNUMBER(AC248)),E248-AC248,"")</f>
        <v/>
      </c>
    </row>
    <row r="249">
      <c r="A249" s="17" t="n">
        <v>46056</v>
      </c>
      <c r="B249" s="29">
        <f>MONTH(A249)</f>
        <v/>
      </c>
      <c r="C249" s="29">
        <f>IF(AND(ISNUMBER(W249),ISNUMBER($C$4),ABS(W249-$C$4)&lt;=$C$5,ABS(MOD(B249-$C$6+6,12)-6)&lt;=$C$7,OR($C$8="Any",P249=$C$8)),1,0)</f>
        <v/>
      </c>
      <c r="D249" s="29">
        <f>IF(C249=1,COUNTIF($C$16:C249,1),"")</f>
        <v/>
      </c>
      <c r="E249" s="18" t="n">
        <v>19.91</v>
      </c>
      <c r="F249" s="18" t="n">
        <v>23.86</v>
      </c>
      <c r="G249" s="18" t="n">
        <v>12.02</v>
      </c>
      <c r="H249" s="38" t="n">
        <v>4.93</v>
      </c>
      <c r="I249" s="38" t="n">
        <v>2.5</v>
      </c>
      <c r="J249" s="13" t="n">
        <v>11581</v>
      </c>
      <c r="K249" s="13" t="n">
        <v>11143.56</v>
      </c>
      <c r="L249" s="13" t="n">
        <v>1906.38</v>
      </c>
      <c r="M249" s="13" t="n">
        <v>2351.83</v>
      </c>
      <c r="N249" s="13" t="n">
        <v>4292.58</v>
      </c>
      <c r="O249" s="38" t="n">
        <v>54.79</v>
      </c>
      <c r="P249" s="39" t="inlineStr">
        <is>
          <t>Windy</t>
        </is>
      </c>
      <c r="Q249" s="13" t="n">
        <v>951</v>
      </c>
      <c r="R249" s="13" t="n">
        <v>740.59</v>
      </c>
      <c r="S249" s="13" t="n">
        <v>-417.58</v>
      </c>
      <c r="T249" s="13" t="n">
        <v>10582.65</v>
      </c>
      <c r="U249" s="13" t="n">
        <v>720.84</v>
      </c>
      <c r="V249" s="13" t="n">
        <v>452.68</v>
      </c>
      <c r="W249" s="13" t="n">
        <v>1569.52</v>
      </c>
      <c r="X249" s="13" t="n">
        <v>2551.53</v>
      </c>
      <c r="Y249" s="13" t="n">
        <v>1754.65</v>
      </c>
      <c r="Z249" s="19" t="n"/>
      <c r="AA249" s="18" t="n"/>
      <c r="AB249" s="38" t="n">
        <v>25.39</v>
      </c>
      <c r="AC249" s="14">
        <f>IFERROR(AVERAGEIFS($E$16:$E$736,$W$16:$W$736,"&gt;="&amp;W249-$C$5,$W$16:$W$736,"&lt;="&amp;W249+$C$5,$B$16:$B$736,B249,$A$16:$A$736,"&lt;&gt;"&amp;A249),"")</f>
        <v/>
      </c>
      <c r="AD249" s="14">
        <f>IF(AND(ISNUMBER(E249),ISNUMBER(AC249)),E249-AC249,"")</f>
        <v/>
      </c>
    </row>
    <row r="250">
      <c r="A250" s="17" t="n">
        <v>46055</v>
      </c>
      <c r="B250" s="29">
        <f>MONTH(A250)</f>
        <v/>
      </c>
      <c r="C250" s="29">
        <f>IF(AND(ISNUMBER(W250),ISNUMBER($C$4),ABS(W250-$C$4)&lt;=$C$5,ABS(MOD(B250-$C$6+6,12)-6)&lt;=$C$7,OR($C$8="Any",P250=$C$8)),1,0)</f>
        <v/>
      </c>
      <c r="D250" s="29">
        <f>IF(C250=1,COUNTIF($C$16:C250,1),"")</f>
        <v/>
      </c>
      <c r="E250" s="18" t="n">
        <v>17.4</v>
      </c>
      <c r="F250" s="18" t="n">
        <v>14.12</v>
      </c>
      <c r="G250" s="18" t="n">
        <v>23.96</v>
      </c>
      <c r="H250" s="38" t="n">
        <v>5.33</v>
      </c>
      <c r="I250" s="38" t="n">
        <v>2.27</v>
      </c>
      <c r="J250" s="13" t="n">
        <v>11491</v>
      </c>
      <c r="K250" s="13" t="n">
        <v>11116.56</v>
      </c>
      <c r="L250" s="13" t="n">
        <v>2683.94</v>
      </c>
      <c r="M250" s="13" t="n">
        <v>2607.38</v>
      </c>
      <c r="N250" s="13" t="n">
        <v>4292</v>
      </c>
      <c r="O250" s="38" t="n">
        <v>60.75</v>
      </c>
      <c r="P250" s="39" t="inlineStr">
        <is>
          <t>Windy</t>
        </is>
      </c>
      <c r="Q250" s="13" t="n">
        <v>1226</v>
      </c>
      <c r="R250" s="13" t="n">
        <v>739.24</v>
      </c>
      <c r="S250" s="13" t="n">
        <v>-489.75</v>
      </c>
      <c r="T250" s="13" t="n">
        <v>9972.15</v>
      </c>
      <c r="U250" s="13" t="n">
        <v>736.65</v>
      </c>
      <c r="V250" s="13" t="n">
        <v>304.69</v>
      </c>
      <c r="W250" s="13" t="n">
        <v>1797.03</v>
      </c>
      <c r="X250" s="13" t="n">
        <v>2639.14</v>
      </c>
      <c r="Y250" s="13" t="n">
        <v>1980.22</v>
      </c>
      <c r="Z250" s="19" t="n"/>
      <c r="AA250" s="18" t="n"/>
      <c r="AB250" s="38" t="n">
        <v>31.18</v>
      </c>
      <c r="AC250" s="14">
        <f>IFERROR(AVERAGEIFS($E$16:$E$736,$W$16:$W$736,"&gt;="&amp;W250-$C$5,$W$16:$W$736,"&lt;="&amp;W250+$C$5,$B$16:$B$736,B250,$A$16:$A$736,"&lt;&gt;"&amp;A250),"")</f>
        <v/>
      </c>
      <c r="AD250" s="14">
        <f>IF(AND(ISNUMBER(E250),ISNUMBER(AC250)),E250-AC250,"")</f>
        <v/>
      </c>
    </row>
    <row r="251">
      <c r="A251" s="17" t="n">
        <v>46054</v>
      </c>
      <c r="B251" s="29">
        <f>MONTH(A251)</f>
        <v/>
      </c>
      <c r="C251" s="29">
        <f>IF(AND(ISNUMBER(W251),ISNUMBER($C$4),ABS(W251-$C$4)&lt;=$C$5,ABS(MOD(B251-$C$6+6,12)-6)&lt;=$C$7,OR($C$8="Any",P251=$C$8)),1,0)</f>
        <v/>
      </c>
      <c r="D251" s="29">
        <f>IF(C251=1,COUNTIF($C$16:C251,1),"")</f>
        <v/>
      </c>
      <c r="E251" s="18" t="n">
        <v>29.64</v>
      </c>
      <c r="F251" s="18" t="n">
        <v>25.18</v>
      </c>
      <c r="G251" s="18" t="n">
        <v>38.56</v>
      </c>
      <c r="H251" s="38" t="n">
        <v>3.13</v>
      </c>
      <c r="I251" s="38" t="n">
        <v>0.44</v>
      </c>
      <c r="J251" s="13" t="n">
        <v>11452</v>
      </c>
      <c r="K251" s="13" t="n">
        <v>10879.38</v>
      </c>
      <c r="L251" s="13" t="n">
        <v>2358.5</v>
      </c>
      <c r="M251" s="13" t="n">
        <v>2017.79</v>
      </c>
      <c r="N251" s="13" t="n">
        <v>4292</v>
      </c>
      <c r="O251" s="38" t="n">
        <v>47.01</v>
      </c>
      <c r="P251" s="39" t="inlineStr">
        <is>
          <t>Windy</t>
        </is>
      </c>
      <c r="Q251" s="13" t="n">
        <v>757</v>
      </c>
      <c r="R251" s="13" t="n">
        <v>739.24</v>
      </c>
      <c r="S251" s="13" t="n">
        <v>-339.54</v>
      </c>
      <c r="T251" s="13" t="n">
        <v>9989.33</v>
      </c>
      <c r="U251" s="13" t="n">
        <v>710.26</v>
      </c>
      <c r="V251" s="13" t="n">
        <v>156.09</v>
      </c>
      <c r="W251" s="13" t="n">
        <v>1405.99</v>
      </c>
      <c r="X251" s="13" t="n">
        <v>2309.31</v>
      </c>
      <c r="Y251" s="13" t="n">
        <v>1636.03</v>
      </c>
      <c r="Z251" s="19" t="n"/>
      <c r="AA251" s="18" t="n"/>
      <c r="AB251" s="38" t="n">
        <v>22.52</v>
      </c>
      <c r="AC251" s="14">
        <f>IFERROR(AVERAGEIFS($E$16:$E$736,$W$16:$W$736,"&gt;="&amp;W251-$C$5,$W$16:$W$736,"&lt;="&amp;W251+$C$5,$B$16:$B$736,B251,$A$16:$A$736,"&lt;&gt;"&amp;A251),"")</f>
        <v/>
      </c>
      <c r="AD251" s="14">
        <f>IF(AND(ISNUMBER(E251),ISNUMBER(AC251)),E251-AC251,"")</f>
        <v/>
      </c>
    </row>
    <row r="252">
      <c r="A252" s="17" t="n">
        <v>46053</v>
      </c>
      <c r="B252" s="29">
        <f>MONTH(A252)</f>
        <v/>
      </c>
      <c r="C252" s="29">
        <f>IF(AND(ISNUMBER(W252),ISNUMBER($C$4),ABS(W252-$C$4)&lt;=$C$5,ABS(MOD(B252-$C$6+6,12)-6)&lt;=$C$7,OR($C$8="Any",P252=$C$8)),1,0)</f>
        <v/>
      </c>
      <c r="D252" s="29">
        <f>IF(C252=1,COUNTIF($C$16:C252,1),"")</f>
        <v/>
      </c>
      <c r="E252" s="18" t="n">
        <v>17.71</v>
      </c>
      <c r="F252" s="18" t="n">
        <v>20.66</v>
      </c>
      <c r="G252" s="18" t="n">
        <v>11.79</v>
      </c>
      <c r="H252" s="38" t="n">
        <v>6.37</v>
      </c>
      <c r="I252" s="38" t="n">
        <v>3.73</v>
      </c>
      <c r="J252" s="13" t="n">
        <v>11220</v>
      </c>
      <c r="K252" s="13" t="n">
        <v>10796.44</v>
      </c>
      <c r="L252" s="13" t="n">
        <v>2472.5</v>
      </c>
      <c r="M252" s="13" t="n">
        <v>2739.96</v>
      </c>
      <c r="N252" s="13" t="n">
        <v>4292</v>
      </c>
      <c r="O252" s="38" t="n">
        <v>63.84</v>
      </c>
      <c r="P252" s="39" t="inlineStr">
        <is>
          <t>Windy</t>
        </is>
      </c>
      <c r="Q252" s="13" t="n">
        <v>1075</v>
      </c>
      <c r="R252" s="13" t="n">
        <v>740.8099999999999</v>
      </c>
      <c r="S252" s="13" t="n">
        <v>-691.08</v>
      </c>
      <c r="T252" s="13" t="n">
        <v>9859.74</v>
      </c>
      <c r="U252" s="13" t="n">
        <v>746.67</v>
      </c>
      <c r="V252" s="13" t="n">
        <v>298.05</v>
      </c>
      <c r="W252" s="13" t="n">
        <v>1050.46</v>
      </c>
      <c r="X252" s="13" t="n">
        <v>2408.07</v>
      </c>
      <c r="Y252" s="13" t="n">
        <v>1234.3</v>
      </c>
      <c r="Z252" s="19" t="n"/>
      <c r="AA252" s="18" t="n"/>
      <c r="AB252" s="38" t="n">
        <v>32.47</v>
      </c>
      <c r="AC252" s="14">
        <f>IFERROR(AVERAGEIFS($E$16:$E$736,$W$16:$W$736,"&gt;="&amp;W252-$C$5,$W$16:$W$736,"&lt;="&amp;W252+$C$5,$B$16:$B$736,B252,$A$16:$A$736,"&lt;&gt;"&amp;A252),"")</f>
        <v/>
      </c>
      <c r="AD252" s="14">
        <f>IF(AND(ISNUMBER(E252),ISNUMBER(AC252)),E252-AC252,"")</f>
        <v/>
      </c>
    </row>
    <row r="253">
      <c r="A253" s="17" t="n">
        <v>46052</v>
      </c>
      <c r="B253" s="29">
        <f>MONTH(A253)</f>
        <v/>
      </c>
      <c r="C253" s="29">
        <f>IF(AND(ISNUMBER(W253),ISNUMBER($C$4),ABS(W253-$C$4)&lt;=$C$5,ABS(MOD(B253-$C$6+6,12)-6)&lt;=$C$7,OR($C$8="Any",P253=$C$8)),1,0)</f>
        <v/>
      </c>
      <c r="D253" s="29">
        <f>IF(C253=1,COUNTIF($C$16:C253,1),"")</f>
        <v/>
      </c>
      <c r="E253" s="18" t="n">
        <v>12.71</v>
      </c>
      <c r="F253" s="18" t="n">
        <v>10.95</v>
      </c>
      <c r="G253" s="18" t="n">
        <v>16.25</v>
      </c>
      <c r="H253" s="38" t="n">
        <v>4</v>
      </c>
      <c r="I253" s="38" t="n">
        <v>1.1</v>
      </c>
      <c r="J253" s="13" t="n">
        <v>11680</v>
      </c>
      <c r="K253" s="13" t="n">
        <v>11431.81</v>
      </c>
      <c r="L253" s="13" t="n">
        <v>3623.44</v>
      </c>
      <c r="M253" s="13" t="n">
        <v>3290.21</v>
      </c>
      <c r="N253" s="13" t="n">
        <v>4292</v>
      </c>
      <c r="O253" s="38" t="n">
        <v>76.66</v>
      </c>
      <c r="P253" s="39" t="inlineStr">
        <is>
          <t>Windy</t>
        </is>
      </c>
      <c r="Q253" s="13" t="n">
        <v>775</v>
      </c>
      <c r="R253" s="13" t="n">
        <v>736.54</v>
      </c>
      <c r="S253" s="13" t="n">
        <v>-805.83</v>
      </c>
      <c r="T253" s="13" t="n">
        <v>10342.62</v>
      </c>
      <c r="U253" s="13" t="n">
        <v>741.5700000000001</v>
      </c>
      <c r="V253" s="13" t="n">
        <v>145.54</v>
      </c>
      <c r="W253" s="13" t="n">
        <v>1845.33</v>
      </c>
      <c r="X253" s="13" t="n">
        <v>2900.84</v>
      </c>
      <c r="Y253" s="13" t="n">
        <v>2020.9</v>
      </c>
      <c r="Z253" s="19" t="n"/>
      <c r="AA253" s="18" t="n"/>
      <c r="AB253" s="38" t="n">
        <v>30.08</v>
      </c>
      <c r="AC253" s="14">
        <f>IFERROR(AVERAGEIFS($E$16:$E$736,$W$16:$W$736,"&gt;="&amp;W253-$C$5,$W$16:$W$736,"&lt;="&amp;W253+$C$5,$B$16:$B$736,B253,$A$16:$A$736,"&lt;&gt;"&amp;A253),"")</f>
        <v/>
      </c>
      <c r="AD253" s="14">
        <f>IF(AND(ISNUMBER(E253),ISNUMBER(AC253)),E253-AC253,"")</f>
        <v/>
      </c>
    </row>
    <row r="254">
      <c r="A254" s="17" t="n">
        <v>46051</v>
      </c>
      <c r="B254" s="29">
        <f>MONTH(A254)</f>
        <v/>
      </c>
      <c r="C254" s="29">
        <f>IF(AND(ISNUMBER(W254),ISNUMBER($C$4),ABS(W254-$C$4)&lt;=$C$5,ABS(MOD(B254-$C$6+6,12)-6)&lt;=$C$7,OR($C$8="Any",P254=$C$8)),1,0)</f>
        <v/>
      </c>
      <c r="D254" s="29">
        <f>IF(C254=1,COUNTIF($C$16:C254,1),"")</f>
        <v/>
      </c>
      <c r="E254" s="18" t="n">
        <v>35.13</v>
      </c>
      <c r="F254" s="18" t="n">
        <v>42.5</v>
      </c>
      <c r="G254" s="18" t="n">
        <v>20.39</v>
      </c>
      <c r="H254" s="38" t="n">
        <v>3.03</v>
      </c>
      <c r="I254" s="38" t="n">
        <v>-0.89</v>
      </c>
      <c r="J254" s="13" t="n">
        <v>11579</v>
      </c>
      <c r="K254" s="13" t="n">
        <v>11282.56</v>
      </c>
      <c r="L254" s="13" t="n">
        <v>1945.56</v>
      </c>
      <c r="M254" s="13" t="n">
        <v>2044.5</v>
      </c>
      <c r="N254" s="13" t="n">
        <v>4292</v>
      </c>
      <c r="O254" s="38" t="n">
        <v>47.64</v>
      </c>
      <c r="P254" s="39" t="inlineStr">
        <is>
          <t>Windy</t>
        </is>
      </c>
      <c r="Q254" s="13" t="n">
        <v>947</v>
      </c>
      <c r="R254" s="13" t="n">
        <v>737.9299999999999</v>
      </c>
      <c r="S254" s="13" t="n">
        <v>-260.62</v>
      </c>
      <c r="T254" s="13" t="n">
        <v>10256.38</v>
      </c>
      <c r="U254" s="13" t="n">
        <v>720.66</v>
      </c>
      <c r="V254" s="13" t="n">
        <v>16.25</v>
      </c>
      <c r="W254" s="13" t="n">
        <v>1170.95</v>
      </c>
      <c r="X254" s="13" t="n">
        <v>2036.31</v>
      </c>
      <c r="Y254" s="13" t="n">
        <v>1338.91</v>
      </c>
      <c r="Z254" s="19" t="n"/>
      <c r="AA254" s="18" t="n"/>
      <c r="AB254" s="38" t="n">
        <v>31.59</v>
      </c>
      <c r="AC254" s="14">
        <f>IFERROR(AVERAGEIFS($E$16:$E$736,$W$16:$W$736,"&gt;="&amp;W254-$C$5,$W$16:$W$736,"&lt;="&amp;W254+$C$5,$B$16:$B$736,B254,$A$16:$A$736,"&lt;&gt;"&amp;A254),"")</f>
        <v/>
      </c>
      <c r="AD254" s="14">
        <f>IF(AND(ISNUMBER(E254),ISNUMBER(AC254)),E254-AC254,"")</f>
        <v/>
      </c>
    </row>
    <row r="255">
      <c r="A255" s="17" t="n">
        <v>46050</v>
      </c>
      <c r="B255" s="29">
        <f>MONTH(A255)</f>
        <v/>
      </c>
      <c r="C255" s="29">
        <f>IF(AND(ISNUMBER(W255),ISNUMBER($C$4),ABS(W255-$C$4)&lt;=$C$5,ABS(MOD(B255-$C$6+6,12)-6)&lt;=$C$7,OR($C$8="Any",P255=$C$8)),1,0)</f>
        <v/>
      </c>
      <c r="D255" s="29">
        <f>IF(C255=1,COUNTIF($C$16:C255,1),"")</f>
        <v/>
      </c>
      <c r="E255" s="18" t="n">
        <v>39.79</v>
      </c>
      <c r="F255" s="18" t="n">
        <v>44.45</v>
      </c>
      <c r="G255" s="18" t="n">
        <v>30.46</v>
      </c>
      <c r="H255" s="38" t="n">
        <v>0.1</v>
      </c>
      <c r="I255" s="38" t="n">
        <v>-2.52</v>
      </c>
      <c r="J255" s="13" t="n">
        <v>11920</v>
      </c>
      <c r="K255" s="13" t="n">
        <v>11509.75</v>
      </c>
      <c r="L255" s="13" t="n">
        <v>1807.75</v>
      </c>
      <c r="M255" s="13" t="n">
        <v>1736.58</v>
      </c>
      <c r="N255" s="13" t="n">
        <v>4292</v>
      </c>
      <c r="O255" s="38" t="n">
        <v>40.46</v>
      </c>
      <c r="P255" s="39" t="inlineStr">
        <is>
          <t>Windy</t>
        </is>
      </c>
      <c r="Q255" s="13" t="n">
        <v>701</v>
      </c>
      <c r="R255" s="13" t="n">
        <v>739.39</v>
      </c>
      <c r="S255" s="13" t="n">
        <v>-290.75</v>
      </c>
      <c r="T255" s="13" t="n">
        <v>10676.7</v>
      </c>
      <c r="U255" s="13" t="n">
        <v>737.9400000000001</v>
      </c>
      <c r="V255" s="13" t="n">
        <v>331.65</v>
      </c>
      <c r="W255" s="13" t="n">
        <v>1004.36</v>
      </c>
      <c r="X255" s="13" t="n">
        <v>2033.15</v>
      </c>
      <c r="Y255" s="13" t="n">
        <v>1226.01</v>
      </c>
      <c r="Z255" s="19" t="n"/>
      <c r="AA255" s="18" t="n"/>
      <c r="AB255" s="38" t="n">
        <v>30.32</v>
      </c>
      <c r="AC255" s="14">
        <f>IFERROR(AVERAGEIFS($E$16:$E$736,$W$16:$W$736,"&gt;="&amp;W255-$C$5,$W$16:$W$736,"&lt;="&amp;W255+$C$5,$B$16:$B$736,B255,$A$16:$A$736,"&lt;&gt;"&amp;A255),"")</f>
        <v/>
      </c>
      <c r="AD255" s="14">
        <f>IF(AND(ISNUMBER(E255),ISNUMBER(AC255)),E255-AC255,"")</f>
        <v/>
      </c>
    </row>
    <row r="256">
      <c r="A256" s="17" t="n">
        <v>46049</v>
      </c>
      <c r="B256" s="29">
        <f>MONTH(A256)</f>
        <v/>
      </c>
      <c r="C256" s="29">
        <f>IF(AND(ISNUMBER(W256),ISNUMBER($C$4),ABS(W256-$C$4)&lt;=$C$5,ABS(MOD(B256-$C$6+6,12)-6)&lt;=$C$7,OR($C$8="Any",P256=$C$8)),1,0)</f>
        <v/>
      </c>
      <c r="D256" s="29">
        <f>IF(C256=1,COUNTIF($C$16:C256,1),"")</f>
        <v/>
      </c>
      <c r="E256" s="18" t="n">
        <v>31.82</v>
      </c>
      <c r="F256" s="18" t="n">
        <v>36.2</v>
      </c>
      <c r="G256" s="18" t="n">
        <v>23.06</v>
      </c>
      <c r="H256" s="38" t="n">
        <v>-0.57</v>
      </c>
      <c r="I256" s="38" t="n">
        <v>-5.55</v>
      </c>
      <c r="J256" s="13" t="n">
        <v>11950</v>
      </c>
      <c r="K256" s="13" t="n">
        <v>11546.19</v>
      </c>
      <c r="L256" s="13" t="n">
        <v>1509.75</v>
      </c>
      <c r="M256" s="13" t="n">
        <v>1655.96</v>
      </c>
      <c r="N256" s="13" t="n">
        <v>4292</v>
      </c>
      <c r="O256" s="38" t="n">
        <v>38.58</v>
      </c>
      <c r="P256" s="39" t="inlineStr">
        <is>
          <t>Windy</t>
        </is>
      </c>
      <c r="Q256" s="13" t="n">
        <v>1109</v>
      </c>
      <c r="R256" s="13" t="n">
        <v>736.58</v>
      </c>
      <c r="S256" s="13" t="n">
        <v>-262.83</v>
      </c>
      <c r="T256" s="13" t="n">
        <v>11030.12</v>
      </c>
      <c r="U256" s="13" t="n">
        <v>724.16</v>
      </c>
      <c r="V256" s="13" t="n">
        <v>53.07</v>
      </c>
      <c r="W256" s="13" t="n">
        <v>896.72</v>
      </c>
      <c r="X256" s="13" t="n">
        <v>2089.93</v>
      </c>
      <c r="Y256" s="13" t="n">
        <v>1063.69</v>
      </c>
      <c r="Z256" s="19" t="n"/>
      <c r="AA256" s="18" t="n"/>
      <c r="AB256" s="38" t="n">
        <v>27.11</v>
      </c>
      <c r="AC256" s="14">
        <f>IFERROR(AVERAGEIFS($E$16:$E$736,$W$16:$W$736,"&gt;="&amp;W256-$C$5,$W$16:$W$736,"&lt;="&amp;W256+$C$5,$B$16:$B$736,B256,$A$16:$A$736,"&lt;&gt;"&amp;A256),"")</f>
        <v/>
      </c>
      <c r="AD256" s="14">
        <f>IF(AND(ISNUMBER(E256),ISNUMBER(AC256)),E256-AC256,"")</f>
        <v/>
      </c>
    </row>
    <row r="257">
      <c r="A257" s="17" t="n">
        <v>46048</v>
      </c>
      <c r="B257" s="29">
        <f>MONTH(A257)</f>
        <v/>
      </c>
      <c r="C257" s="29">
        <f>IF(AND(ISNUMBER(W257),ISNUMBER($C$4),ABS(W257-$C$4)&lt;=$C$5,ABS(MOD(B257-$C$6+6,12)-6)&lt;=$C$7,OR($C$8="Any",P257=$C$8)),1,0)</f>
        <v/>
      </c>
      <c r="D257" s="29">
        <f>IF(C257=1,COUNTIF($C$16:C257,1),"")</f>
        <v/>
      </c>
      <c r="E257" s="18" t="n">
        <v>42.91</v>
      </c>
      <c r="F257" s="18" t="n">
        <v>52.3</v>
      </c>
      <c r="G257" s="18" t="n">
        <v>24.12</v>
      </c>
      <c r="H257" s="38" t="n">
        <v>-6.93</v>
      </c>
      <c r="I257" s="38" t="n">
        <v>-9.390000000000001</v>
      </c>
      <c r="J257" s="13" t="n">
        <v>12203</v>
      </c>
      <c r="K257" s="13" t="n">
        <v>11854.94</v>
      </c>
      <c r="L257" s="13" t="n">
        <v>874.88</v>
      </c>
      <c r="M257" s="13" t="n">
        <v>1293.08</v>
      </c>
      <c r="N257" s="13" t="n">
        <v>4292</v>
      </c>
      <c r="O257" s="38" t="n">
        <v>30.13</v>
      </c>
      <c r="P257" s="39" t="inlineStr">
        <is>
          <t>Windy</t>
        </is>
      </c>
      <c r="Q257" s="13" t="n">
        <v>827</v>
      </c>
      <c r="R257" s="13" t="n">
        <v>741.86</v>
      </c>
      <c r="S257" s="13" t="n">
        <v>-189.21</v>
      </c>
      <c r="T257" s="13" t="n">
        <v>11015.72</v>
      </c>
      <c r="U257" s="13" t="n">
        <v>724.47</v>
      </c>
      <c r="V257" s="13" t="n">
        <v>260.12</v>
      </c>
      <c r="W257" s="13" t="n">
        <v>652.61</v>
      </c>
      <c r="X257" s="13" t="n">
        <v>1243.01</v>
      </c>
      <c r="Y257" s="13" t="n">
        <v>868.27</v>
      </c>
      <c r="Z257" s="19" t="n"/>
      <c r="AA257" s="18" t="n"/>
      <c r="AB257" s="38" t="n">
        <v>22.25</v>
      </c>
      <c r="AC257" s="14">
        <f>IFERROR(AVERAGEIFS($E$16:$E$736,$W$16:$W$736,"&gt;="&amp;W257-$C$5,$W$16:$W$736,"&lt;="&amp;W257+$C$5,$B$16:$B$736,B257,$A$16:$A$736,"&lt;&gt;"&amp;A257),"")</f>
        <v/>
      </c>
      <c r="AD257" s="14">
        <f>IF(AND(ISNUMBER(E257),ISNUMBER(AC257)),E257-AC257,"")</f>
        <v/>
      </c>
    </row>
    <row r="258">
      <c r="A258" s="17" t="n">
        <v>46047</v>
      </c>
      <c r="B258" s="29">
        <f>MONTH(A258)</f>
        <v/>
      </c>
      <c r="C258" s="29">
        <f>IF(AND(ISNUMBER(W258),ISNUMBER($C$4),ABS(W258-$C$4)&lt;=$C$5,ABS(MOD(B258-$C$6+6,12)-6)&lt;=$C$7,OR($C$8="Any",P258=$C$8)),1,0)</f>
        <v/>
      </c>
      <c r="D258" s="29">
        <f>IF(C258=1,COUNTIF($C$16:C258,1),"")</f>
        <v/>
      </c>
      <c r="E258" s="18" t="n">
        <v>30.41</v>
      </c>
      <c r="F258" s="18" t="n">
        <v>18.37</v>
      </c>
      <c r="G258" s="18" t="n">
        <v>54.48</v>
      </c>
      <c r="H258" s="38" t="n">
        <v>-3.8</v>
      </c>
      <c r="I258" s="38" t="n">
        <v>-12.67</v>
      </c>
      <c r="J258" s="13" t="n">
        <v>12099</v>
      </c>
      <c r="K258" s="13" t="n">
        <v>11609.75</v>
      </c>
      <c r="L258" s="13" t="n">
        <v>3543.88</v>
      </c>
      <c r="M258" s="13" t="n">
        <v>2743.08</v>
      </c>
      <c r="N258" s="13" t="n">
        <v>4292</v>
      </c>
      <c r="O258" s="38" t="n">
        <v>63.91</v>
      </c>
      <c r="P258" s="39" t="inlineStr">
        <is>
          <t>Windy</t>
        </is>
      </c>
      <c r="Q258" s="13" t="n">
        <v>903</v>
      </c>
      <c r="R258" s="13" t="n">
        <v>741.23</v>
      </c>
      <c r="S258" s="13" t="n">
        <v>-643.5</v>
      </c>
      <c r="T258" s="13" t="n">
        <v>11267.32</v>
      </c>
      <c r="U258" s="13" t="n">
        <v>698.09</v>
      </c>
      <c r="V258" s="13" t="n">
        <v>294.57</v>
      </c>
      <c r="W258" s="13" t="n">
        <v>3076.79</v>
      </c>
      <c r="X258" s="13" t="n">
        <v>3646.94</v>
      </c>
      <c r="Y258" s="13" t="n">
        <v>3392.56</v>
      </c>
      <c r="Z258" s="19" t="n"/>
      <c r="AA258" s="18" t="n"/>
      <c r="AB258" s="38" t="n">
        <v>35.63</v>
      </c>
      <c r="AC258" s="14">
        <f>IFERROR(AVERAGEIFS($E$16:$E$736,$W$16:$W$736,"&gt;="&amp;W258-$C$5,$W$16:$W$736,"&lt;="&amp;W258+$C$5,$B$16:$B$736,B258,$A$16:$A$736,"&lt;&gt;"&amp;A258),"")</f>
        <v/>
      </c>
      <c r="AD258" s="14">
        <f>IF(AND(ISNUMBER(E258),ISNUMBER(AC258)),E258-AC258,"")</f>
        <v/>
      </c>
    </row>
    <row r="259">
      <c r="A259" s="17" t="n">
        <v>46046</v>
      </c>
      <c r="B259" s="29">
        <f>MONTH(A259)</f>
        <v/>
      </c>
      <c r="C259" s="29">
        <f>IF(AND(ISNUMBER(W259),ISNUMBER($C$4),ABS(W259-$C$4)&lt;=$C$5,ABS(MOD(B259-$C$6+6,12)-6)&lt;=$C$7,OR($C$8="Any",P259=$C$8)),1,0)</f>
        <v/>
      </c>
      <c r="D259" s="29">
        <f>IF(C259=1,COUNTIF($C$16:C259,1),"")</f>
        <v/>
      </c>
      <c r="E259" s="18" t="n">
        <v>66.27</v>
      </c>
      <c r="F259" s="18" t="n">
        <v>80.45</v>
      </c>
      <c r="G259" s="18" t="n">
        <v>37.91</v>
      </c>
      <c r="H259" s="38" t="n">
        <v>-12.57</v>
      </c>
      <c r="I259" s="38" t="n">
        <v>-14.41</v>
      </c>
      <c r="J259" s="13" t="n">
        <v>11850</v>
      </c>
      <c r="K259" s="13" t="n">
        <v>11567.19</v>
      </c>
      <c r="L259" s="13" t="n">
        <v>432.12</v>
      </c>
      <c r="M259" s="13" t="n">
        <v>658.17</v>
      </c>
      <c r="N259" s="13" t="n">
        <v>4292</v>
      </c>
      <c r="O259" s="38" t="n">
        <v>15.33</v>
      </c>
      <c r="P259" s="39" t="inlineStr">
        <is>
          <t>Calm</t>
        </is>
      </c>
      <c r="Q259" s="13" t="n">
        <v>282</v>
      </c>
      <c r="R259" s="13" t="n">
        <v>741.75</v>
      </c>
      <c r="S259" s="13" t="n">
        <v>91.04000000000001</v>
      </c>
      <c r="T259" s="13" t="n">
        <v>11474.94</v>
      </c>
      <c r="U259" s="13" t="n">
        <v>661.1900000000001</v>
      </c>
      <c r="V259" s="13" t="n">
        <v>18.41</v>
      </c>
      <c r="W259" s="13" t="n">
        <v>1050.76</v>
      </c>
      <c r="X259" s="13" t="n">
        <v>1501.14</v>
      </c>
      <c r="Y259" s="13" t="n">
        <v>1335.35</v>
      </c>
      <c r="Z259" s="19" t="n"/>
      <c r="AA259" s="18" t="n"/>
      <c r="AB259" s="38" t="n">
        <v>12.76</v>
      </c>
      <c r="AC259" s="14">
        <f>IFERROR(AVERAGEIFS($E$16:$E$736,$W$16:$W$736,"&gt;="&amp;W259-$C$5,$W$16:$W$736,"&lt;="&amp;W259+$C$5,$B$16:$B$736,B259,$A$16:$A$736,"&lt;&gt;"&amp;A259),"")</f>
        <v/>
      </c>
      <c r="AD259" s="14">
        <f>IF(AND(ISNUMBER(E259),ISNUMBER(AC259)),E259-AC259,"")</f>
        <v/>
      </c>
    </row>
    <row r="260">
      <c r="A260" s="17" t="n">
        <v>46045</v>
      </c>
      <c r="B260" s="29">
        <f>MONTH(A260)</f>
        <v/>
      </c>
      <c r="C260" s="29">
        <f>IF(AND(ISNUMBER(W260),ISNUMBER($C$4),ABS(W260-$C$4)&lt;=$C$5,ABS(MOD(B260-$C$6+6,12)-6)&lt;=$C$7,OR($C$8="Any",P260=$C$8)),1,0)</f>
        <v/>
      </c>
      <c r="D260" s="29">
        <f>IF(C260=1,COUNTIF($C$16:C260,1),"")</f>
        <v/>
      </c>
      <c r="E260" s="18" t="n">
        <v>46.74</v>
      </c>
      <c r="F260" s="18" t="n">
        <v>50.51</v>
      </c>
      <c r="G260" s="18" t="n">
        <v>39.21</v>
      </c>
      <c r="H260" s="38" t="n">
        <v>-13.53</v>
      </c>
      <c r="I260" s="38" t="n">
        <v>-19.01</v>
      </c>
      <c r="J260" s="13" t="n">
        <v>12245</v>
      </c>
      <c r="K260" s="13" t="n">
        <v>11971.12</v>
      </c>
      <c r="L260" s="13" t="n">
        <v>833.25</v>
      </c>
      <c r="M260" s="13" t="n">
        <v>749.12</v>
      </c>
      <c r="N260" s="13" t="n">
        <v>4292</v>
      </c>
      <c r="O260" s="38" t="n">
        <v>17.45</v>
      </c>
      <c r="P260" s="39" t="inlineStr">
        <is>
          <t>Windy</t>
        </is>
      </c>
      <c r="Q260" s="13" t="n">
        <v>794</v>
      </c>
      <c r="R260" s="13" t="n">
        <v>750.14</v>
      </c>
      <c r="S260" s="13" t="n">
        <v>88.83</v>
      </c>
      <c r="T260" s="13" t="n">
        <v>11453.93</v>
      </c>
      <c r="U260" s="13" t="n">
        <v>621.03</v>
      </c>
      <c r="V260" s="13" t="n">
        <v>516.97</v>
      </c>
      <c r="W260" s="13" t="n">
        <v>897.5</v>
      </c>
      <c r="X260" s="13" t="n">
        <v>1568.96</v>
      </c>
      <c r="Y260" s="13" t="n">
        <v>1187.42</v>
      </c>
      <c r="Z260" s="19" t="n"/>
      <c r="AA260" s="18" t="n"/>
      <c r="AB260" s="38" t="n">
        <v>11.67</v>
      </c>
      <c r="AC260" s="14">
        <f>IFERROR(AVERAGEIFS($E$16:$E$736,$W$16:$W$736,"&gt;="&amp;W260-$C$5,$W$16:$W$736,"&lt;="&amp;W260+$C$5,$B$16:$B$736,B260,$A$16:$A$736,"&lt;&gt;"&amp;A260),"")</f>
        <v/>
      </c>
      <c r="AD260" s="14">
        <f>IF(AND(ISNUMBER(E260),ISNUMBER(AC260)),E260-AC260,"")</f>
        <v/>
      </c>
    </row>
    <row r="261">
      <c r="A261" s="17" t="n">
        <v>46044</v>
      </c>
      <c r="B261" s="29">
        <f>MONTH(A261)</f>
        <v/>
      </c>
      <c r="C261" s="29">
        <f>IF(AND(ISNUMBER(W261),ISNUMBER($C$4),ABS(W261-$C$4)&lt;=$C$5,ABS(MOD(B261-$C$6+6,12)-6)&lt;=$C$7,OR($C$8="Any",P261=$C$8)),1,0)</f>
        <v/>
      </c>
      <c r="D261" s="29">
        <f>IF(C261=1,COUNTIF($C$16:C261,1),"")</f>
        <v/>
      </c>
      <c r="E261" s="18" t="n">
        <v>56.06</v>
      </c>
      <c r="F261" s="18" t="n">
        <v>66.04000000000001</v>
      </c>
      <c r="G261" s="18" t="n">
        <v>36.11</v>
      </c>
      <c r="H261" s="38" t="n">
        <v>-10.77</v>
      </c>
      <c r="I261" s="38" t="n">
        <v>-16.13</v>
      </c>
      <c r="J261" s="13" t="n">
        <v>12331</v>
      </c>
      <c r="K261" s="13" t="n">
        <v>11944.88</v>
      </c>
      <c r="L261" s="13" t="n">
        <v>515.0599999999999</v>
      </c>
      <c r="M261" s="13" t="n">
        <v>603</v>
      </c>
      <c r="N261" s="13" t="n">
        <v>4292</v>
      </c>
      <c r="O261" s="38" t="n">
        <v>14.05</v>
      </c>
      <c r="P261" s="39" t="inlineStr">
        <is>
          <t>Calm</t>
        </is>
      </c>
      <c r="Q261" s="13" t="n">
        <v>463</v>
      </c>
      <c r="R261" s="13" t="n">
        <v>751.71</v>
      </c>
      <c r="S261" s="13" t="n">
        <v>216.67</v>
      </c>
      <c r="T261" s="13" t="n">
        <v>11475.39</v>
      </c>
      <c r="U261" s="13" t="n">
        <v>627.36</v>
      </c>
      <c r="V261" s="13" t="n">
        <v>98.19</v>
      </c>
      <c r="W261" s="13" t="n">
        <v>1045.8</v>
      </c>
      <c r="X261" s="13" t="n">
        <v>1387.13</v>
      </c>
      <c r="Y261" s="13" t="n">
        <v>1360.13</v>
      </c>
      <c r="Z261" s="19" t="n"/>
      <c r="AA261" s="18" t="n"/>
      <c r="AB261" s="38" t="n">
        <v>13.7</v>
      </c>
      <c r="AC261" s="14">
        <f>IFERROR(AVERAGEIFS($E$16:$E$736,$W$16:$W$736,"&gt;="&amp;W261-$C$5,$W$16:$W$736,"&lt;="&amp;W261+$C$5,$B$16:$B$736,B261,$A$16:$A$736,"&lt;&gt;"&amp;A261),"")</f>
        <v/>
      </c>
      <c r="AD261" s="14">
        <f>IF(AND(ISNUMBER(E261),ISNUMBER(AC261)),E261-AC261,"")</f>
        <v/>
      </c>
    </row>
    <row r="262">
      <c r="A262" s="17" t="n">
        <v>46043</v>
      </c>
      <c r="B262" s="29">
        <f>MONTH(A262)</f>
        <v/>
      </c>
      <c r="C262" s="29">
        <f>IF(AND(ISNUMBER(W262),ISNUMBER($C$4),ABS(W262-$C$4)&lt;=$C$5,ABS(MOD(B262-$C$6+6,12)-6)&lt;=$C$7,OR($C$8="Any",P262=$C$8)),1,0)</f>
        <v/>
      </c>
      <c r="D262" s="29">
        <f>IF(C262=1,COUNTIF($C$16:C262,1),"")</f>
        <v/>
      </c>
      <c r="E262" s="18" t="n">
        <v>19.35</v>
      </c>
      <c r="F262" s="18" t="n">
        <v>24.04</v>
      </c>
      <c r="G262" s="18" t="n">
        <v>9.949999999999999</v>
      </c>
      <c r="H262" s="38" t="n">
        <v>-3.8</v>
      </c>
      <c r="I262" s="38" t="n">
        <v>-6.8</v>
      </c>
      <c r="J262" s="13" t="n">
        <v>12073</v>
      </c>
      <c r="K262" s="13" t="n">
        <v>11645</v>
      </c>
      <c r="L262" s="13" t="n">
        <v>2379.81</v>
      </c>
      <c r="M262" s="13" t="n">
        <v>2548.88</v>
      </c>
      <c r="N262" s="13" t="n">
        <v>4292</v>
      </c>
      <c r="O262" s="38" t="n">
        <v>59.39</v>
      </c>
      <c r="P262" s="39" t="inlineStr">
        <is>
          <t>Windy</t>
        </is>
      </c>
      <c r="Q262" s="13" t="n">
        <v>975</v>
      </c>
      <c r="R262" s="13" t="n">
        <v>747.1799999999999</v>
      </c>
      <c r="S262" s="13" t="n">
        <v>-362.75</v>
      </c>
      <c r="T262" s="13" t="n">
        <v>11219.39</v>
      </c>
      <c r="U262" s="13" t="n">
        <v>628.78</v>
      </c>
      <c r="V262" s="13" t="n">
        <v>146.85</v>
      </c>
      <c r="W262" s="13" t="n">
        <v>1884.89</v>
      </c>
      <c r="X262" s="13" t="n">
        <v>2956.26</v>
      </c>
      <c r="Y262" s="13" t="n">
        <v>2187.28</v>
      </c>
      <c r="Z262" s="19" t="n"/>
      <c r="AA262" s="18" t="n"/>
      <c r="AB262" s="38" t="n">
        <v>20.41</v>
      </c>
      <c r="AC262" s="14">
        <f>IFERROR(AVERAGEIFS($E$16:$E$736,$W$16:$W$736,"&gt;="&amp;W262-$C$5,$W$16:$W$736,"&lt;="&amp;W262+$C$5,$B$16:$B$736,B262,$A$16:$A$736,"&lt;&gt;"&amp;A262),"")</f>
        <v/>
      </c>
      <c r="AD262" s="14">
        <f>IF(AND(ISNUMBER(E262),ISNUMBER(AC262)),E262-AC262,"")</f>
        <v/>
      </c>
    </row>
    <row r="263">
      <c r="A263" s="17" t="n">
        <v>46042</v>
      </c>
      <c r="B263" s="29">
        <f>MONTH(A263)</f>
        <v/>
      </c>
      <c r="C263" s="29">
        <f>IF(AND(ISNUMBER(W263),ISNUMBER($C$4),ABS(W263-$C$4)&lt;=$C$5,ABS(MOD(B263-$C$6+6,12)-6)&lt;=$C$7,OR($C$8="Any",P263=$C$8)),1,0)</f>
        <v/>
      </c>
      <c r="D263" s="29">
        <f>IF(C263=1,COUNTIF($C$16:C263,1),"")</f>
        <v/>
      </c>
      <c r="E263" s="18" t="n">
        <v>14.97</v>
      </c>
      <c r="F263" s="18" t="n">
        <v>18.69</v>
      </c>
      <c r="G263" s="18" t="n">
        <v>7.55</v>
      </c>
      <c r="H263" s="38" t="n">
        <v>0.2</v>
      </c>
      <c r="I263" s="38" t="n">
        <v>-2.56</v>
      </c>
      <c r="J263" s="13" t="n">
        <v>11660</v>
      </c>
      <c r="K263" s="13" t="n">
        <v>11345.44</v>
      </c>
      <c r="L263" s="13" t="n">
        <v>2856.44</v>
      </c>
      <c r="M263" s="13" t="n">
        <v>2997.83</v>
      </c>
      <c r="N263" s="13" t="n">
        <v>4292</v>
      </c>
      <c r="O263" s="38" t="n">
        <v>69.84999999999999</v>
      </c>
      <c r="P263" s="39" t="inlineStr">
        <is>
          <t>Windy</t>
        </is>
      </c>
      <c r="Q263" s="13" t="n">
        <v>871</v>
      </c>
      <c r="R263" s="13" t="n">
        <v>743.85</v>
      </c>
      <c r="S263" s="13" t="n">
        <v>-448</v>
      </c>
      <c r="T263" s="13" t="n">
        <v>10846.18</v>
      </c>
      <c r="U263" s="13" t="n">
        <v>696.8</v>
      </c>
      <c r="V263" s="13" t="n">
        <v>486.27</v>
      </c>
      <c r="W263" s="13" t="n">
        <v>2512.28</v>
      </c>
      <c r="X263" s="13" t="n">
        <v>3230.37</v>
      </c>
      <c r="Y263" s="13" t="n">
        <v>2706.62</v>
      </c>
      <c r="Z263" s="19" t="n"/>
      <c r="AA263" s="18" t="n"/>
      <c r="AB263" s="38" t="n">
        <v>28.99</v>
      </c>
      <c r="AC263" s="14">
        <f>IFERROR(AVERAGEIFS($E$16:$E$736,$W$16:$W$736,"&gt;="&amp;W263-$C$5,$W$16:$W$736,"&lt;="&amp;W263+$C$5,$B$16:$B$736,B263,$A$16:$A$736,"&lt;&gt;"&amp;A263),"")</f>
        <v/>
      </c>
      <c r="AD263" s="14">
        <f>IF(AND(ISNUMBER(E263),ISNUMBER(AC263)),E263-AC263,"")</f>
        <v/>
      </c>
    </row>
    <row r="264">
      <c r="A264" s="17" t="n">
        <v>46041</v>
      </c>
      <c r="B264" s="29">
        <f>MONTH(A264)</f>
        <v/>
      </c>
      <c r="C264" s="29">
        <f>IF(AND(ISNUMBER(W264),ISNUMBER($C$4),ABS(W264-$C$4)&lt;=$C$5,ABS(MOD(B264-$C$6+6,12)-6)&lt;=$C$7,OR($C$8="Any",P264=$C$8)),1,0)</f>
        <v/>
      </c>
      <c r="D264" s="29">
        <f>IF(C264=1,COUNTIF($C$16:C264,1),"")</f>
        <v/>
      </c>
      <c r="E264" s="18" t="n">
        <v>27.03</v>
      </c>
      <c r="F264" s="18" t="n">
        <v>37.01</v>
      </c>
      <c r="G264" s="18" t="n">
        <v>7.07</v>
      </c>
      <c r="H264" s="38" t="n">
        <v>-1.67</v>
      </c>
      <c r="I264" s="38" t="n">
        <v>-6.53</v>
      </c>
      <c r="J264" s="13" t="n">
        <v>11690</v>
      </c>
      <c r="K264" s="13" t="n">
        <v>11280.19</v>
      </c>
      <c r="L264" s="13" t="n">
        <v>1219.56</v>
      </c>
      <c r="M264" s="13" t="n">
        <v>1603.83</v>
      </c>
      <c r="N264" s="13" t="n">
        <v>4292</v>
      </c>
      <c r="O264" s="38" t="n">
        <v>37.37</v>
      </c>
      <c r="P264" s="39" t="inlineStr">
        <is>
          <t>Windy</t>
        </is>
      </c>
      <c r="Q264" s="13" t="n">
        <v>783</v>
      </c>
      <c r="R264" s="13" t="n">
        <v>744.22</v>
      </c>
      <c r="S264" s="13" t="n">
        <v>-41.96</v>
      </c>
      <c r="T264" s="13" t="n">
        <v>11317.3</v>
      </c>
      <c r="U264" s="13" t="n">
        <v>715.8</v>
      </c>
      <c r="V264" s="13" t="n">
        <v>160.37</v>
      </c>
      <c r="W264" s="13" t="n">
        <v>1507.89</v>
      </c>
      <c r="X264" s="13" t="n">
        <v>2513.44</v>
      </c>
      <c r="Y264" s="13" t="n">
        <v>1716.33</v>
      </c>
      <c r="Z264" s="19" t="n"/>
      <c r="AA264" s="18" t="n"/>
      <c r="AB264" s="38" t="n">
        <v>24.52</v>
      </c>
      <c r="AC264" s="14">
        <f>IFERROR(AVERAGEIFS($E$16:$E$736,$W$16:$W$736,"&gt;="&amp;W264-$C$5,$W$16:$W$736,"&lt;="&amp;W264+$C$5,$B$16:$B$736,B264,$A$16:$A$736,"&lt;&gt;"&amp;A264),"")</f>
        <v/>
      </c>
      <c r="AD264" s="14">
        <f>IF(AND(ISNUMBER(E264),ISNUMBER(AC264)),E264-AC264,"")</f>
        <v/>
      </c>
    </row>
    <row r="265">
      <c r="A265" s="17" t="n">
        <v>46040</v>
      </c>
      <c r="B265" s="29">
        <f>MONTH(A265)</f>
        <v/>
      </c>
      <c r="C265" s="29">
        <f>IF(AND(ISNUMBER(W265),ISNUMBER($C$4),ABS(W265-$C$4)&lt;=$C$5,ABS(MOD(B265-$C$6+6,12)-6)&lt;=$C$7,OR($C$8="Any",P265=$C$8)),1,0)</f>
        <v/>
      </c>
      <c r="D265" s="29">
        <f>IF(C265=1,COUNTIF($C$16:C265,1),"")</f>
        <v/>
      </c>
      <c r="E265" s="18" t="n">
        <v>40.69</v>
      </c>
      <c r="F265" s="18" t="n">
        <v>59.25</v>
      </c>
      <c r="G265" s="18" t="n">
        <v>3.58</v>
      </c>
      <c r="H265" s="38" t="n">
        <v>-0.1</v>
      </c>
      <c r="I265" s="38" t="n">
        <v>-4.68</v>
      </c>
      <c r="J265" s="13" t="n">
        <v>11613</v>
      </c>
      <c r="K265" s="13" t="n">
        <v>11019.38</v>
      </c>
      <c r="L265" s="13" t="n">
        <v>726.38</v>
      </c>
      <c r="M265" s="13" t="n">
        <v>1517.62</v>
      </c>
      <c r="N265" s="13" t="n">
        <v>4292</v>
      </c>
      <c r="O265" s="38" t="n">
        <v>35.36</v>
      </c>
      <c r="P265" s="39" t="inlineStr">
        <is>
          <t>Windy</t>
        </is>
      </c>
      <c r="Q265" s="13" t="n">
        <v>652</v>
      </c>
      <c r="R265" s="13" t="n">
        <v>742.5700000000001</v>
      </c>
      <c r="S265" s="13" t="n">
        <v>-113</v>
      </c>
      <c r="T265" s="13" t="n">
        <v>11347.97</v>
      </c>
      <c r="U265" s="13" t="n">
        <v>716.66</v>
      </c>
      <c r="V265" s="13" t="n">
        <v>260.12</v>
      </c>
      <c r="W265" s="13" t="n">
        <v>1497.91</v>
      </c>
      <c r="X265" s="13" t="n">
        <v>2429.19</v>
      </c>
      <c r="Y265" s="13" t="n">
        <v>1656.16</v>
      </c>
      <c r="Z265" s="19" t="n"/>
      <c r="AA265" s="18" t="n"/>
      <c r="AB265" s="38" t="n">
        <v>11.66</v>
      </c>
      <c r="AC265" s="14">
        <f>IFERROR(AVERAGEIFS($E$16:$E$736,$W$16:$W$736,"&gt;="&amp;W265-$C$5,$W$16:$W$736,"&lt;="&amp;W265+$C$5,$B$16:$B$736,B265,$A$16:$A$736,"&lt;&gt;"&amp;A265),"")</f>
        <v/>
      </c>
      <c r="AD265" s="14">
        <f>IF(AND(ISNUMBER(E265),ISNUMBER(AC265)),E265-AC265,"")</f>
        <v/>
      </c>
    </row>
    <row r="266">
      <c r="A266" s="17" t="n">
        <v>46039</v>
      </c>
      <c r="B266" s="29">
        <f>MONTH(A266)</f>
        <v/>
      </c>
      <c r="C266" s="29">
        <f>IF(AND(ISNUMBER(W266),ISNUMBER($C$4),ABS(W266-$C$4)&lt;=$C$5,ABS(MOD(B266-$C$6+6,12)-6)&lt;=$C$7,OR($C$8="Any",P266=$C$8)),1,0)</f>
        <v/>
      </c>
      <c r="D266" s="29">
        <f>IF(C266=1,COUNTIF($C$16:C266,1),"")</f>
        <v/>
      </c>
      <c r="E266" s="18" t="n">
        <v>4.66</v>
      </c>
      <c r="F266" s="18" t="n">
        <v>2.76</v>
      </c>
      <c r="G266" s="18" t="n">
        <v>8.449999999999999</v>
      </c>
      <c r="H266" s="38" t="n">
        <v>5.23</v>
      </c>
      <c r="I266" s="38" t="n">
        <v>-0.91</v>
      </c>
      <c r="J266" s="13" t="n">
        <v>11337</v>
      </c>
      <c r="K266" s="13" t="n">
        <v>10936.94</v>
      </c>
      <c r="L266" s="13" t="n">
        <v>3686.38</v>
      </c>
      <c r="M266" s="13" t="n">
        <v>3473.58</v>
      </c>
      <c r="N266" s="13" t="n">
        <v>4292</v>
      </c>
      <c r="O266" s="38" t="n">
        <v>80.93000000000001</v>
      </c>
      <c r="P266" s="39" t="inlineStr">
        <is>
          <t>Windy</t>
        </is>
      </c>
      <c r="Q266" s="13" t="n">
        <v>970</v>
      </c>
      <c r="R266" s="13" t="n">
        <v>707.59</v>
      </c>
      <c r="S266" s="13" t="n">
        <v>-707.71</v>
      </c>
      <c r="T266" s="13" t="n">
        <v>11244.53</v>
      </c>
      <c r="U266" s="13" t="n">
        <v>605.96</v>
      </c>
      <c r="V266" s="13" t="n">
        <v>24.2</v>
      </c>
      <c r="W266" s="13" t="n">
        <v>3673.6</v>
      </c>
      <c r="X266" s="13" t="n">
        <v>4423.6</v>
      </c>
      <c r="Y266" s="13" t="n">
        <v>3909.23</v>
      </c>
      <c r="Z266" s="19" t="n"/>
      <c r="AA266" s="18" t="n"/>
      <c r="AB266" s="38" t="n">
        <v>40.88</v>
      </c>
      <c r="AC266" s="14">
        <f>IFERROR(AVERAGEIFS($E$16:$E$736,$W$16:$W$736,"&gt;="&amp;W266-$C$5,$W$16:$W$736,"&lt;="&amp;W266+$C$5,$B$16:$B$736,B266,$A$16:$A$736,"&lt;&gt;"&amp;A266),"")</f>
        <v/>
      </c>
      <c r="AD266" s="14">
        <f>IF(AND(ISNUMBER(E266),ISNUMBER(AC266)),E266-AC266,"")</f>
        <v/>
      </c>
    </row>
    <row r="267">
      <c r="A267" s="17" t="n">
        <v>46038</v>
      </c>
      <c r="B267" s="29">
        <f>MONTH(A267)</f>
        <v/>
      </c>
      <c r="C267" s="29">
        <f>IF(AND(ISNUMBER(W267),ISNUMBER($C$4),ABS(W267-$C$4)&lt;=$C$5,ABS(MOD(B267-$C$6+6,12)-6)&lt;=$C$7,OR($C$8="Any",P267=$C$8)),1,0)</f>
        <v/>
      </c>
      <c r="D267" s="29">
        <f>IF(C267=1,COUNTIF($C$16:C267,1),"")</f>
        <v/>
      </c>
      <c r="E267" s="18" t="n">
        <v>12.7</v>
      </c>
      <c r="F267" s="18" t="n">
        <v>17.04</v>
      </c>
      <c r="G267" s="18" t="n">
        <v>4.03</v>
      </c>
      <c r="H267" s="38" t="n">
        <v>-2.07</v>
      </c>
      <c r="I267" s="38" t="n">
        <v>-5.12</v>
      </c>
      <c r="J267" s="13" t="n">
        <v>11793</v>
      </c>
      <c r="K267" s="13" t="n">
        <v>11459.94</v>
      </c>
      <c r="L267" s="13" t="n">
        <v>1618.31</v>
      </c>
      <c r="M267" s="13" t="n">
        <v>2069.67</v>
      </c>
      <c r="N267" s="13" t="n">
        <v>4292</v>
      </c>
      <c r="O267" s="38" t="n">
        <v>48.22</v>
      </c>
      <c r="P267" s="39" t="inlineStr">
        <is>
          <t>Windy</t>
        </is>
      </c>
      <c r="Q267" s="13" t="n">
        <v>1030</v>
      </c>
      <c r="R267" s="13" t="n">
        <v>720.4</v>
      </c>
      <c r="S267" s="13" t="n">
        <v>-44.92</v>
      </c>
      <c r="T267" s="13" t="n">
        <v>11193.34</v>
      </c>
      <c r="U267" s="13" t="n">
        <v>738.74</v>
      </c>
      <c r="V267" s="13" t="n">
        <v>568.9400000000001</v>
      </c>
      <c r="W267" s="13" t="n">
        <v>1881.87</v>
      </c>
      <c r="X267" s="13" t="n">
        <v>2861.12</v>
      </c>
      <c r="Y267" s="13" t="n">
        <v>2044.99</v>
      </c>
      <c r="Z267" s="19" t="n"/>
      <c r="AA267" s="18" t="n"/>
      <c r="AB267" s="38" t="n">
        <v>14.09</v>
      </c>
      <c r="AC267" s="14">
        <f>IFERROR(AVERAGEIFS($E$16:$E$736,$W$16:$W$736,"&gt;="&amp;W267-$C$5,$W$16:$W$736,"&lt;="&amp;W267+$C$5,$B$16:$B$736,B267,$A$16:$A$736,"&lt;&gt;"&amp;A267),"")</f>
        <v/>
      </c>
      <c r="AD267" s="14">
        <f>IF(AND(ISNUMBER(E267),ISNUMBER(AC267)),E267-AC267,"")</f>
        <v/>
      </c>
    </row>
    <row r="268">
      <c r="A268" s="17" t="n">
        <v>46037</v>
      </c>
      <c r="B268" s="29">
        <f>MONTH(A268)</f>
        <v/>
      </c>
      <c r="C268" s="29">
        <f>IF(AND(ISNUMBER(W268),ISNUMBER($C$4),ABS(W268-$C$4)&lt;=$C$5,ABS(MOD(B268-$C$6+6,12)-6)&lt;=$C$7,OR($C$8="Any",P268=$C$8)),1,0)</f>
        <v/>
      </c>
      <c r="D268" s="29">
        <f>IF(C268=1,COUNTIF($C$16:C268,1),"")</f>
        <v/>
      </c>
      <c r="E268" s="18" t="n">
        <v>3.85</v>
      </c>
      <c r="F268" s="18" t="n">
        <v>4.17</v>
      </c>
      <c r="G268" s="18" t="n">
        <v>3.22</v>
      </c>
      <c r="H268" s="38" t="n">
        <v>5.43</v>
      </c>
      <c r="I268" s="38" t="n">
        <v>1.88</v>
      </c>
      <c r="J268" s="13" t="n">
        <v>11862</v>
      </c>
      <c r="K268" s="13" t="n">
        <v>11355.25</v>
      </c>
      <c r="L268" s="13" t="n">
        <v>3446.81</v>
      </c>
      <c r="M268" s="13" t="n">
        <v>3329.25</v>
      </c>
      <c r="N268" s="13" t="n">
        <v>4292</v>
      </c>
      <c r="O268" s="38" t="n">
        <v>77.56999999999999</v>
      </c>
      <c r="P268" s="39" t="inlineStr">
        <is>
          <t>Windy</t>
        </is>
      </c>
      <c r="Q268" s="13" t="n">
        <v>946</v>
      </c>
      <c r="R268" s="13" t="n">
        <v>677.02</v>
      </c>
      <c r="S268" s="13" t="n">
        <v>-293.96</v>
      </c>
      <c r="T268" s="13" t="n">
        <v>10813.31</v>
      </c>
      <c r="U268" s="13" t="n">
        <v>758.91</v>
      </c>
      <c r="V268" s="13" t="n">
        <v>283.61</v>
      </c>
      <c r="W268" s="13" t="n">
        <v>3148.09</v>
      </c>
      <c r="X268" s="13" t="n">
        <v>3838.36</v>
      </c>
      <c r="Y268" s="13" t="n">
        <v>3286.81</v>
      </c>
      <c r="Z268" s="19" t="n"/>
      <c r="AA268" s="18" t="n"/>
      <c r="AB268" s="38" t="n">
        <v>38.39</v>
      </c>
      <c r="AC268" s="14">
        <f>IFERROR(AVERAGEIFS($E$16:$E$736,$W$16:$W$736,"&gt;="&amp;W268-$C$5,$W$16:$W$736,"&lt;="&amp;W268+$C$5,$B$16:$B$736,B268,$A$16:$A$736,"&lt;&gt;"&amp;A268),"")</f>
        <v/>
      </c>
      <c r="AD268" s="14">
        <f>IF(AND(ISNUMBER(E268),ISNUMBER(AC268)),E268-AC268,"")</f>
        <v/>
      </c>
    </row>
    <row r="269">
      <c r="A269" s="17" t="n">
        <v>46036</v>
      </c>
      <c r="B269" s="29">
        <f>MONTH(A269)</f>
        <v/>
      </c>
      <c r="C269" s="29">
        <f>IF(AND(ISNUMBER(W269),ISNUMBER($C$4),ABS(W269-$C$4)&lt;=$C$5,ABS(MOD(B269-$C$6+6,12)-6)&lt;=$C$7,OR($C$8="Any",P269=$C$8)),1,0)</f>
        <v/>
      </c>
      <c r="D269" s="29">
        <f>IF(C269=1,COUNTIF($C$16:C269,1),"")</f>
        <v/>
      </c>
      <c r="E269" s="18" t="n">
        <v>6.12</v>
      </c>
      <c r="F269" s="18" t="n">
        <v>6.62</v>
      </c>
      <c r="G269" s="18" t="n">
        <v>5.13</v>
      </c>
      <c r="H269" s="38" t="n">
        <v>9.029999999999999</v>
      </c>
      <c r="I269" s="38" t="n">
        <v>5.73</v>
      </c>
      <c r="J269" s="13" t="n">
        <v>11457</v>
      </c>
      <c r="K269" s="13" t="n">
        <v>10998.81</v>
      </c>
      <c r="L269" s="13" t="n">
        <v>3534.94</v>
      </c>
      <c r="M269" s="13" t="n">
        <v>3543.88</v>
      </c>
      <c r="N269" s="13" t="n">
        <v>4292</v>
      </c>
      <c r="O269" s="38" t="n">
        <v>82.56999999999999</v>
      </c>
      <c r="P269" s="39" t="inlineStr">
        <is>
          <t>Windy</t>
        </is>
      </c>
      <c r="Q269" s="13" t="n">
        <v>995</v>
      </c>
      <c r="R269" s="13" t="n">
        <v>719.6900000000001</v>
      </c>
      <c r="S269" s="13" t="n">
        <v>-657.88</v>
      </c>
      <c r="T269" s="13" t="n">
        <v>10739.53</v>
      </c>
      <c r="U269" s="13" t="n">
        <v>746.61</v>
      </c>
      <c r="V269" s="13" t="n">
        <v>123.77</v>
      </c>
      <c r="W269" s="13" t="n">
        <v>3357.3</v>
      </c>
      <c r="X269" s="13" t="n">
        <v>4038.17</v>
      </c>
      <c r="Y269" s="13" t="n">
        <v>3484.78</v>
      </c>
      <c r="Z269" s="19" t="n"/>
      <c r="AA269" s="18" t="n"/>
      <c r="AB269" s="38" t="n">
        <v>38.81</v>
      </c>
      <c r="AC269" s="14">
        <f>IFERROR(AVERAGEIFS($E$16:$E$736,$W$16:$W$736,"&gt;="&amp;W269-$C$5,$W$16:$W$736,"&lt;="&amp;W269+$C$5,$B$16:$B$736,B269,$A$16:$A$736,"&lt;&gt;"&amp;A269),"")</f>
        <v/>
      </c>
      <c r="AD269" s="14">
        <f>IF(AND(ISNUMBER(E269),ISNUMBER(AC269)),E269-AC269,"")</f>
        <v/>
      </c>
    </row>
    <row r="270">
      <c r="A270" s="17" t="n">
        <v>46035</v>
      </c>
      <c r="B270" s="29">
        <f>MONTH(A270)</f>
        <v/>
      </c>
      <c r="C270" s="29">
        <f>IF(AND(ISNUMBER(W270),ISNUMBER($C$4),ABS(W270-$C$4)&lt;=$C$5,ABS(MOD(B270-$C$6+6,12)-6)&lt;=$C$7,OR($C$8="Any",P270=$C$8)),1,0)</f>
        <v/>
      </c>
      <c r="D270" s="29">
        <f>IF(C270=1,COUNTIF($C$16:C270,1),"")</f>
        <v/>
      </c>
      <c r="E270" s="18" t="n">
        <v>18.53</v>
      </c>
      <c r="F270" s="18" t="n">
        <v>26.8</v>
      </c>
      <c r="G270" s="18" t="n">
        <v>1.98</v>
      </c>
      <c r="H270" s="38" t="n">
        <v>7.8</v>
      </c>
      <c r="I270" s="38" t="n">
        <v>5.77</v>
      </c>
      <c r="J270" s="13" t="n">
        <v>11434</v>
      </c>
      <c r="K270" s="13" t="n">
        <v>10996.38</v>
      </c>
      <c r="L270" s="13" t="n">
        <v>2269.69</v>
      </c>
      <c r="M270" s="13" t="n">
        <v>2786.83</v>
      </c>
      <c r="N270" s="13" t="n">
        <v>4292</v>
      </c>
      <c r="O270" s="38" t="n">
        <v>64.93000000000001</v>
      </c>
      <c r="P270" s="39" t="inlineStr">
        <is>
          <t>Windy</t>
        </is>
      </c>
      <c r="Q270" s="13" t="n">
        <v>717</v>
      </c>
      <c r="R270" s="13" t="n">
        <v>727.14</v>
      </c>
      <c r="S270" s="13" t="n">
        <v>-313.17</v>
      </c>
      <c r="T270" s="13" t="n">
        <v>10736.85</v>
      </c>
      <c r="U270" s="13" t="n">
        <v>729.27</v>
      </c>
      <c r="V270" s="13" t="n">
        <v>276.34</v>
      </c>
      <c r="W270" s="13" t="n">
        <v>2031.04</v>
      </c>
      <c r="X270" s="13" t="n">
        <v>3195.32</v>
      </c>
      <c r="Y270" s="13" t="n">
        <v>2194.89</v>
      </c>
      <c r="Z270" s="19" t="n"/>
      <c r="AA270" s="18" t="n"/>
      <c r="AB270" s="38" t="n">
        <v>31.35</v>
      </c>
      <c r="AC270" s="14">
        <f>IFERROR(AVERAGEIFS($E$16:$E$736,$W$16:$W$736,"&gt;="&amp;W270-$C$5,$W$16:$W$736,"&lt;="&amp;W270+$C$5,$B$16:$B$736,B270,$A$16:$A$736,"&lt;&gt;"&amp;A270),"")</f>
        <v/>
      </c>
      <c r="AD270" s="14">
        <f>IF(AND(ISNUMBER(E270),ISNUMBER(AC270)),E270-AC270,"")</f>
        <v/>
      </c>
    </row>
    <row r="271">
      <c r="A271" s="17" t="n">
        <v>46034</v>
      </c>
      <c r="B271" s="29">
        <f>MONTH(A271)</f>
        <v/>
      </c>
      <c r="C271" s="29">
        <f>IF(AND(ISNUMBER(W271),ISNUMBER($C$4),ABS(W271-$C$4)&lt;=$C$5,ABS(MOD(B271-$C$6+6,12)-6)&lt;=$C$7,OR($C$8="Any",P271=$C$8)),1,0)</f>
        <v/>
      </c>
      <c r="D271" s="29">
        <f>IF(C271=1,COUNTIF($C$16:C271,1),"")</f>
        <v/>
      </c>
      <c r="E271" s="18" t="n">
        <v>5.78</v>
      </c>
      <c r="F271" s="18" t="n">
        <v>7.73</v>
      </c>
      <c r="G271" s="18" t="n">
        <v>1.89</v>
      </c>
      <c r="H271" s="38" t="n">
        <v>7.67</v>
      </c>
      <c r="I271" s="38" t="n">
        <v>5.06</v>
      </c>
      <c r="J271" s="13" t="n">
        <v>11706</v>
      </c>
      <c r="K271" s="13" t="n">
        <v>11203.81</v>
      </c>
      <c r="L271" s="13" t="n">
        <v>4003.19</v>
      </c>
      <c r="M271" s="13" t="n">
        <v>3961.04</v>
      </c>
      <c r="N271" s="13" t="n">
        <v>4292</v>
      </c>
      <c r="O271" s="38" t="n">
        <v>92.29000000000001</v>
      </c>
      <c r="P271" s="39" t="inlineStr">
        <is>
          <t>Windy</t>
        </is>
      </c>
      <c r="Q271" s="13" t="n">
        <v>430</v>
      </c>
      <c r="R271" s="13" t="n">
        <v>731.45</v>
      </c>
      <c r="S271" s="13" t="n">
        <v>-738.17</v>
      </c>
      <c r="T271" s="13" t="n">
        <v>10638.95</v>
      </c>
      <c r="U271" s="13" t="n">
        <v>737.63</v>
      </c>
      <c r="V271" s="13" t="n">
        <v>359.09</v>
      </c>
      <c r="W271" s="13" t="n">
        <v>3362.56</v>
      </c>
      <c r="X271" s="13" t="n">
        <v>3904.52</v>
      </c>
      <c r="Y271" s="13" t="n">
        <v>3535.05</v>
      </c>
      <c r="Z271" s="19" t="n"/>
      <c r="AA271" s="18" t="n"/>
      <c r="AB271" s="38" t="n">
        <v>48.08</v>
      </c>
      <c r="AC271" s="14">
        <f>IFERROR(AVERAGEIFS($E$16:$E$736,$W$16:$W$736,"&gt;="&amp;W271-$C$5,$W$16:$W$736,"&lt;="&amp;W271+$C$5,$B$16:$B$736,B271,$A$16:$A$736,"&lt;&gt;"&amp;A271),"")</f>
        <v/>
      </c>
      <c r="AD271" s="14">
        <f>IF(AND(ISNUMBER(E271),ISNUMBER(AC271)),E271-AC271,"")</f>
        <v/>
      </c>
    </row>
    <row r="272">
      <c r="A272" s="17" t="n">
        <v>46033</v>
      </c>
      <c r="B272" s="29">
        <f>MONTH(A272)</f>
        <v/>
      </c>
      <c r="C272" s="29">
        <f>IF(AND(ISNUMBER(W272),ISNUMBER($C$4),ABS(W272-$C$4)&lt;=$C$5,ABS(MOD(B272-$C$6+6,12)-6)&lt;=$C$7,OR($C$8="Any",P272=$C$8)),1,0)</f>
        <v/>
      </c>
      <c r="D272" s="29">
        <f>IF(C272=1,COUNTIF($C$16:C272,1),"")</f>
        <v/>
      </c>
      <c r="E272" s="18" t="n">
        <v>7.39</v>
      </c>
      <c r="F272" s="18" t="n">
        <v>11.08</v>
      </c>
      <c r="G272" s="18" t="n">
        <v>0</v>
      </c>
      <c r="H272" s="38" t="n">
        <v>3.97</v>
      </c>
      <c r="I272" s="38" t="n">
        <v>2.45</v>
      </c>
      <c r="J272" s="13" t="n">
        <v>11479</v>
      </c>
      <c r="K272" s="13" t="n">
        <v>10914.94</v>
      </c>
      <c r="L272" s="13" t="n">
        <v>3510</v>
      </c>
      <c r="M272" s="13" t="n">
        <v>3675.92</v>
      </c>
      <c r="N272" s="13" t="n">
        <v>4292</v>
      </c>
      <c r="O272" s="38" t="n">
        <v>85.65000000000001</v>
      </c>
      <c r="P272" s="39" t="inlineStr">
        <is>
          <t>Windy</t>
        </is>
      </c>
      <c r="Q272" s="13" t="n">
        <v>644</v>
      </c>
      <c r="R272" s="13" t="n">
        <v>743.92</v>
      </c>
      <c r="S272" s="13" t="n">
        <v>-807.29</v>
      </c>
      <c r="T272" s="13" t="n">
        <v>10864.96</v>
      </c>
      <c r="U272" s="13" t="n">
        <v>744.7</v>
      </c>
      <c r="V272" s="13" t="n">
        <v>42.73</v>
      </c>
      <c r="W272" s="13" t="n">
        <v>3277.88</v>
      </c>
      <c r="X272" s="13" t="n">
        <v>3869.16</v>
      </c>
      <c r="Y272" s="13" t="n">
        <v>3435.39</v>
      </c>
      <c r="Z272" s="19" t="n"/>
      <c r="AA272" s="18" t="n"/>
      <c r="AB272" s="38" t="n">
        <v>31.11</v>
      </c>
      <c r="AC272" s="14">
        <f>IFERROR(AVERAGEIFS($E$16:$E$736,$W$16:$W$736,"&gt;="&amp;W272-$C$5,$W$16:$W$736,"&lt;="&amp;W272+$C$5,$B$16:$B$736,B272,$A$16:$A$736,"&lt;&gt;"&amp;A272),"")</f>
        <v/>
      </c>
      <c r="AD272" s="14">
        <f>IF(AND(ISNUMBER(E272),ISNUMBER(AC272)),E272-AC272,"")</f>
        <v/>
      </c>
    </row>
    <row r="273">
      <c r="A273" s="17" t="n">
        <v>46032</v>
      </c>
      <c r="B273" s="29">
        <f>MONTH(A273)</f>
        <v/>
      </c>
      <c r="C273" s="29">
        <f>IF(AND(ISNUMBER(W273),ISNUMBER($C$4),ABS(W273-$C$4)&lt;=$C$5,ABS(MOD(B273-$C$6+6,12)-6)&lt;=$C$7,OR($C$8="Any",P273=$C$8)),1,0)</f>
        <v/>
      </c>
      <c r="D273" s="29">
        <f>IF(C273=1,COUNTIF($C$16:C273,1),"")</f>
        <v/>
      </c>
      <c r="E273" s="18" t="n">
        <v>3.57</v>
      </c>
      <c r="F273" s="18" t="n">
        <v>4.4</v>
      </c>
      <c r="G273" s="18" t="n">
        <v>1.92</v>
      </c>
      <c r="H273" s="38" t="n">
        <v>5.33</v>
      </c>
      <c r="I273" s="38" t="n">
        <v>2.77</v>
      </c>
      <c r="J273" s="13" t="n">
        <v>11571</v>
      </c>
      <c r="K273" s="13" t="n">
        <v>11083.81</v>
      </c>
      <c r="L273" s="13" t="n">
        <v>3920.81</v>
      </c>
      <c r="M273" s="13" t="n">
        <v>3835.83</v>
      </c>
      <c r="N273" s="13" t="n">
        <v>4292</v>
      </c>
      <c r="O273" s="38" t="n">
        <v>89.37</v>
      </c>
      <c r="P273" s="39" t="inlineStr">
        <is>
          <t>Windy</t>
        </is>
      </c>
      <c r="Q273" s="13" t="n">
        <v>595</v>
      </c>
      <c r="R273" s="13" t="n">
        <v>747.9299999999999</v>
      </c>
      <c r="S273" s="13" t="n">
        <v>-791.04</v>
      </c>
      <c r="T273" s="13" t="n">
        <v>10886.7</v>
      </c>
      <c r="U273" s="13" t="n">
        <v>752.7</v>
      </c>
      <c r="V273" s="13" t="n">
        <v>324.02</v>
      </c>
      <c r="W273" s="13" t="n">
        <v>3409.72</v>
      </c>
      <c r="X273" s="13" t="n">
        <v>4133.22</v>
      </c>
      <c r="Y273" s="13" t="n">
        <v>3549.36</v>
      </c>
      <c r="Z273" s="19" t="n"/>
      <c r="AA273" s="18" t="n"/>
      <c r="AB273" s="38" t="n">
        <v>38.07</v>
      </c>
      <c r="AC273" s="14">
        <f>IFERROR(AVERAGEIFS($E$16:$E$736,$W$16:$W$736,"&gt;="&amp;W273-$C$5,$W$16:$W$736,"&lt;="&amp;W273+$C$5,$B$16:$B$736,B273,$A$16:$A$736,"&lt;&gt;"&amp;A273),"")</f>
        <v/>
      </c>
      <c r="AD273" s="14">
        <f>IF(AND(ISNUMBER(E273),ISNUMBER(AC273)),E273-AC273,"")</f>
        <v/>
      </c>
    </row>
    <row r="274">
      <c r="A274" s="17" t="n">
        <v>46031</v>
      </c>
      <c r="B274" s="29">
        <f>MONTH(A274)</f>
        <v/>
      </c>
      <c r="C274" s="29">
        <f>IF(AND(ISNUMBER(W274),ISNUMBER($C$4),ABS(W274-$C$4)&lt;=$C$5,ABS(MOD(B274-$C$6+6,12)-6)&lt;=$C$7,OR($C$8="Any",P274=$C$8)),1,0)</f>
        <v/>
      </c>
      <c r="D274" s="29">
        <f>IF(C274=1,COUNTIF($C$16:C274,1),"")</f>
        <v/>
      </c>
      <c r="E274" s="18" t="n">
        <v>17.37</v>
      </c>
      <c r="F274" s="18" t="n">
        <v>16.73</v>
      </c>
      <c r="G274" s="18" t="n">
        <v>18.64</v>
      </c>
      <c r="H274" s="38" t="n">
        <v>-0.67</v>
      </c>
      <c r="I274" s="38" t="n">
        <v>-5.44</v>
      </c>
      <c r="J274" s="13" t="n">
        <v>12006</v>
      </c>
      <c r="K274" s="13" t="n">
        <v>11720.88</v>
      </c>
      <c r="L274" s="13" t="n">
        <v>2723.38</v>
      </c>
      <c r="M274" s="13" t="n">
        <v>2571.96</v>
      </c>
      <c r="N274" s="13" t="n">
        <v>4292</v>
      </c>
      <c r="O274" s="38" t="n">
        <v>59.92</v>
      </c>
      <c r="P274" s="39" t="inlineStr">
        <is>
          <t>Windy</t>
        </is>
      </c>
      <c r="Q274" s="13" t="n">
        <v>879</v>
      </c>
      <c r="R274" s="13" t="n">
        <v>748.45</v>
      </c>
      <c r="S274" s="13" t="n">
        <v>-219.58</v>
      </c>
      <c r="T274" s="13" t="n">
        <v>11355.64</v>
      </c>
      <c r="U274" s="13" t="n">
        <v>739.78</v>
      </c>
      <c r="V274" s="13" t="n">
        <v>250.36</v>
      </c>
      <c r="W274" s="13" t="n">
        <v>2166.08</v>
      </c>
      <c r="X274" s="13" t="n">
        <v>3415.79</v>
      </c>
      <c r="Y274" s="13" t="n">
        <v>2331.86</v>
      </c>
      <c r="Z274" s="19" t="n"/>
      <c r="AA274" s="18" t="n"/>
      <c r="AB274" s="38" t="n">
        <v>28.58</v>
      </c>
      <c r="AC274" s="14">
        <f>IFERROR(AVERAGEIFS($E$16:$E$736,$W$16:$W$736,"&gt;="&amp;W274-$C$5,$W$16:$W$736,"&lt;="&amp;W274+$C$5,$B$16:$B$736,B274,$A$16:$A$736,"&lt;&gt;"&amp;A274),"")</f>
        <v/>
      </c>
      <c r="AD274" s="14">
        <f>IF(AND(ISNUMBER(E274),ISNUMBER(AC274)),E274-AC274,"")</f>
        <v/>
      </c>
    </row>
    <row r="275">
      <c r="A275" s="17" t="n">
        <v>46030</v>
      </c>
      <c r="B275" s="29">
        <f>MONTH(A275)</f>
        <v/>
      </c>
      <c r="C275" s="29">
        <f>IF(AND(ISNUMBER(W275),ISNUMBER($C$4),ABS(W275-$C$4)&lt;=$C$5,ABS(MOD(B275-$C$6+6,12)-6)&lt;=$C$7,OR($C$8="Any",P275=$C$8)),1,0)</f>
        <v/>
      </c>
      <c r="D275" s="29">
        <f>IF(C275=1,COUNTIF($C$16:C275,1),"")</f>
        <v/>
      </c>
      <c r="E275" s="18" t="n">
        <v>16.8</v>
      </c>
      <c r="F275" s="18" t="n">
        <v>17.45</v>
      </c>
      <c r="G275" s="18" t="n">
        <v>15.49</v>
      </c>
      <c r="H275" s="38" t="n">
        <v>-2.17</v>
      </c>
      <c r="I275" s="38" t="n">
        <v>-7.22</v>
      </c>
      <c r="J275" s="13" t="n">
        <v>12225</v>
      </c>
      <c r="K275" s="13" t="n">
        <v>11740.75</v>
      </c>
      <c r="L275" s="13" t="n">
        <v>2785.38</v>
      </c>
      <c r="M275" s="13" t="n">
        <v>2671.42</v>
      </c>
      <c r="N275" s="13" t="n">
        <v>4292</v>
      </c>
      <c r="O275" s="38" t="n">
        <v>62.24</v>
      </c>
      <c r="P275" s="39" t="inlineStr">
        <is>
          <t>Windy</t>
        </is>
      </c>
      <c r="Q275" s="13" t="n">
        <v>929</v>
      </c>
      <c r="R275" s="13" t="n">
        <v>748.64</v>
      </c>
      <c r="S275" s="13" t="n">
        <v>-169.79</v>
      </c>
      <c r="T275" s="13" t="n">
        <v>11310</v>
      </c>
      <c r="U275" s="13" t="n">
        <v>749.75</v>
      </c>
      <c r="V275" s="13" t="n">
        <v>268.39</v>
      </c>
      <c r="W275" s="13" t="n">
        <v>2243.47</v>
      </c>
      <c r="X275" s="13" t="n">
        <v>3600.74</v>
      </c>
      <c r="Y275" s="13" t="n">
        <v>2430.95</v>
      </c>
      <c r="Z275" s="19" t="n"/>
      <c r="AA275" s="18" t="n"/>
      <c r="AB275" s="38" t="n">
        <v>28.63</v>
      </c>
      <c r="AC275" s="14">
        <f>IFERROR(AVERAGEIFS($E$16:$E$736,$W$16:$W$736,"&gt;="&amp;W275-$C$5,$W$16:$W$736,"&lt;="&amp;W275+$C$5,$B$16:$B$736,B275,$A$16:$A$736,"&lt;&gt;"&amp;A275),"")</f>
        <v/>
      </c>
      <c r="AD275" s="14">
        <f>IF(AND(ISNUMBER(E275),ISNUMBER(AC275)),E275-AC275,"")</f>
        <v/>
      </c>
    </row>
    <row r="276">
      <c r="A276" s="17" t="n">
        <v>46029</v>
      </c>
      <c r="B276" s="29">
        <f>MONTH(A276)</f>
        <v/>
      </c>
      <c r="C276" s="29">
        <f>IF(AND(ISNUMBER(W276),ISNUMBER($C$4),ABS(W276-$C$4)&lt;=$C$5,ABS(MOD(B276-$C$6+6,12)-6)&lt;=$C$7,OR($C$8="Any",P276=$C$8)),1,0)</f>
        <v/>
      </c>
      <c r="D276" s="29">
        <f>IF(C276=1,COUNTIF($C$16:C276,1),"")</f>
        <v/>
      </c>
      <c r="E276" s="18" t="n">
        <v>12.98</v>
      </c>
      <c r="F276" s="18" t="n">
        <v>15.44</v>
      </c>
      <c r="G276" s="18" t="n">
        <v>8.07</v>
      </c>
      <c r="H276" s="38" t="n">
        <v>-2.37</v>
      </c>
      <c r="I276" s="38" t="n">
        <v>-4.61</v>
      </c>
      <c r="J276" s="13" t="n">
        <v>12000</v>
      </c>
      <c r="K276" s="13" t="n">
        <v>11583.75</v>
      </c>
      <c r="L276" s="13" t="n">
        <v>3044.75</v>
      </c>
      <c r="M276" s="13" t="n">
        <v>3152.42</v>
      </c>
      <c r="N276" s="13" t="n">
        <v>4292</v>
      </c>
      <c r="O276" s="38" t="n">
        <v>73.45</v>
      </c>
      <c r="P276" s="39" t="inlineStr">
        <is>
          <t>Windy</t>
        </is>
      </c>
      <c r="Q276" s="13" t="n">
        <v>743</v>
      </c>
      <c r="R276" s="13" t="n">
        <v>733.92</v>
      </c>
      <c r="S276" s="13" t="n">
        <v>-244.12</v>
      </c>
      <c r="T276" s="13" t="n">
        <v>11165.69</v>
      </c>
      <c r="U276" s="13" t="n">
        <v>736.83</v>
      </c>
      <c r="V276" s="13" t="n">
        <v>416.98</v>
      </c>
      <c r="W276" s="13" t="n">
        <v>2758.32</v>
      </c>
      <c r="X276" s="13" t="n">
        <v>3735.77</v>
      </c>
      <c r="Y276" s="13" t="n">
        <v>2925.5</v>
      </c>
      <c r="Z276" s="19" t="n"/>
      <c r="AA276" s="18" t="n"/>
      <c r="AB276" s="38" t="n">
        <v>29.12</v>
      </c>
      <c r="AC276" s="14">
        <f>IFERROR(AVERAGEIFS($E$16:$E$736,$W$16:$W$736,"&gt;="&amp;W276-$C$5,$W$16:$W$736,"&lt;="&amp;W276+$C$5,$B$16:$B$736,B276,$A$16:$A$736,"&lt;&gt;"&amp;A276),"")</f>
        <v/>
      </c>
      <c r="AD276" s="14">
        <f>IF(AND(ISNUMBER(E276),ISNUMBER(AC276)),E276-AC276,"")</f>
        <v/>
      </c>
    </row>
    <row r="277">
      <c r="A277" s="17" t="n">
        <v>46028</v>
      </c>
      <c r="B277" s="29">
        <f>MONTH(A277)</f>
        <v/>
      </c>
      <c r="C277" s="29">
        <f>IF(AND(ISNUMBER(W277),ISNUMBER($C$4),ABS(W277-$C$4)&lt;=$C$5,ABS(MOD(B277-$C$6+6,12)-6)&lt;=$C$7,OR($C$8="Any",P277=$C$8)),1,0)</f>
        <v/>
      </c>
      <c r="D277" s="29">
        <f>IF(C277=1,COUNTIF($C$16:C277,1),"")</f>
        <v/>
      </c>
      <c r="E277" s="18" t="n">
        <v>13.25</v>
      </c>
      <c r="F277" s="18" t="n">
        <v>10.26</v>
      </c>
      <c r="G277" s="18" t="n">
        <v>19.24</v>
      </c>
      <c r="H277" s="38" t="n">
        <v>-1.03</v>
      </c>
      <c r="I277" s="38" t="n">
        <v>-4.95</v>
      </c>
      <c r="J277" s="13" t="n">
        <v>12045</v>
      </c>
      <c r="K277" s="13" t="n">
        <v>11653.69</v>
      </c>
      <c r="L277" s="13" t="n">
        <v>3877.38</v>
      </c>
      <c r="M277" s="13" t="n">
        <v>3611.25</v>
      </c>
      <c r="N277" s="13" t="n">
        <v>4292</v>
      </c>
      <c r="O277" s="38" t="n">
        <v>84.14</v>
      </c>
      <c r="P277" s="39" t="inlineStr">
        <is>
          <t>Windy</t>
        </is>
      </c>
      <c r="Q277" s="13" t="n">
        <v>357</v>
      </c>
      <c r="R277" s="13" t="n">
        <v>733.58</v>
      </c>
      <c r="S277" s="13" t="n">
        <v>-559.54</v>
      </c>
      <c r="T277" s="13" t="n">
        <v>11208.22</v>
      </c>
      <c r="U277" s="13" t="n">
        <v>685.05</v>
      </c>
      <c r="V277" s="13" t="n">
        <v>467.09</v>
      </c>
      <c r="W277" s="13" t="n">
        <v>3366.28</v>
      </c>
      <c r="X277" s="13" t="n">
        <v>3948.34</v>
      </c>
      <c r="Y277" s="13" t="n">
        <v>3556.72</v>
      </c>
      <c r="Z277" s="19" t="n"/>
      <c r="AA277" s="18" t="n"/>
      <c r="AB277" s="38" t="n">
        <v>34.66</v>
      </c>
      <c r="AC277" s="14">
        <f>IFERROR(AVERAGEIFS($E$16:$E$736,$W$16:$W$736,"&gt;="&amp;W277-$C$5,$W$16:$W$736,"&lt;="&amp;W277+$C$5,$B$16:$B$736,B277,$A$16:$A$736,"&lt;&gt;"&amp;A277),"")</f>
        <v/>
      </c>
      <c r="AD277" s="14">
        <f>IF(AND(ISNUMBER(E277),ISNUMBER(AC277)),E277-AC277,"")</f>
        <v/>
      </c>
    </row>
    <row r="278">
      <c r="A278" s="17" t="n">
        <v>46027</v>
      </c>
      <c r="B278" s="29">
        <f>MONTH(A278)</f>
        <v/>
      </c>
      <c r="C278" s="29">
        <f>IF(AND(ISNUMBER(W278),ISNUMBER($C$4),ABS(W278-$C$4)&lt;=$C$5,ABS(MOD(B278-$C$6+6,12)-6)&lt;=$C$7,OR($C$8="Any",P278=$C$8)),1,0)</f>
        <v/>
      </c>
      <c r="D278" s="29">
        <f>IF(C278=1,COUNTIF($C$16:C278,1),"")</f>
        <v/>
      </c>
      <c r="E278" s="18" t="n">
        <v>363.26</v>
      </c>
      <c r="F278" s="18" t="n">
        <v>519.36</v>
      </c>
      <c r="G278" s="18" t="n">
        <v>51.05</v>
      </c>
      <c r="H278" s="38" t="n">
        <v>-8.630000000000001</v>
      </c>
      <c r="I278" s="38" t="n">
        <v>-10.33</v>
      </c>
      <c r="J278" s="13" t="n">
        <v>12246</v>
      </c>
      <c r="K278" s="13" t="n">
        <v>11785.06</v>
      </c>
      <c r="L278" s="13" t="n">
        <v>875.88</v>
      </c>
      <c r="M278" s="13" t="n">
        <v>1278.21</v>
      </c>
      <c r="N278" s="13" t="n">
        <v>4292</v>
      </c>
      <c r="O278" s="38" t="n">
        <v>29.78</v>
      </c>
      <c r="P278" s="39" t="inlineStr">
        <is>
          <t>Windy</t>
        </is>
      </c>
      <c r="Q278" s="13" t="n">
        <v>410</v>
      </c>
      <c r="R278" s="13" t="n">
        <v>732.8</v>
      </c>
      <c r="S278" s="13" t="n">
        <v>152.67</v>
      </c>
      <c r="T278" s="13" t="n">
        <v>10604.47</v>
      </c>
      <c r="U278" s="13" t="n">
        <v>686.16</v>
      </c>
      <c r="V278" s="13" t="n">
        <v>860.51</v>
      </c>
      <c r="W278" s="13" t="n">
        <v>600.86</v>
      </c>
      <c r="X278" s="13" t="n">
        <v>1134.41</v>
      </c>
      <c r="Y278" s="13" t="n">
        <v>837.3200000000001</v>
      </c>
      <c r="Z278" s="19" t="n"/>
      <c r="AA278" s="18" t="n"/>
      <c r="AB278" s="38" t="n">
        <v>24.12</v>
      </c>
      <c r="AC278" s="14">
        <f>IFERROR(AVERAGEIFS($E$16:$E$736,$W$16:$W$736,"&gt;="&amp;W278-$C$5,$W$16:$W$736,"&lt;="&amp;W278+$C$5,$B$16:$B$736,B278,$A$16:$A$736,"&lt;&gt;"&amp;A278),"")</f>
        <v/>
      </c>
      <c r="AD278" s="14">
        <f>IF(AND(ISNUMBER(E278),ISNUMBER(AC278)),E278-AC278,"")</f>
        <v/>
      </c>
    </row>
    <row r="279">
      <c r="A279" s="17" t="n">
        <v>46026</v>
      </c>
      <c r="B279" s="29">
        <f>MONTH(A279)</f>
        <v/>
      </c>
      <c r="C279" s="29">
        <f>IF(AND(ISNUMBER(W279),ISNUMBER($C$4),ABS(W279-$C$4)&lt;=$C$5,ABS(MOD(B279-$C$6+6,12)-6)&lt;=$C$7,OR($C$8="Any",P279=$C$8)),1,0)</f>
        <v/>
      </c>
      <c r="D279" s="29">
        <f>IF(C279=1,COUNTIF($C$16:C279,1),"")</f>
        <v/>
      </c>
      <c r="E279" s="18" t="n">
        <v>52.81</v>
      </c>
      <c r="F279" s="18" t="n">
        <v>56.71</v>
      </c>
      <c r="G279" s="18" t="n">
        <v>45</v>
      </c>
      <c r="H279" s="38" t="n">
        <v>-8.17</v>
      </c>
      <c r="I279" s="38" t="n">
        <v>-10.04</v>
      </c>
      <c r="J279" s="13" t="n">
        <v>12128</v>
      </c>
      <c r="K279" s="13" t="n">
        <v>11500.94</v>
      </c>
      <c r="L279" s="13" t="n">
        <v>1027.19</v>
      </c>
      <c r="M279" s="13" t="n">
        <v>1053.92</v>
      </c>
      <c r="N279" s="13" t="n">
        <v>4292</v>
      </c>
      <c r="O279" s="38" t="n">
        <v>24.56</v>
      </c>
      <c r="P279" s="39" t="inlineStr">
        <is>
          <t>Windy</t>
        </is>
      </c>
      <c r="Q279" s="13" t="n">
        <v>398</v>
      </c>
      <c r="R279" s="13" t="n">
        <v>732.98</v>
      </c>
      <c r="S279" s="13" t="n">
        <v>98.92</v>
      </c>
      <c r="T279" s="13" t="n">
        <v>11335.3</v>
      </c>
      <c r="U279" s="13" t="n">
        <v>677.73</v>
      </c>
      <c r="V279" s="13" t="n">
        <v>48.83</v>
      </c>
      <c r="W279" s="13" t="n">
        <v>1480.37</v>
      </c>
      <c r="X279" s="13" t="n">
        <v>2099.49</v>
      </c>
      <c r="Y279" s="13" t="n">
        <v>1733.02</v>
      </c>
      <c r="Z279" s="19" t="n"/>
      <c r="AA279" s="18" t="n"/>
      <c r="AB279" s="38" t="n">
        <v>17.16</v>
      </c>
      <c r="AC279" s="14">
        <f>IFERROR(AVERAGEIFS($E$16:$E$736,$W$16:$W$736,"&gt;="&amp;W279-$C$5,$W$16:$W$736,"&lt;="&amp;W279+$C$5,$B$16:$B$736,B279,$A$16:$A$736,"&lt;&gt;"&amp;A279),"")</f>
        <v/>
      </c>
      <c r="AD279" s="14">
        <f>IF(AND(ISNUMBER(E279),ISNUMBER(AC279)),E279-AC279,"")</f>
        <v/>
      </c>
    </row>
    <row r="280">
      <c r="A280" s="17" t="n">
        <v>46025</v>
      </c>
      <c r="B280" s="29">
        <f>MONTH(A280)</f>
        <v/>
      </c>
      <c r="C280" s="29">
        <f>IF(AND(ISNUMBER(W280),ISNUMBER($C$4),ABS(W280-$C$4)&lt;=$C$5,ABS(MOD(B280-$C$6+6,12)-6)&lt;=$C$7,OR($C$8="Any",P280=$C$8)),1,0)</f>
        <v/>
      </c>
      <c r="D280" s="29">
        <f>IF(C280=1,COUNTIF($C$16:C280,1),"")</f>
        <v/>
      </c>
      <c r="E280" s="18" t="n">
        <v>44.05</v>
      </c>
      <c r="F280" s="18" t="n">
        <v>41.73</v>
      </c>
      <c r="G280" s="18" t="n">
        <v>48.71</v>
      </c>
      <c r="H280" s="38" t="n">
        <v>-6.53</v>
      </c>
      <c r="I280" s="38" t="n">
        <v>-11.01</v>
      </c>
      <c r="J280" s="13" t="n">
        <v>12011</v>
      </c>
      <c r="K280" s="13" t="n">
        <v>11591.31</v>
      </c>
      <c r="L280" s="13" t="n">
        <v>1318.56</v>
      </c>
      <c r="M280" s="13" t="n">
        <v>959.54</v>
      </c>
      <c r="N280" s="13" t="n">
        <v>4292</v>
      </c>
      <c r="O280" s="38" t="n">
        <v>22.36</v>
      </c>
      <c r="P280" s="39" t="inlineStr">
        <is>
          <t>Windy</t>
        </is>
      </c>
      <c r="Q280" s="13" t="n">
        <v>268</v>
      </c>
      <c r="R280" s="13" t="n">
        <v>731.0700000000001</v>
      </c>
      <c r="S280" s="13" t="n">
        <v>187.88</v>
      </c>
      <c r="T280" s="13" t="n">
        <v>11453.79</v>
      </c>
      <c r="U280" s="13" t="n">
        <v>683.8200000000001</v>
      </c>
      <c r="V280" s="13" t="n">
        <v>35.77</v>
      </c>
      <c r="W280" s="13" t="n">
        <v>1472.45</v>
      </c>
      <c r="X280" s="13" t="n">
        <v>2378.82</v>
      </c>
      <c r="Y280" s="13" t="n">
        <v>1707.83</v>
      </c>
      <c r="Z280" s="19" t="n"/>
      <c r="AA280" s="18" t="n"/>
      <c r="AB280" s="38" t="n">
        <v>18.17</v>
      </c>
      <c r="AC280" s="14">
        <f>IFERROR(AVERAGEIFS($E$16:$E$736,$W$16:$W$736,"&gt;="&amp;W280-$C$5,$W$16:$W$736,"&lt;="&amp;W280+$C$5,$B$16:$B$736,B280,$A$16:$A$736,"&lt;&gt;"&amp;A280),"")</f>
        <v/>
      </c>
      <c r="AD280" s="14">
        <f>IF(AND(ISNUMBER(E280),ISNUMBER(AC280)),E280-AC280,"")</f>
        <v/>
      </c>
    </row>
    <row r="281">
      <c r="A281" s="17" t="n">
        <v>46024</v>
      </c>
      <c r="B281" s="29">
        <f>MONTH(A281)</f>
        <v/>
      </c>
      <c r="C281" s="29">
        <f>IF(AND(ISNUMBER(W281),ISNUMBER($C$4),ABS(W281-$C$4)&lt;=$C$5,ABS(MOD(B281-$C$6+6,12)-6)&lt;=$C$7,OR($C$8="Any",P281=$C$8)),1,0)</f>
        <v/>
      </c>
      <c r="D281" s="29">
        <f>IF(C281=1,COUNTIF($C$16:C281,1),"")</f>
        <v/>
      </c>
      <c r="E281" s="18" t="n">
        <v>80.63</v>
      </c>
      <c r="F281" s="18" t="n">
        <v>98.61</v>
      </c>
      <c r="G281" s="18" t="n">
        <v>44.67</v>
      </c>
      <c r="H281" s="38" t="n">
        <v>-5.97</v>
      </c>
      <c r="I281" s="38" t="n">
        <v>-7.61</v>
      </c>
      <c r="J281" s="13" t="n">
        <v>11963</v>
      </c>
      <c r="K281" s="13" t="n">
        <v>11653.56</v>
      </c>
      <c r="L281" s="13" t="n">
        <v>312.44</v>
      </c>
      <c r="M281" s="13" t="n">
        <v>224.58</v>
      </c>
      <c r="N281" s="13" t="n">
        <v>4292</v>
      </c>
      <c r="O281" s="38" t="n">
        <v>5.23</v>
      </c>
      <c r="P281" s="39" t="inlineStr">
        <is>
          <t>Calm</t>
        </is>
      </c>
      <c r="Q281" s="13" t="n">
        <v>301</v>
      </c>
      <c r="R281" s="13" t="n">
        <v>730.66</v>
      </c>
      <c r="S281" s="13" t="n">
        <v>336.83</v>
      </c>
      <c r="T281" s="13" t="n">
        <v>11416.63</v>
      </c>
      <c r="U281" s="13" t="n">
        <v>724.1</v>
      </c>
      <c r="V281" s="13" t="n">
        <v>93.69</v>
      </c>
      <c r="W281" s="13" t="n">
        <v>1281.96</v>
      </c>
      <c r="X281" s="13" t="n">
        <v>1502.86</v>
      </c>
      <c r="Y281" s="13" t="n">
        <v>1477.66</v>
      </c>
      <c r="Z281" s="19" t="n"/>
      <c r="AA281" s="18" t="n"/>
      <c r="AB281" s="38" t="n">
        <v>20.03</v>
      </c>
      <c r="AC281" s="14">
        <f>IFERROR(AVERAGEIFS($E$16:$E$736,$W$16:$W$736,"&gt;="&amp;W281-$C$5,$W$16:$W$736,"&lt;="&amp;W281+$C$5,$B$16:$B$736,B281,$A$16:$A$736,"&lt;&gt;"&amp;A281),"")</f>
        <v/>
      </c>
      <c r="AD281" s="14">
        <f>IF(AND(ISNUMBER(E281),ISNUMBER(AC281)),E281-AC281,"")</f>
        <v/>
      </c>
    </row>
    <row r="282">
      <c r="A282" s="17" t="n">
        <v>46023</v>
      </c>
      <c r="B282" s="29">
        <f>MONTH(A282)</f>
        <v/>
      </c>
      <c r="C282" s="29">
        <f>IF(AND(ISNUMBER(W282),ISNUMBER($C$4),ABS(W282-$C$4)&lt;=$C$5,ABS(MOD(B282-$C$6+6,12)-6)&lt;=$C$7,OR($C$8="Any",P282=$C$8)),1,0)</f>
        <v/>
      </c>
      <c r="D282" s="29">
        <f>IF(C282=1,COUNTIF($C$16:C282,1),"")</f>
        <v/>
      </c>
      <c r="E282" s="18" t="n">
        <v>77.40000000000001</v>
      </c>
      <c r="F282" s="18" t="n">
        <v>96.26000000000001</v>
      </c>
      <c r="G282" s="18" t="n">
        <v>39.67</v>
      </c>
      <c r="H282" s="38" t="n">
        <v>-3.2</v>
      </c>
      <c r="I282" s="38" t="n">
        <v>-5.8</v>
      </c>
      <c r="J282" s="13" t="n">
        <v>11654</v>
      </c>
      <c r="K282" s="13" t="n">
        <v>11214.31</v>
      </c>
      <c r="L282" s="13" t="n">
        <v>234.25</v>
      </c>
      <c r="M282" s="13" t="n">
        <v>317.58</v>
      </c>
      <c r="N282" s="13" t="n">
        <v>4292</v>
      </c>
      <c r="O282" s="38" t="n">
        <v>7.4</v>
      </c>
      <c r="P282" s="39" t="inlineStr">
        <is>
          <t>Calm</t>
        </is>
      </c>
      <c r="Q282" s="13" t="n">
        <v>385</v>
      </c>
      <c r="R282" s="13" t="n">
        <v>731.67</v>
      </c>
      <c r="S282" s="13" t="n">
        <v>172.83</v>
      </c>
      <c r="T282" s="13" t="n">
        <v>11224.07</v>
      </c>
      <c r="U282" s="13" t="n">
        <v>752.14</v>
      </c>
      <c r="V282" s="13" t="n">
        <v>464.67</v>
      </c>
      <c r="W282" s="13" t="n">
        <v>1185.76</v>
      </c>
      <c r="X282" s="13" t="n">
        <v>1563.27</v>
      </c>
      <c r="Y282" s="13" t="n">
        <v>1378.08</v>
      </c>
      <c r="Z282" s="19" t="n"/>
      <c r="AA282" s="18" t="n"/>
      <c r="AB282" s="38" t="n">
        <v>18.85</v>
      </c>
      <c r="AC282" s="14">
        <f>IFERROR(AVERAGEIFS($E$16:$E$736,$W$16:$W$736,"&gt;="&amp;W282-$C$5,$W$16:$W$736,"&lt;="&amp;W282+$C$5,$B$16:$B$736,B282,$A$16:$A$736,"&lt;&gt;"&amp;A282),"")</f>
        <v/>
      </c>
      <c r="AD282" s="14">
        <f>IF(AND(ISNUMBER(E282),ISNUMBER(AC282)),E282-AC282,"")</f>
        <v/>
      </c>
    </row>
    <row r="283">
      <c r="A283" s="17" t="n">
        <v>46022</v>
      </c>
      <c r="B283" s="29">
        <f>MONTH(A283)</f>
        <v/>
      </c>
      <c r="C283" s="29">
        <f>IF(AND(ISNUMBER(W283),ISNUMBER($C$4),ABS(W283-$C$4)&lt;=$C$5,ABS(MOD(B283-$C$6+6,12)-6)&lt;=$C$7,OR($C$8="Any",P283=$C$8)),1,0)</f>
        <v/>
      </c>
      <c r="D283" s="29">
        <f>IF(C283=1,COUNTIF($C$16:C283,1),"")</f>
        <v/>
      </c>
      <c r="E283" s="18" t="n">
        <v>20.89</v>
      </c>
      <c r="F283" s="18" t="n">
        <v>19.99</v>
      </c>
      <c r="G283" s="18" t="n">
        <v>22.68</v>
      </c>
      <c r="H283" s="38" t="n">
        <v>0.7</v>
      </c>
      <c r="I283" s="38" t="n">
        <v>-2.32</v>
      </c>
      <c r="J283" s="13" t="n">
        <v>11902</v>
      </c>
      <c r="K283" s="13" t="n">
        <v>11430.06</v>
      </c>
      <c r="L283" s="13" t="n">
        <v>2239</v>
      </c>
      <c r="M283" s="13" t="n">
        <v>1946.21</v>
      </c>
      <c r="N283" s="13" t="n">
        <v>4292</v>
      </c>
      <c r="O283" s="38" t="n">
        <v>45.35</v>
      </c>
      <c r="P283" s="39" t="inlineStr">
        <is>
          <t>Windy</t>
        </is>
      </c>
      <c r="Q283" s="13" t="n">
        <v>579</v>
      </c>
      <c r="R283" s="13" t="n">
        <v>732.95</v>
      </c>
      <c r="S283" s="13" t="n">
        <v>-146.38</v>
      </c>
      <c r="T283" s="13" t="n">
        <v>11421.13</v>
      </c>
      <c r="U283" s="13" t="n">
        <v>758.91</v>
      </c>
      <c r="V283" s="13" t="n">
        <v>11.92</v>
      </c>
      <c r="W283" s="13" t="n">
        <v>2823.31</v>
      </c>
      <c r="X283" s="13" t="n">
        <v>3237.8</v>
      </c>
      <c r="Y283" s="13" t="n">
        <v>2984.67</v>
      </c>
      <c r="Z283" s="19" t="n"/>
      <c r="AA283" s="18" t="n"/>
      <c r="AB283" s="38" t="n">
        <v>32.81</v>
      </c>
      <c r="AC283" s="14">
        <f>IFERROR(AVERAGEIFS($E$16:$E$736,$W$16:$W$736,"&gt;="&amp;W283-$C$5,$W$16:$W$736,"&lt;="&amp;W283+$C$5,$B$16:$B$736,B283,$A$16:$A$736,"&lt;&gt;"&amp;A283),"")</f>
        <v/>
      </c>
      <c r="AD283" s="14">
        <f>IF(AND(ISNUMBER(E283),ISNUMBER(AC283)),E283-AC283,"")</f>
        <v/>
      </c>
    </row>
    <row r="284">
      <c r="A284" s="17" t="n">
        <v>46021</v>
      </c>
      <c r="B284" s="29">
        <f>MONTH(A284)</f>
        <v/>
      </c>
      <c r="C284" s="29">
        <f>IF(AND(ISNUMBER(W284),ISNUMBER($C$4),ABS(W284-$C$4)&lt;=$C$5,ABS(MOD(B284-$C$6+6,12)-6)&lt;=$C$7,OR($C$8="Any",P284=$C$8)),1,0)</f>
        <v/>
      </c>
      <c r="D284" s="29">
        <f>IF(C284=1,COUNTIF($C$16:C284,1),"")</f>
        <v/>
      </c>
      <c r="E284" s="18" t="n">
        <v>17.79</v>
      </c>
      <c r="F284" s="18" t="n">
        <v>18.38</v>
      </c>
      <c r="G284" s="18" t="n">
        <v>16.59</v>
      </c>
      <c r="H284" s="38" t="n">
        <v>1.77</v>
      </c>
      <c r="I284" s="38" t="n">
        <v>-0.48</v>
      </c>
      <c r="J284" s="13" t="n">
        <v>11991</v>
      </c>
      <c r="K284" s="13" t="n">
        <v>11507.94</v>
      </c>
      <c r="L284" s="13" t="n">
        <v>2899.69</v>
      </c>
      <c r="M284" s="13" t="n">
        <v>2862.38</v>
      </c>
      <c r="N284" s="13" t="n">
        <v>4292</v>
      </c>
      <c r="O284" s="38" t="n">
        <v>66.69</v>
      </c>
      <c r="P284" s="39" t="inlineStr">
        <is>
          <t>Windy</t>
        </is>
      </c>
      <c r="Q284" s="13" t="n">
        <v>753</v>
      </c>
      <c r="R284" s="13" t="n">
        <v>734.11</v>
      </c>
      <c r="S284" s="13" t="n">
        <v>-663.17</v>
      </c>
      <c r="T284" s="13" t="n">
        <v>11332.77</v>
      </c>
      <c r="U284" s="13" t="n">
        <v>750.12</v>
      </c>
      <c r="V284" s="13" t="n">
        <v>131.14</v>
      </c>
      <c r="W284" s="13" t="n">
        <v>2752.5</v>
      </c>
      <c r="X284" s="13" t="n">
        <v>3356.81</v>
      </c>
      <c r="Y284" s="13" t="n">
        <v>2954.83</v>
      </c>
      <c r="Z284" s="19" t="n"/>
      <c r="AA284" s="18" t="n"/>
      <c r="AB284" s="38" t="n">
        <v>35.51</v>
      </c>
      <c r="AC284" s="14">
        <f>IFERROR(AVERAGEIFS($E$16:$E$736,$W$16:$W$736,"&gt;="&amp;W284-$C$5,$W$16:$W$736,"&lt;="&amp;W284+$C$5,$B$16:$B$736,B284,$A$16:$A$736,"&lt;&gt;"&amp;A284),"")</f>
        <v/>
      </c>
      <c r="AD284" s="14">
        <f>IF(AND(ISNUMBER(E284),ISNUMBER(AC284)),E284-AC284,"")</f>
        <v/>
      </c>
    </row>
    <row r="285">
      <c r="A285" s="17" t="n">
        <v>46020</v>
      </c>
      <c r="B285" s="29">
        <f>MONTH(A285)</f>
        <v/>
      </c>
      <c r="C285" s="29">
        <f>IF(AND(ISNUMBER(W285),ISNUMBER($C$4),ABS(W285-$C$4)&lt;=$C$5,ABS(MOD(B285-$C$6+6,12)-6)&lt;=$C$7,OR($C$8="Any",P285=$C$8)),1,0)</f>
        <v/>
      </c>
      <c r="D285" s="29">
        <f>IF(C285=1,COUNTIF($C$16:C285,1),"")</f>
        <v/>
      </c>
      <c r="E285" s="18" t="n">
        <v>21.16</v>
      </c>
      <c r="F285" s="18" t="n">
        <v>22.23</v>
      </c>
      <c r="G285" s="18" t="n">
        <v>19.01</v>
      </c>
      <c r="H285" s="38" t="n">
        <v>0.57</v>
      </c>
      <c r="I285" s="38" t="n">
        <v>-1.73</v>
      </c>
      <c r="J285" s="13" t="n">
        <v>11844</v>
      </c>
      <c r="K285" s="13" t="n">
        <v>11388.56</v>
      </c>
      <c r="L285" s="13" t="n">
        <v>3020.38</v>
      </c>
      <c r="M285" s="13" t="n">
        <v>3047.58</v>
      </c>
      <c r="N285" s="13" t="n">
        <v>4292</v>
      </c>
      <c r="O285" s="38" t="n">
        <v>71.01000000000001</v>
      </c>
      <c r="P285" s="39" t="inlineStr">
        <is>
          <t>Windy</t>
        </is>
      </c>
      <c r="Q285" s="13" t="n">
        <v>587</v>
      </c>
      <c r="R285" s="13" t="n">
        <v>737.1799999999999</v>
      </c>
      <c r="S285" s="13" t="n">
        <v>-795.88</v>
      </c>
      <c r="T285" s="13" t="n">
        <v>11156.26</v>
      </c>
      <c r="U285" s="13" t="n">
        <v>731.11</v>
      </c>
      <c r="V285" s="13" t="n">
        <v>137.53</v>
      </c>
      <c r="W285" s="13" t="n">
        <v>2916.21</v>
      </c>
      <c r="X285" s="13" t="n">
        <v>3269.96</v>
      </c>
      <c r="Y285" s="13" t="n">
        <v>3152.72</v>
      </c>
      <c r="Z285" s="19" t="n"/>
      <c r="AA285" s="18" t="n"/>
      <c r="AB285" s="38" t="n">
        <v>44.54</v>
      </c>
      <c r="AC285" s="14">
        <f>IFERROR(AVERAGEIFS($E$16:$E$736,$W$16:$W$736,"&gt;="&amp;W285-$C$5,$W$16:$W$736,"&lt;="&amp;W285+$C$5,$B$16:$B$736,B285,$A$16:$A$736,"&lt;&gt;"&amp;A285),"")</f>
        <v/>
      </c>
      <c r="AD285" s="14">
        <f>IF(AND(ISNUMBER(E285),ISNUMBER(AC285)),E285-AC285,"")</f>
        <v/>
      </c>
    </row>
    <row r="286">
      <c r="A286" s="17" t="n">
        <v>46019</v>
      </c>
      <c r="B286" s="29">
        <f>MONTH(A286)</f>
        <v/>
      </c>
      <c r="C286" s="29">
        <f>IF(AND(ISNUMBER(W286),ISNUMBER($C$4),ABS(W286-$C$4)&lt;=$C$5,ABS(MOD(B286-$C$6+6,12)-6)&lt;=$C$7,OR($C$8="Any",P286=$C$8)),1,0)</f>
        <v/>
      </c>
      <c r="D286" s="29">
        <f>IF(C286=1,COUNTIF($C$16:C286,1),"")</f>
        <v/>
      </c>
      <c r="E286" s="18" t="n">
        <v>29.8</v>
      </c>
      <c r="F286" s="18" t="n">
        <v>24.08</v>
      </c>
      <c r="G286" s="18" t="n">
        <v>41.22</v>
      </c>
      <c r="H286" s="38" t="n">
        <v>-4.63</v>
      </c>
      <c r="I286" s="38" t="n">
        <v>-16.35</v>
      </c>
      <c r="J286" s="13" t="n">
        <v>12036</v>
      </c>
      <c r="K286" s="13" t="n">
        <v>11609.88</v>
      </c>
      <c r="L286" s="13" t="n">
        <v>2818.69</v>
      </c>
      <c r="M286" s="13" t="n">
        <v>2240.88</v>
      </c>
      <c r="N286" s="13" t="n">
        <v>4292</v>
      </c>
      <c r="O286" s="38" t="n">
        <v>52.21</v>
      </c>
      <c r="P286" s="39" t="inlineStr">
        <is>
          <t>Windy</t>
        </is>
      </c>
      <c r="Q286" s="13" t="n">
        <v>723</v>
      </c>
      <c r="R286" s="13" t="n">
        <v>734.9299999999999</v>
      </c>
      <c r="S286" s="13" t="n">
        <v>-312.33</v>
      </c>
      <c r="T286" s="13" t="n">
        <v>11115.76</v>
      </c>
      <c r="U286" s="13" t="n">
        <v>689.29</v>
      </c>
      <c r="V286" s="13" t="n">
        <v>405.35</v>
      </c>
      <c r="W286" s="13" t="n">
        <v>2399.69</v>
      </c>
      <c r="X286" s="13" t="n">
        <v>3119.75</v>
      </c>
      <c r="Y286" s="13" t="n">
        <v>2726.99</v>
      </c>
      <c r="Z286" s="19" t="n"/>
      <c r="AA286" s="18" t="n"/>
      <c r="AB286" s="38" t="n">
        <v>38.11</v>
      </c>
      <c r="AC286" s="14">
        <f>IFERROR(AVERAGEIFS($E$16:$E$736,$W$16:$W$736,"&gt;="&amp;W286-$C$5,$W$16:$W$736,"&lt;="&amp;W286+$C$5,$B$16:$B$736,B286,$A$16:$A$736,"&lt;&gt;"&amp;A286),"")</f>
        <v/>
      </c>
      <c r="AD286" s="14">
        <f>IF(AND(ISNUMBER(E286),ISNUMBER(AC286)),E286-AC286,"")</f>
        <v/>
      </c>
    </row>
    <row r="287">
      <c r="A287" s="17" t="n">
        <v>46018</v>
      </c>
      <c r="B287" s="29">
        <f>MONTH(A287)</f>
        <v/>
      </c>
      <c r="C287" s="29">
        <f>IF(AND(ISNUMBER(W287),ISNUMBER($C$4),ABS(W287-$C$4)&lt;=$C$5,ABS(MOD(B287-$C$6+6,12)-6)&lt;=$C$7,OR($C$8="Any",P287=$C$8)),1,0)</f>
        <v/>
      </c>
      <c r="D287" s="29">
        <f>IF(C287=1,COUNTIF($C$16:C287,1),"")</f>
        <v/>
      </c>
      <c r="E287" s="18" t="n">
        <v>23.25</v>
      </c>
      <c r="F287" s="18" t="n">
        <v>21.12</v>
      </c>
      <c r="G287" s="18" t="n">
        <v>27.51</v>
      </c>
      <c r="H287" s="38" t="n">
        <v>-14.27</v>
      </c>
      <c r="I287" s="38" t="n">
        <v>-20.33</v>
      </c>
      <c r="J287" s="13" t="n">
        <v>12331</v>
      </c>
      <c r="K287" s="13" t="n">
        <v>11887.94</v>
      </c>
      <c r="L287" s="13" t="n">
        <v>2453.31</v>
      </c>
      <c r="M287" s="13" t="n">
        <v>2146.54</v>
      </c>
      <c r="N287" s="13" t="n">
        <v>4292</v>
      </c>
      <c r="O287" s="38" t="n">
        <v>50.01</v>
      </c>
      <c r="P287" s="39" t="inlineStr">
        <is>
          <t>Windy</t>
        </is>
      </c>
      <c r="Q287" s="13" t="n">
        <v>547</v>
      </c>
      <c r="R287" s="13" t="n">
        <v>749.2</v>
      </c>
      <c r="S287" s="13" t="n">
        <v>22.96</v>
      </c>
      <c r="T287" s="13" t="n">
        <v>11346.28</v>
      </c>
      <c r="U287" s="13" t="n">
        <v>624.84</v>
      </c>
      <c r="V287" s="13" t="n">
        <v>30.52</v>
      </c>
      <c r="W287" s="13" t="n">
        <v>2324.65</v>
      </c>
      <c r="X287" s="13" t="n">
        <v>2960.97</v>
      </c>
      <c r="Y287" s="13" t="n">
        <v>2643.9</v>
      </c>
      <c r="Z287" s="19" t="n"/>
      <c r="AA287" s="18" t="n"/>
      <c r="AB287" s="38" t="n">
        <v>24.65</v>
      </c>
      <c r="AC287" s="14">
        <f>IFERROR(AVERAGEIFS($E$16:$E$736,$W$16:$W$736,"&gt;="&amp;W287-$C$5,$W$16:$W$736,"&lt;="&amp;W287+$C$5,$B$16:$B$736,B287,$A$16:$A$736,"&lt;&gt;"&amp;A287),"")</f>
        <v/>
      </c>
      <c r="AD287" s="14">
        <f>IF(AND(ISNUMBER(E287),ISNUMBER(AC287)),E287-AC287,"")</f>
        <v/>
      </c>
    </row>
    <row r="288">
      <c r="A288" s="17" t="n">
        <v>46017</v>
      </c>
      <c r="B288" s="29">
        <f>MONTH(A288)</f>
        <v/>
      </c>
      <c r="C288" s="29">
        <f>IF(AND(ISNUMBER(W288),ISNUMBER($C$4),ABS(W288-$C$4)&lt;=$C$5,ABS(MOD(B288-$C$6+6,12)-6)&lt;=$C$7,OR($C$8="Any",P288=$C$8)),1,0)</f>
        <v/>
      </c>
      <c r="D288" s="29">
        <f>IF(C288=1,COUNTIF($C$16:C288,1),"")</f>
        <v/>
      </c>
      <c r="E288" s="18" t="n">
        <v>53.96</v>
      </c>
      <c r="F288" s="18" t="n">
        <v>56.87</v>
      </c>
      <c r="G288" s="18" t="n">
        <v>48.14</v>
      </c>
      <c r="H288" s="38" t="n">
        <v>-9.43</v>
      </c>
      <c r="I288" s="38" t="n">
        <v>-11.28</v>
      </c>
      <c r="J288" s="13" t="n">
        <v>12080</v>
      </c>
      <c r="K288" s="13" t="n">
        <v>11722.06</v>
      </c>
      <c r="L288" s="13" t="n">
        <v>522.38</v>
      </c>
      <c r="M288" s="13" t="n">
        <v>532.17</v>
      </c>
      <c r="N288" s="13" t="n">
        <v>4292</v>
      </c>
      <c r="O288" s="38" t="n">
        <v>12.4</v>
      </c>
      <c r="P288" s="39" t="inlineStr">
        <is>
          <t>Calm</t>
        </is>
      </c>
      <c r="Q288" s="13" t="n">
        <v>146</v>
      </c>
      <c r="R288" s="13" t="n">
        <v>754.6</v>
      </c>
      <c r="S288" s="13" t="n">
        <v>243.79</v>
      </c>
      <c r="T288" s="13" t="n">
        <v>11265.84</v>
      </c>
      <c r="U288" s="13" t="n">
        <v>610.76</v>
      </c>
      <c r="V288" s="13" t="n">
        <v>24.13</v>
      </c>
      <c r="W288" s="13" t="n">
        <v>922.33</v>
      </c>
      <c r="X288" s="13" t="n">
        <v>1231.23</v>
      </c>
      <c r="Y288" s="13" t="n">
        <v>1254.42</v>
      </c>
      <c r="Z288" s="19" t="n"/>
      <c r="AA288" s="18" t="n"/>
      <c r="AB288" s="38" t="n">
        <v>19.08</v>
      </c>
      <c r="AC288" s="14">
        <f>IFERROR(AVERAGEIFS($E$16:$E$736,$W$16:$W$736,"&gt;="&amp;W288-$C$5,$W$16:$W$736,"&lt;="&amp;W288+$C$5,$B$16:$B$736,B288,$A$16:$A$736,"&lt;&gt;"&amp;A288),"")</f>
        <v/>
      </c>
      <c r="AD288" s="14">
        <f>IF(AND(ISNUMBER(E288),ISNUMBER(AC288)),E288-AC288,"")</f>
        <v/>
      </c>
    </row>
    <row r="289">
      <c r="A289" s="17" t="n">
        <v>46016</v>
      </c>
      <c r="B289" s="29">
        <f>MONTH(A289)</f>
        <v/>
      </c>
      <c r="C289" s="29">
        <f>IF(AND(ISNUMBER(W289),ISNUMBER($C$4),ABS(W289-$C$4)&lt;=$C$5,ABS(MOD(B289-$C$6+6,12)-6)&lt;=$C$7,OR($C$8="Any",P289=$C$8)),1,0)</f>
        <v/>
      </c>
      <c r="D289" s="29">
        <f>IF(C289=1,COUNTIF($C$16:C289,1),"")</f>
        <v/>
      </c>
      <c r="E289" s="18" t="n">
        <v>48.13</v>
      </c>
      <c r="F289" s="18" t="n">
        <v>46.28</v>
      </c>
      <c r="G289" s="18" t="n">
        <v>51.82</v>
      </c>
      <c r="H289" s="38" t="n">
        <v>-9.93</v>
      </c>
      <c r="I289" s="38" t="n">
        <v>-13.65</v>
      </c>
      <c r="J289" s="13" t="n">
        <v>12134</v>
      </c>
      <c r="K289" s="13" t="n">
        <v>11582.5</v>
      </c>
      <c r="L289" s="13" t="n">
        <v>553.25</v>
      </c>
      <c r="M289" s="13" t="n">
        <v>515.12</v>
      </c>
      <c r="N289" s="13" t="n">
        <v>4292</v>
      </c>
      <c r="O289" s="38" t="n">
        <v>12</v>
      </c>
      <c r="P289" s="39" t="inlineStr">
        <is>
          <t>Calm</t>
        </is>
      </c>
      <c r="Q289" s="13" t="n">
        <v>510</v>
      </c>
      <c r="R289" s="13" t="n">
        <v>753.47</v>
      </c>
      <c r="S289" s="13" t="n">
        <v>291.88</v>
      </c>
      <c r="T289" s="13" t="n">
        <v>11073.99</v>
      </c>
      <c r="U289" s="13" t="n">
        <v>609.4</v>
      </c>
      <c r="V289" s="13" t="n">
        <v>347.87</v>
      </c>
      <c r="W289" s="13" t="n">
        <v>623.63</v>
      </c>
      <c r="X289" s="13" t="n">
        <v>1382.85</v>
      </c>
      <c r="Y289" s="13" t="n">
        <v>959.4</v>
      </c>
      <c r="Z289" s="19" t="n"/>
      <c r="AA289" s="18" t="n"/>
      <c r="AB289" s="38" t="n">
        <v>17.85</v>
      </c>
      <c r="AC289" s="14">
        <f>IFERROR(AVERAGEIFS($E$16:$E$736,$W$16:$W$736,"&gt;="&amp;W289-$C$5,$W$16:$W$736,"&lt;="&amp;W289+$C$5,$B$16:$B$736,B289,$A$16:$A$736,"&lt;&gt;"&amp;A289),"")</f>
        <v/>
      </c>
      <c r="AD289" s="14">
        <f>IF(AND(ISNUMBER(E289),ISNUMBER(AC289)),E289-AC289,"")</f>
        <v/>
      </c>
    </row>
    <row r="290">
      <c r="A290" s="17" t="n">
        <v>46015</v>
      </c>
      <c r="B290" s="29">
        <f>MONTH(A290)</f>
        <v/>
      </c>
      <c r="C290" s="29">
        <f>IF(AND(ISNUMBER(W290),ISNUMBER($C$4),ABS(W290-$C$4)&lt;=$C$5,ABS(MOD(B290-$C$6+6,12)-6)&lt;=$C$7,OR($C$8="Any",P290=$C$8)),1,0)</f>
        <v/>
      </c>
      <c r="D290" s="29">
        <f>IF(C290=1,COUNTIF($C$16:C290,1),"")</f>
        <v/>
      </c>
      <c r="E290" s="18" t="n">
        <v>45.8</v>
      </c>
      <c r="F290" s="18" t="n">
        <v>47.59</v>
      </c>
      <c r="G290" s="18" t="n">
        <v>42.22</v>
      </c>
      <c r="H290" s="38" t="n">
        <v>-15.53</v>
      </c>
      <c r="I290" s="38" t="n">
        <v>-17.98</v>
      </c>
      <c r="J290" s="13" t="n">
        <v>12462</v>
      </c>
      <c r="K290" s="13" t="n">
        <v>12078.88</v>
      </c>
      <c r="L290" s="13" t="n">
        <v>804.5</v>
      </c>
      <c r="M290" s="13" t="n">
        <v>746.75</v>
      </c>
      <c r="N290" s="13" t="n">
        <v>4292</v>
      </c>
      <c r="O290" s="38" t="n">
        <v>17.4</v>
      </c>
      <c r="P290" s="39" t="inlineStr">
        <is>
          <t>Windy</t>
        </is>
      </c>
      <c r="Q290" s="13" t="n">
        <v>193</v>
      </c>
      <c r="R290" s="13" t="n">
        <v>752.3099999999999</v>
      </c>
      <c r="S290" s="13" t="n">
        <v>281.17</v>
      </c>
      <c r="T290" s="13" t="n">
        <v>11391.26</v>
      </c>
      <c r="U290" s="13" t="n">
        <v>682.9</v>
      </c>
      <c r="V290" s="13" t="n">
        <v>26.49</v>
      </c>
      <c r="W290" s="13" t="n">
        <v>1145.61</v>
      </c>
      <c r="X290" s="13" t="n">
        <v>1407.83</v>
      </c>
      <c r="Y290" s="13" t="n">
        <v>1390.25</v>
      </c>
      <c r="Z290" s="19" t="n"/>
      <c r="AA290" s="18" t="n"/>
      <c r="AB290" s="38" t="n">
        <v>9.949999999999999</v>
      </c>
      <c r="AC290" s="14">
        <f>IFERROR(AVERAGEIFS($E$16:$E$736,$W$16:$W$736,"&gt;="&amp;W290-$C$5,$W$16:$W$736,"&lt;="&amp;W290+$C$5,$B$16:$B$736,B290,$A$16:$A$736,"&lt;&gt;"&amp;A290),"")</f>
        <v/>
      </c>
      <c r="AD290" s="14">
        <f>IF(AND(ISNUMBER(E290),ISNUMBER(AC290)),E290-AC290,"")</f>
        <v/>
      </c>
    </row>
    <row r="291">
      <c r="A291" s="17" t="n">
        <v>46014</v>
      </c>
      <c r="B291" s="29">
        <f>MONTH(A291)</f>
        <v/>
      </c>
      <c r="C291" s="29">
        <f>IF(AND(ISNUMBER(W291),ISNUMBER($C$4),ABS(W291-$C$4)&lt;=$C$5,ABS(MOD(B291-$C$6+6,12)-6)&lt;=$C$7,OR($C$8="Any",P291=$C$8)),1,0)</f>
        <v/>
      </c>
      <c r="D291" s="29">
        <f>IF(C291=1,COUNTIF($C$16:C291,1),"")</f>
        <v/>
      </c>
      <c r="E291" s="18" t="n">
        <v>34.71</v>
      </c>
      <c r="F291" s="18" t="n">
        <v>43.49</v>
      </c>
      <c r="G291" s="18" t="n">
        <v>17.15</v>
      </c>
      <c r="H291" s="38" t="n">
        <v>-8.07</v>
      </c>
      <c r="I291" s="38" t="n">
        <v>-12.74</v>
      </c>
      <c r="J291" s="13" t="n">
        <v>12524</v>
      </c>
      <c r="K291" s="13" t="n">
        <v>12180.25</v>
      </c>
      <c r="L291" s="13" t="n">
        <v>1879.81</v>
      </c>
      <c r="M291" s="13" t="n">
        <v>2190</v>
      </c>
      <c r="N291" s="13" t="n">
        <v>4292</v>
      </c>
      <c r="O291" s="38" t="n">
        <v>51.03</v>
      </c>
      <c r="P291" s="39" t="inlineStr">
        <is>
          <t>Windy</t>
        </is>
      </c>
      <c r="Q291" s="13" t="n">
        <v>763</v>
      </c>
      <c r="R291" s="13" t="n">
        <v>752.73</v>
      </c>
      <c r="S291" s="13" t="n">
        <v>-62.96</v>
      </c>
      <c r="T291" s="13" t="n">
        <v>11192.58</v>
      </c>
      <c r="U291" s="13" t="n">
        <v>698.33</v>
      </c>
      <c r="V291" s="13" t="n">
        <v>300.18</v>
      </c>
      <c r="W291" s="13" t="n">
        <v>937.13</v>
      </c>
      <c r="X291" s="13" t="n">
        <v>2141.43</v>
      </c>
      <c r="Y291" s="13" t="n">
        <v>1187.52</v>
      </c>
      <c r="Z291" s="19" t="n"/>
      <c r="AA291" s="18" t="n"/>
      <c r="AB291" s="38" t="n">
        <v>18.97</v>
      </c>
      <c r="AC291" s="14">
        <f>IFERROR(AVERAGEIFS($E$16:$E$736,$W$16:$W$736,"&gt;="&amp;W291-$C$5,$W$16:$W$736,"&lt;="&amp;W291+$C$5,$B$16:$B$736,B291,$A$16:$A$736,"&lt;&gt;"&amp;A291),"")</f>
        <v/>
      </c>
      <c r="AD291" s="14">
        <f>IF(AND(ISNUMBER(E291),ISNUMBER(AC291)),E291-AC291,"")</f>
        <v/>
      </c>
    </row>
    <row r="292">
      <c r="A292" s="17" t="n">
        <v>46013</v>
      </c>
      <c r="B292" s="29">
        <f>MONTH(A292)</f>
        <v/>
      </c>
      <c r="C292" s="29">
        <f>IF(AND(ISNUMBER(W292),ISNUMBER($C$4),ABS(W292-$C$4)&lt;=$C$5,ABS(MOD(B292-$C$6+6,12)-6)&lt;=$C$7,OR($C$8="Any",P292=$C$8)),1,0)</f>
        <v/>
      </c>
      <c r="D292" s="29">
        <f>IF(C292=1,COUNTIF($C$16:C292,1),"")</f>
        <v/>
      </c>
      <c r="E292" s="18" t="n">
        <v>152.3</v>
      </c>
      <c r="F292" s="18" t="n">
        <v>200.76</v>
      </c>
      <c r="G292" s="18" t="n">
        <v>55.4</v>
      </c>
      <c r="H292" s="38" t="n">
        <v>-17.33</v>
      </c>
      <c r="I292" s="38" t="n">
        <v>-19.6</v>
      </c>
      <c r="J292" s="13" t="n">
        <v>12489</v>
      </c>
      <c r="K292" s="13" t="n">
        <v>12287.94</v>
      </c>
      <c r="L292" s="13" t="n">
        <v>490.31</v>
      </c>
      <c r="M292" s="13" t="n">
        <v>422.62</v>
      </c>
      <c r="N292" s="13" t="n">
        <v>4292</v>
      </c>
      <c r="O292" s="38" t="n">
        <v>9.85</v>
      </c>
      <c r="P292" s="39" t="inlineStr">
        <is>
          <t>Calm</t>
        </is>
      </c>
      <c r="Q292" s="13" t="n">
        <v>496</v>
      </c>
      <c r="R292" s="13" t="n">
        <v>745.42</v>
      </c>
      <c r="S292" s="13" t="n">
        <v>377.71</v>
      </c>
      <c r="T292" s="13" t="n">
        <v>11382.1</v>
      </c>
      <c r="U292" s="13" t="n">
        <v>699.8099999999999</v>
      </c>
      <c r="V292" s="13" t="n">
        <v>409.32</v>
      </c>
      <c r="W292" s="13" t="n">
        <v>138.41</v>
      </c>
      <c r="X292" s="13" t="n">
        <v>1085.04</v>
      </c>
      <c r="Y292" s="13" t="n">
        <v>357.72</v>
      </c>
      <c r="Z292" s="19" t="n"/>
      <c r="AA292" s="18" t="n"/>
      <c r="AB292" s="38" t="n">
        <v>12.3</v>
      </c>
      <c r="AC292" s="14">
        <f>IFERROR(AVERAGEIFS($E$16:$E$736,$W$16:$W$736,"&gt;="&amp;W292-$C$5,$W$16:$W$736,"&lt;="&amp;W292+$C$5,$B$16:$B$736,B292,$A$16:$A$736,"&lt;&gt;"&amp;A292),"")</f>
        <v/>
      </c>
      <c r="AD292" s="14">
        <f>IF(AND(ISNUMBER(E292),ISNUMBER(AC292)),E292-AC292,"")</f>
        <v/>
      </c>
    </row>
    <row r="293">
      <c r="A293" s="17" t="n">
        <v>46012</v>
      </c>
      <c r="B293" s="29">
        <f>MONTH(A293)</f>
        <v/>
      </c>
      <c r="C293" s="29">
        <f>IF(AND(ISNUMBER(W293),ISNUMBER($C$4),ABS(W293-$C$4)&lt;=$C$5,ABS(MOD(B293-$C$6+6,12)-6)&lt;=$C$7,OR($C$8="Any",P293=$C$8)),1,0)</f>
        <v/>
      </c>
      <c r="D293" s="29">
        <f>IF(C293=1,COUNTIF($C$16:C293,1),"")</f>
        <v/>
      </c>
      <c r="E293" s="18" t="n">
        <v>107.28</v>
      </c>
      <c r="F293" s="18" t="n">
        <v>152.24</v>
      </c>
      <c r="G293" s="18" t="n">
        <v>17.38</v>
      </c>
      <c r="H293" s="38" t="n">
        <v>-9.300000000000001</v>
      </c>
      <c r="I293" s="38" t="n">
        <v>-13.47</v>
      </c>
      <c r="J293" s="13" t="n">
        <v>12335</v>
      </c>
      <c r="K293" s="13" t="n">
        <v>11849.38</v>
      </c>
      <c r="L293" s="13" t="n">
        <v>612.25</v>
      </c>
      <c r="M293" s="13" t="n">
        <v>1281.62</v>
      </c>
      <c r="N293" s="13" t="n">
        <v>4292</v>
      </c>
      <c r="O293" s="38" t="n">
        <v>29.86</v>
      </c>
      <c r="P293" s="39" t="inlineStr">
        <is>
          <t>Windy</t>
        </is>
      </c>
      <c r="Q293" s="13" t="n">
        <v>620</v>
      </c>
      <c r="R293" s="13" t="n">
        <v>752.58</v>
      </c>
      <c r="S293" s="13" t="n">
        <v>-52.79</v>
      </c>
      <c r="T293" s="13" t="n">
        <v>11468.04</v>
      </c>
      <c r="U293" s="13" t="n">
        <v>702.88</v>
      </c>
      <c r="V293" s="13" t="n">
        <v>45.84</v>
      </c>
      <c r="W293" s="13" t="n">
        <v>837.38</v>
      </c>
      <c r="X293" s="13" t="n">
        <v>1647.64</v>
      </c>
      <c r="Y293" s="13" t="n">
        <v>1111.33</v>
      </c>
      <c r="Z293" s="19" t="n"/>
      <c r="AA293" s="18" t="n"/>
      <c r="AB293" s="38" t="n">
        <v>14.26</v>
      </c>
      <c r="AC293" s="14">
        <f>IFERROR(AVERAGEIFS($E$16:$E$736,$W$16:$W$736,"&gt;="&amp;W293-$C$5,$W$16:$W$736,"&lt;="&amp;W293+$C$5,$B$16:$B$736,B293,$A$16:$A$736,"&lt;&gt;"&amp;A293),"")</f>
        <v/>
      </c>
      <c r="AD293" s="14">
        <f>IF(AND(ISNUMBER(E293),ISNUMBER(AC293)),E293-AC293,"")</f>
        <v/>
      </c>
    </row>
    <row r="294">
      <c r="A294" s="17" t="n">
        <v>46011</v>
      </c>
      <c r="B294" s="29">
        <f>MONTH(A294)</f>
        <v/>
      </c>
      <c r="C294" s="29">
        <f>IF(AND(ISNUMBER(W294),ISNUMBER($C$4),ABS(W294-$C$4)&lt;=$C$5,ABS(MOD(B294-$C$6+6,12)-6)&lt;=$C$7,OR($C$8="Any",P294=$C$8)),1,0)</f>
        <v/>
      </c>
      <c r="D294" s="29">
        <f>IF(C294=1,COUNTIF($C$16:C294,1),"")</f>
        <v/>
      </c>
      <c r="E294" s="18" t="n">
        <v>38.77</v>
      </c>
      <c r="F294" s="18" t="n">
        <v>36.97</v>
      </c>
      <c r="G294" s="18" t="n">
        <v>42.35</v>
      </c>
      <c r="H294" s="38" t="n">
        <v>-10.87</v>
      </c>
      <c r="I294" s="38" t="n">
        <v>-18.22</v>
      </c>
      <c r="J294" s="13" t="n">
        <v>12296</v>
      </c>
      <c r="K294" s="13" t="n">
        <v>11887.31</v>
      </c>
      <c r="L294" s="13" t="n">
        <v>1836.94</v>
      </c>
      <c r="M294" s="13" t="n">
        <v>1600.29</v>
      </c>
      <c r="N294" s="13" t="n">
        <v>4292</v>
      </c>
      <c r="O294" s="38" t="n">
        <v>37.29</v>
      </c>
      <c r="P294" s="39" t="inlineStr">
        <is>
          <t>Windy</t>
        </is>
      </c>
      <c r="Q294" s="13" t="n">
        <v>862</v>
      </c>
      <c r="R294" s="13" t="n">
        <v>766.1</v>
      </c>
      <c r="S294" s="13" t="n">
        <v>-93.42</v>
      </c>
      <c r="T294" s="13" t="n">
        <v>11381.25</v>
      </c>
      <c r="U294" s="13" t="n">
        <v>724.16</v>
      </c>
      <c r="V294" s="13" t="n">
        <v>67.56</v>
      </c>
      <c r="W294" s="13" t="n">
        <v>1378.54</v>
      </c>
      <c r="X294" s="13" t="n">
        <v>2486.58</v>
      </c>
      <c r="Y294" s="13" t="n">
        <v>1646.29</v>
      </c>
      <c r="Z294" s="19" t="n"/>
      <c r="AA294" s="18" t="n"/>
      <c r="AB294" s="38" t="n">
        <v>22.37</v>
      </c>
      <c r="AC294" s="14">
        <f>IFERROR(AVERAGEIFS($E$16:$E$736,$W$16:$W$736,"&gt;="&amp;W294-$C$5,$W$16:$W$736,"&lt;="&amp;W294+$C$5,$B$16:$B$736,B294,$A$16:$A$736,"&lt;&gt;"&amp;A294),"")</f>
        <v/>
      </c>
      <c r="AD294" s="14">
        <f>IF(AND(ISNUMBER(E294),ISNUMBER(AC294)),E294-AC294,"")</f>
        <v/>
      </c>
    </row>
    <row r="295">
      <c r="A295" s="17" t="n">
        <v>46010</v>
      </c>
      <c r="B295" s="29">
        <f>MONTH(A295)</f>
        <v/>
      </c>
      <c r="C295" s="29">
        <f>IF(AND(ISNUMBER(W295),ISNUMBER($C$4),ABS(W295-$C$4)&lt;=$C$5,ABS(MOD(B295-$C$6+6,12)-6)&lt;=$C$7,OR($C$8="Any",P295=$C$8)),1,0)</f>
        <v/>
      </c>
      <c r="D295" s="29">
        <f>IF(C295=1,COUNTIF($C$16:C295,1),"")</f>
        <v/>
      </c>
      <c r="E295" s="18" t="n">
        <v>21.04</v>
      </c>
      <c r="F295" s="18" t="n">
        <v>29.56</v>
      </c>
      <c r="G295" s="18" t="n">
        <v>3.99</v>
      </c>
      <c r="H295" s="38" t="n">
        <v>-6.37</v>
      </c>
      <c r="I295" s="38" t="n">
        <v>-13.58</v>
      </c>
      <c r="J295" s="13" t="n">
        <v>12680</v>
      </c>
      <c r="K295" s="13" t="n">
        <v>12302.94</v>
      </c>
      <c r="L295" s="13" t="n">
        <v>2536.06</v>
      </c>
      <c r="M295" s="13" t="n">
        <v>2850.83</v>
      </c>
      <c r="N295" s="13" t="n">
        <v>4292</v>
      </c>
      <c r="O295" s="38" t="n">
        <v>66.42</v>
      </c>
      <c r="P295" s="39" t="inlineStr">
        <is>
          <t>Windy</t>
        </is>
      </c>
      <c r="Q295" s="13" t="n">
        <v>769</v>
      </c>
      <c r="R295" s="13" t="n">
        <v>765.8</v>
      </c>
      <c r="S295" s="13" t="n">
        <v>-525.71</v>
      </c>
      <c r="T295" s="13" t="n">
        <v>11388.71</v>
      </c>
      <c r="U295" s="13" t="n">
        <v>701.1</v>
      </c>
      <c r="V295" s="13" t="n">
        <v>113.4</v>
      </c>
      <c r="W295" s="13" t="n">
        <v>1698.97</v>
      </c>
      <c r="X295" s="13" t="n">
        <v>2456.61</v>
      </c>
      <c r="Y295" s="13" t="n">
        <v>1932.66</v>
      </c>
      <c r="Z295" s="19" t="n"/>
      <c r="AA295" s="18" t="n"/>
      <c r="AB295" s="38" t="n">
        <v>25.91</v>
      </c>
      <c r="AC295" s="14">
        <f>IFERROR(AVERAGEIFS($E$16:$E$736,$W$16:$W$736,"&gt;="&amp;W295-$C$5,$W$16:$W$736,"&lt;="&amp;W295+$C$5,$B$16:$B$736,B295,$A$16:$A$736,"&lt;&gt;"&amp;A295),"")</f>
        <v/>
      </c>
      <c r="AD295" s="14">
        <f>IF(AND(ISNUMBER(E295),ISNUMBER(AC295)),E295-AC295,"")</f>
        <v/>
      </c>
    </row>
    <row r="296">
      <c r="A296" s="17" t="n">
        <v>46009</v>
      </c>
      <c r="B296" s="29">
        <f>MONTH(A296)</f>
        <v/>
      </c>
      <c r="C296" s="29">
        <f>IF(AND(ISNUMBER(W296),ISNUMBER($C$4),ABS(W296-$C$4)&lt;=$C$5,ABS(MOD(B296-$C$6+6,12)-6)&lt;=$C$7,OR($C$8="Any",P296=$C$8)),1,0)</f>
        <v/>
      </c>
      <c r="D296" s="29">
        <f>IF(C296=1,COUNTIF($C$16:C296,1),"")</f>
        <v/>
      </c>
      <c r="E296" s="18" t="n">
        <v>25.35</v>
      </c>
      <c r="F296" s="18" t="n">
        <v>20.1</v>
      </c>
      <c r="G296" s="18" t="n">
        <v>35.86</v>
      </c>
      <c r="H296" s="38" t="n">
        <v>-5.53</v>
      </c>
      <c r="I296" s="38" t="n">
        <v>-9.789999999999999</v>
      </c>
      <c r="J296" s="13" t="n">
        <v>12564</v>
      </c>
      <c r="K296" s="13" t="n">
        <v>12192.94</v>
      </c>
      <c r="L296" s="13" t="n">
        <v>3558.5</v>
      </c>
      <c r="M296" s="13" t="n">
        <v>3053.62</v>
      </c>
      <c r="N296" s="13" t="n">
        <v>4292</v>
      </c>
      <c r="O296" s="38" t="n">
        <v>71.15000000000001</v>
      </c>
      <c r="P296" s="39" t="inlineStr">
        <is>
          <t>Windy</t>
        </is>
      </c>
      <c r="Q296" s="13" t="n">
        <v>426</v>
      </c>
      <c r="R296" s="13" t="n">
        <v>755.38</v>
      </c>
      <c r="S296" s="13" t="n">
        <v>-452</v>
      </c>
      <c r="T296" s="13" t="n">
        <v>11346.6</v>
      </c>
      <c r="U296" s="13" t="n">
        <v>713.46</v>
      </c>
      <c r="V296" s="13" t="n">
        <v>33.35</v>
      </c>
      <c r="W296" s="13" t="n">
        <v>2789.49</v>
      </c>
      <c r="X296" s="13" t="n">
        <v>3182.65</v>
      </c>
      <c r="Y296" s="13" t="n">
        <v>2986.47</v>
      </c>
      <c r="Z296" s="19" t="n"/>
      <c r="AA296" s="18" t="n"/>
      <c r="AB296" s="38" t="n">
        <v>24.26</v>
      </c>
      <c r="AC296" s="14">
        <f>IFERROR(AVERAGEIFS($E$16:$E$736,$W$16:$W$736,"&gt;="&amp;W296-$C$5,$W$16:$W$736,"&lt;="&amp;W296+$C$5,$B$16:$B$736,B296,$A$16:$A$736,"&lt;&gt;"&amp;A296),"")</f>
        <v/>
      </c>
      <c r="AD296" s="14">
        <f>IF(AND(ISNUMBER(E296),ISNUMBER(AC296)),E296-AC296,"")</f>
        <v/>
      </c>
    </row>
    <row r="297">
      <c r="A297" s="17" t="n">
        <v>46008</v>
      </c>
      <c r="B297" s="29">
        <f>MONTH(A297)</f>
        <v/>
      </c>
      <c r="C297" s="29">
        <f>IF(AND(ISNUMBER(W297),ISNUMBER($C$4),ABS(W297-$C$4)&lt;=$C$5,ABS(MOD(B297-$C$6+6,12)-6)&lt;=$C$7,OR($C$8="Any",P297=$C$8)),1,0)</f>
        <v/>
      </c>
      <c r="D297" s="29">
        <f>IF(C297=1,COUNTIF($C$16:C297,1),"")</f>
        <v/>
      </c>
      <c r="E297" s="18" t="n">
        <v>24.7</v>
      </c>
      <c r="F297" s="18" t="n">
        <v>26.75</v>
      </c>
      <c r="G297" s="18" t="n">
        <v>20.6</v>
      </c>
      <c r="H297" s="38" t="n">
        <v>-3.4</v>
      </c>
      <c r="I297" s="38" t="n">
        <v>-7.85</v>
      </c>
      <c r="J297" s="13" t="n">
        <v>12725</v>
      </c>
      <c r="K297" s="13" t="n">
        <v>12212.06</v>
      </c>
      <c r="L297" s="13" t="n">
        <v>2843.88</v>
      </c>
      <c r="M297" s="13" t="n">
        <v>2732</v>
      </c>
      <c r="N297" s="13" t="n">
        <v>4292</v>
      </c>
      <c r="O297" s="38" t="n">
        <v>63.65</v>
      </c>
      <c r="P297" s="39" t="inlineStr">
        <is>
          <t>Windy</t>
        </is>
      </c>
      <c r="Q297" s="13" t="n">
        <v>142</v>
      </c>
      <c r="R297" s="13" t="n">
        <v>762.2</v>
      </c>
      <c r="S297" s="13" t="n">
        <v>-81.54000000000001</v>
      </c>
      <c r="T297" s="13" t="n">
        <v>11314.93</v>
      </c>
      <c r="U297" s="13" t="n">
        <v>725.09</v>
      </c>
      <c r="V297" s="13" t="n">
        <v>284.46</v>
      </c>
      <c r="W297" s="13" t="n">
        <v>1573.21</v>
      </c>
      <c r="X297" s="13" t="n">
        <v>2911.24</v>
      </c>
      <c r="Y297" s="13" t="n">
        <v>1827.19</v>
      </c>
      <c r="Z297" s="19" t="n"/>
      <c r="AA297" s="18" t="n"/>
      <c r="AB297" s="38" t="n">
        <v>34.23</v>
      </c>
      <c r="AC297" s="14">
        <f>IFERROR(AVERAGEIFS($E$16:$E$736,$W$16:$W$736,"&gt;="&amp;W297-$C$5,$W$16:$W$736,"&lt;="&amp;W297+$C$5,$B$16:$B$736,B297,$A$16:$A$736,"&lt;&gt;"&amp;A297),"")</f>
        <v/>
      </c>
      <c r="AD297" s="14">
        <f>IF(AND(ISNUMBER(E297),ISNUMBER(AC297)),E297-AC297,"")</f>
        <v/>
      </c>
    </row>
    <row r="298">
      <c r="A298" s="17" t="n">
        <v>46007</v>
      </c>
      <c r="B298" s="29">
        <f>MONTH(A298)</f>
        <v/>
      </c>
      <c r="C298" s="29">
        <f>IF(AND(ISNUMBER(W298),ISNUMBER($C$4),ABS(W298-$C$4)&lt;=$C$5,ABS(MOD(B298-$C$6+6,12)-6)&lt;=$C$7,OR($C$8="Any",P298=$C$8)),1,0)</f>
        <v/>
      </c>
      <c r="D298" s="29">
        <f>IF(C298=1,COUNTIF($C$16:C298,1),"")</f>
        <v/>
      </c>
      <c r="E298" s="18" t="n">
        <v>20.95</v>
      </c>
      <c r="F298" s="18" t="n">
        <v>26.04</v>
      </c>
      <c r="G298" s="18" t="n">
        <v>10.78</v>
      </c>
      <c r="H298" s="38" t="n">
        <v>0.63</v>
      </c>
      <c r="I298" s="38" t="n">
        <v>-3.6</v>
      </c>
      <c r="J298" s="13" t="n">
        <v>12314</v>
      </c>
      <c r="K298" s="13" t="n">
        <v>11842.56</v>
      </c>
      <c r="L298" s="13" t="n">
        <v>2803.38</v>
      </c>
      <c r="M298" s="13" t="n">
        <v>2834.17</v>
      </c>
      <c r="N298" s="13" t="n">
        <v>4292</v>
      </c>
      <c r="O298" s="38" t="n">
        <v>66.03</v>
      </c>
      <c r="P298" s="39" t="inlineStr">
        <is>
          <t>Windy</t>
        </is>
      </c>
      <c r="Q298" s="13" t="n">
        <v>754</v>
      </c>
      <c r="R298" s="13" t="n">
        <v>770.52</v>
      </c>
      <c r="S298" s="13" t="n">
        <v>-132.92</v>
      </c>
      <c r="T298" s="13" t="n">
        <v>10846.94</v>
      </c>
      <c r="U298" s="13" t="n">
        <v>687.6900000000001</v>
      </c>
      <c r="V298" s="13" t="n">
        <v>311.82</v>
      </c>
      <c r="W298" s="13" t="n">
        <v>1664.63</v>
      </c>
      <c r="X298" s="13" t="n">
        <v>2851.43</v>
      </c>
      <c r="Y298" s="13" t="n">
        <v>1886.01</v>
      </c>
      <c r="Z298" s="19" t="n"/>
      <c r="AA298" s="18" t="n"/>
      <c r="AB298" s="38" t="n">
        <v>26.04</v>
      </c>
      <c r="AC298" s="14">
        <f>IFERROR(AVERAGEIFS($E$16:$E$736,$W$16:$W$736,"&gt;="&amp;W298-$C$5,$W$16:$W$736,"&lt;="&amp;W298+$C$5,$B$16:$B$736,B298,$A$16:$A$736,"&lt;&gt;"&amp;A298),"")</f>
        <v/>
      </c>
      <c r="AD298" s="14">
        <f>IF(AND(ISNUMBER(E298),ISNUMBER(AC298)),E298-AC298,"")</f>
        <v/>
      </c>
    </row>
    <row r="299">
      <c r="A299" s="17" t="n">
        <v>46006</v>
      </c>
      <c r="B299" s="29">
        <f>MONTH(A299)</f>
        <v/>
      </c>
      <c r="C299" s="29">
        <f>IF(AND(ISNUMBER(W299),ISNUMBER($C$4),ABS(W299-$C$4)&lt;=$C$5,ABS(MOD(B299-$C$6+6,12)-6)&lt;=$C$7,OR($C$8="Any",P299=$C$8)),1,0)</f>
        <v/>
      </c>
      <c r="D299" s="29">
        <f>IF(C299=1,COUNTIF($C$16:C299,1),"")</f>
        <v/>
      </c>
      <c r="E299" s="18" t="n">
        <v>7.14</v>
      </c>
      <c r="F299" s="18" t="n">
        <v>6.8</v>
      </c>
      <c r="G299" s="18" t="n">
        <v>7.82</v>
      </c>
      <c r="H299" s="38" t="n">
        <v>6.8</v>
      </c>
      <c r="I299" s="38" t="n">
        <v>2.85</v>
      </c>
      <c r="J299" s="13" t="n">
        <v>12233</v>
      </c>
      <c r="K299" s="13" t="n">
        <v>11783.06</v>
      </c>
      <c r="L299" s="13" t="n">
        <v>3794.69</v>
      </c>
      <c r="M299" s="13" t="n">
        <v>3581.92</v>
      </c>
      <c r="N299" s="13" t="n">
        <v>4292</v>
      </c>
      <c r="O299" s="38" t="n">
        <v>83.45999999999999</v>
      </c>
      <c r="P299" s="39" t="inlineStr">
        <is>
          <t>Windy</t>
        </is>
      </c>
      <c r="Q299" s="13" t="n">
        <v>496</v>
      </c>
      <c r="R299" s="13" t="n">
        <v>769.66</v>
      </c>
      <c r="S299" s="13" t="n">
        <v>-253</v>
      </c>
      <c r="T299" s="13" t="n">
        <v>10841.76</v>
      </c>
      <c r="U299" s="13" t="n">
        <v>702.95</v>
      </c>
      <c r="V299" s="13" t="n">
        <v>317.03</v>
      </c>
      <c r="W299" s="13" t="n">
        <v>2884.72</v>
      </c>
      <c r="X299" s="13" t="n">
        <v>3668.42</v>
      </c>
      <c r="Y299" s="13" t="n">
        <v>3069.15</v>
      </c>
      <c r="Z299" s="19" t="n"/>
      <c r="AA299" s="18" t="n"/>
      <c r="AB299" s="38" t="n">
        <v>43.73</v>
      </c>
      <c r="AC299" s="14">
        <f>IFERROR(AVERAGEIFS($E$16:$E$736,$W$16:$W$736,"&gt;="&amp;W299-$C$5,$W$16:$W$736,"&lt;="&amp;W299+$C$5,$B$16:$B$736,B299,$A$16:$A$736,"&lt;&gt;"&amp;A299),"")</f>
        <v/>
      </c>
      <c r="AD299" s="14">
        <f>IF(AND(ISNUMBER(E299),ISNUMBER(AC299)),E299-AC299,"")</f>
        <v/>
      </c>
    </row>
    <row r="300">
      <c r="A300" s="17" t="n">
        <v>46005</v>
      </c>
      <c r="B300" s="29">
        <f>MONTH(A300)</f>
        <v/>
      </c>
      <c r="C300" s="29">
        <f>IF(AND(ISNUMBER(W300),ISNUMBER($C$4),ABS(W300-$C$4)&lt;=$C$5,ABS(MOD(B300-$C$6+6,12)-6)&lt;=$C$7,OR($C$8="Any",P300=$C$8)),1,0)</f>
        <v/>
      </c>
      <c r="D300" s="29">
        <f>IF(C300=1,COUNTIF($C$16:C300,1),"")</f>
        <v/>
      </c>
      <c r="E300" s="18" t="n">
        <v>19.87</v>
      </c>
      <c r="F300" s="18" t="n">
        <v>19.69</v>
      </c>
      <c r="G300" s="18" t="n">
        <v>20.22</v>
      </c>
      <c r="H300" s="38" t="n">
        <v>1.93</v>
      </c>
      <c r="I300" s="38" t="n">
        <v>-0.83</v>
      </c>
      <c r="J300" s="13" t="n">
        <v>12072</v>
      </c>
      <c r="K300" s="13" t="n">
        <v>11492.06</v>
      </c>
      <c r="L300" s="13" t="n">
        <v>3156.19</v>
      </c>
      <c r="M300" s="13" t="n">
        <v>3068.79</v>
      </c>
      <c r="N300" s="13" t="n">
        <v>4292</v>
      </c>
      <c r="O300" s="38" t="n">
        <v>71.5</v>
      </c>
      <c r="P300" s="39" t="inlineStr">
        <is>
          <t>Windy</t>
        </is>
      </c>
      <c r="Q300" s="13" t="n">
        <v>350</v>
      </c>
      <c r="R300" s="13" t="n">
        <v>767.41</v>
      </c>
      <c r="S300" s="13" t="n">
        <v>-228.75</v>
      </c>
      <c r="T300" s="13" t="n">
        <v>11271.67</v>
      </c>
      <c r="U300" s="13" t="n">
        <v>722.5</v>
      </c>
      <c r="V300" s="13" t="n">
        <v>254.34</v>
      </c>
      <c r="W300" s="13" t="n">
        <v>3049.66</v>
      </c>
      <c r="X300" s="13" t="n">
        <v>3749.93</v>
      </c>
      <c r="Y300" s="13" t="n">
        <v>3267.2</v>
      </c>
      <c r="Z300" s="19" t="n"/>
      <c r="AA300" s="18" t="n"/>
      <c r="AB300" s="38" t="n">
        <v>30.42</v>
      </c>
      <c r="AC300" s="14">
        <f>IFERROR(AVERAGEIFS($E$16:$E$736,$W$16:$W$736,"&gt;="&amp;W300-$C$5,$W$16:$W$736,"&lt;="&amp;W300+$C$5,$B$16:$B$736,B300,$A$16:$A$736,"&lt;&gt;"&amp;A300),"")</f>
        <v/>
      </c>
      <c r="AD300" s="14">
        <f>IF(AND(ISNUMBER(E300),ISNUMBER(AC300)),E300-AC300,"")</f>
        <v/>
      </c>
    </row>
    <row r="301">
      <c r="A301" s="17" t="n">
        <v>46004</v>
      </c>
      <c r="B301" s="29">
        <f>MONTH(A301)</f>
        <v/>
      </c>
      <c r="C301" s="29">
        <f>IF(AND(ISNUMBER(W301),ISNUMBER($C$4),ABS(W301-$C$4)&lt;=$C$5,ABS(MOD(B301-$C$6+6,12)-6)&lt;=$C$7,OR($C$8="Any",P301=$C$8)),1,0)</f>
        <v/>
      </c>
      <c r="D301" s="29">
        <f>IF(C301=1,COUNTIF($C$16:C301,1),"")</f>
        <v/>
      </c>
      <c r="E301" s="18" t="n">
        <v>46.35</v>
      </c>
      <c r="F301" s="18" t="n">
        <v>39.15</v>
      </c>
      <c r="G301" s="18" t="n">
        <v>60.76</v>
      </c>
      <c r="H301" s="38" t="n">
        <v>-2.5</v>
      </c>
      <c r="I301" s="38" t="n">
        <v>-14</v>
      </c>
      <c r="J301" s="13" t="n">
        <v>12210</v>
      </c>
      <c r="K301" s="13" t="n">
        <v>11694.88</v>
      </c>
      <c r="L301" s="13" t="n">
        <v>2516.75</v>
      </c>
      <c r="M301" s="13" t="n">
        <v>1886.5</v>
      </c>
      <c r="N301" s="13" t="n">
        <v>4292</v>
      </c>
      <c r="O301" s="38" t="n">
        <v>43.95</v>
      </c>
      <c r="P301" s="39" t="inlineStr">
        <is>
          <t>Windy</t>
        </is>
      </c>
      <c r="Q301" s="13" t="n">
        <v>229</v>
      </c>
      <c r="R301" s="13" t="n">
        <v>768.27</v>
      </c>
      <c r="S301" s="13" t="n">
        <v>-86</v>
      </c>
      <c r="T301" s="13" t="n">
        <v>10950.12</v>
      </c>
      <c r="U301" s="13" t="n">
        <v>712.6</v>
      </c>
      <c r="V301" s="13" t="n">
        <v>278.65</v>
      </c>
      <c r="W301" s="13" t="n">
        <v>1075.52</v>
      </c>
      <c r="X301" s="13" t="n">
        <v>2595.28</v>
      </c>
      <c r="Y301" s="13" t="n">
        <v>1280.51</v>
      </c>
      <c r="Z301" s="19" t="n"/>
      <c r="AA301" s="18" t="n"/>
      <c r="AB301" s="38" t="n">
        <v>20.44</v>
      </c>
      <c r="AC301" s="14">
        <f>IFERROR(AVERAGEIFS($E$16:$E$736,$W$16:$W$736,"&gt;="&amp;W301-$C$5,$W$16:$W$736,"&lt;="&amp;W301+$C$5,$B$16:$B$736,B301,$A$16:$A$736,"&lt;&gt;"&amp;A301),"")</f>
        <v/>
      </c>
      <c r="AD301" s="14">
        <f>IF(AND(ISNUMBER(E301),ISNUMBER(AC301)),E301-AC301,"")</f>
        <v/>
      </c>
    </row>
    <row r="302">
      <c r="A302" s="17" t="n">
        <v>46003</v>
      </c>
      <c r="B302" s="29">
        <f>MONTH(A302)</f>
        <v/>
      </c>
      <c r="C302" s="29">
        <f>IF(AND(ISNUMBER(W302),ISNUMBER($C$4),ABS(W302-$C$4)&lt;=$C$5,ABS(MOD(B302-$C$6+6,12)-6)&lt;=$C$7,OR($C$8="Any",P302=$C$8)),1,0)</f>
        <v/>
      </c>
      <c r="D302" s="29">
        <f>IF(C302=1,COUNTIF($C$16:C302,1),"")</f>
        <v/>
      </c>
      <c r="E302" s="18" t="n">
        <v>58.4</v>
      </c>
      <c r="F302" s="18" t="n">
        <v>57.93</v>
      </c>
      <c r="G302" s="18" t="n">
        <v>59.34</v>
      </c>
      <c r="H302" s="38" t="n">
        <v>-17.43</v>
      </c>
      <c r="I302" s="38" t="n">
        <v>-20.62</v>
      </c>
      <c r="J302" s="13" t="n">
        <v>12637</v>
      </c>
      <c r="K302" s="13" t="n">
        <v>12255.56</v>
      </c>
      <c r="L302" s="13" t="n">
        <v>436.88</v>
      </c>
      <c r="M302" s="13" t="n">
        <v>392.42</v>
      </c>
      <c r="N302" s="13" t="n">
        <v>4292</v>
      </c>
      <c r="O302" s="38" t="n">
        <v>9.140000000000001</v>
      </c>
      <c r="P302" s="39" t="inlineStr">
        <is>
          <t>Calm</t>
        </is>
      </c>
      <c r="Q302" s="13" t="n">
        <v>319</v>
      </c>
      <c r="R302" s="13" t="n">
        <v>759.77</v>
      </c>
      <c r="S302" s="13" t="n">
        <v>333.83</v>
      </c>
      <c r="T302" s="13" t="n">
        <v>11430.23</v>
      </c>
      <c r="U302" s="13" t="n">
        <v>706.39</v>
      </c>
      <c r="V302" s="13" t="n">
        <v>262.47</v>
      </c>
      <c r="W302" s="13" t="n">
        <v>834.89</v>
      </c>
      <c r="X302" s="13" t="n">
        <v>1015.71</v>
      </c>
      <c r="Y302" s="13" t="n">
        <v>1088.18</v>
      </c>
      <c r="Z302" s="19" t="n"/>
      <c r="AA302" s="18" t="n"/>
      <c r="AB302" s="38" t="n">
        <v>11.52</v>
      </c>
      <c r="AC302" s="14">
        <f>IFERROR(AVERAGEIFS($E$16:$E$736,$W$16:$W$736,"&gt;="&amp;W302-$C$5,$W$16:$W$736,"&lt;="&amp;W302+$C$5,$B$16:$B$736,B302,$A$16:$A$736,"&lt;&gt;"&amp;A302),"")</f>
        <v/>
      </c>
      <c r="AD302" s="14">
        <f>IF(AND(ISNUMBER(E302),ISNUMBER(AC302)),E302-AC302,"")</f>
        <v/>
      </c>
    </row>
    <row r="303">
      <c r="A303" s="17" t="n">
        <v>46002</v>
      </c>
      <c r="B303" s="29">
        <f>MONTH(A303)</f>
        <v/>
      </c>
      <c r="C303" s="29">
        <f>IF(AND(ISNUMBER(W303),ISNUMBER($C$4),ABS(W303-$C$4)&lt;=$C$5,ABS(MOD(B303-$C$6+6,12)-6)&lt;=$C$7,OR($C$8="Any",P303=$C$8)),1,0)</f>
        <v/>
      </c>
      <c r="D303" s="29">
        <f>IF(C303=1,COUNTIF($C$16:C303,1),"")</f>
        <v/>
      </c>
      <c r="E303" s="18" t="n">
        <v>42.28</v>
      </c>
      <c r="F303" s="18" t="n">
        <v>41.6</v>
      </c>
      <c r="G303" s="18" t="n">
        <v>43.63</v>
      </c>
      <c r="H303" s="38" t="n">
        <v>-8.869999999999999</v>
      </c>
      <c r="I303" s="38" t="n">
        <v>-16.22</v>
      </c>
      <c r="J303" s="13" t="n">
        <v>12832</v>
      </c>
      <c r="K303" s="13" t="n">
        <v>12392.5</v>
      </c>
      <c r="L303" s="13" t="n">
        <v>2094.06</v>
      </c>
      <c r="M303" s="13" t="n">
        <v>1945.38</v>
      </c>
      <c r="N303" s="13" t="n">
        <v>4292</v>
      </c>
      <c r="O303" s="38" t="n">
        <v>45.33</v>
      </c>
      <c r="P303" s="39" t="inlineStr">
        <is>
          <t>Windy</t>
        </is>
      </c>
      <c r="Q303" s="13" t="n">
        <v>333</v>
      </c>
      <c r="R303" s="13" t="n">
        <v>754.5599999999999</v>
      </c>
      <c r="S303" s="13" t="n">
        <v>-81.83</v>
      </c>
      <c r="T303" s="13" t="n">
        <v>11144.84</v>
      </c>
      <c r="U303" s="13" t="n">
        <v>702.45</v>
      </c>
      <c r="V303" s="13" t="n">
        <v>134.64</v>
      </c>
      <c r="W303" s="13" t="n">
        <v>1360.14</v>
      </c>
      <c r="X303" s="13" t="n">
        <v>1853.4</v>
      </c>
      <c r="Y303" s="13" t="n">
        <v>1654.85</v>
      </c>
      <c r="Z303" s="19" t="n"/>
      <c r="AA303" s="18" t="n"/>
      <c r="AB303" s="38" t="n">
        <v>19.4</v>
      </c>
      <c r="AC303" s="14">
        <f>IFERROR(AVERAGEIFS($E$16:$E$736,$W$16:$W$736,"&gt;="&amp;W303-$C$5,$W$16:$W$736,"&lt;="&amp;W303+$C$5,$B$16:$B$736,B303,$A$16:$A$736,"&lt;&gt;"&amp;A303),"")</f>
        <v/>
      </c>
      <c r="AD303" s="14">
        <f>IF(AND(ISNUMBER(E303),ISNUMBER(AC303)),E303-AC303,"")</f>
        <v/>
      </c>
    </row>
    <row r="304">
      <c r="A304" s="17" t="n">
        <v>46001</v>
      </c>
      <c r="B304" s="29">
        <f>MONTH(A304)</f>
        <v/>
      </c>
      <c r="C304" s="29">
        <f>IF(AND(ISNUMBER(W304),ISNUMBER($C$4),ABS(W304-$C$4)&lt;=$C$5,ABS(MOD(B304-$C$6+6,12)-6)&lt;=$C$7,OR($C$8="Any",P304=$C$8)),1,0)</f>
        <v/>
      </c>
      <c r="D304" s="29">
        <f>IF(C304=1,COUNTIF($C$16:C304,1),"")</f>
        <v/>
      </c>
      <c r="E304" s="18" t="n">
        <v>36.26</v>
      </c>
      <c r="F304" s="18" t="n">
        <v>39.38</v>
      </c>
      <c r="G304" s="18" t="n">
        <v>30.02</v>
      </c>
      <c r="H304" s="38" t="n">
        <v>-1.4</v>
      </c>
      <c r="I304" s="38" t="n">
        <v>-5.82</v>
      </c>
      <c r="J304" s="13" t="n">
        <v>12241</v>
      </c>
      <c r="K304" s="13" t="n">
        <v>11881.19</v>
      </c>
      <c r="L304" s="13" t="n">
        <v>2202.25</v>
      </c>
      <c r="M304" s="13" t="n">
        <v>2213.62</v>
      </c>
      <c r="N304" s="13" t="n">
        <v>4292</v>
      </c>
      <c r="O304" s="38" t="n">
        <v>51.58</v>
      </c>
      <c r="P304" s="39" t="inlineStr">
        <is>
          <t>Windy</t>
        </is>
      </c>
      <c r="Q304" s="13" t="n">
        <v>635</v>
      </c>
      <c r="R304" s="13" t="n">
        <v>764.5599999999999</v>
      </c>
      <c r="S304" s="13" t="n">
        <v>-198.54</v>
      </c>
      <c r="T304" s="13" t="n">
        <v>11059.11</v>
      </c>
      <c r="U304" s="13" t="n">
        <v>700.92</v>
      </c>
      <c r="V304" s="13" t="n">
        <v>20.16</v>
      </c>
      <c r="W304" s="13" t="n">
        <v>1121.48</v>
      </c>
      <c r="X304" s="13" t="n">
        <v>2241.22</v>
      </c>
      <c r="Y304" s="13" t="n">
        <v>1337.1</v>
      </c>
      <c r="Z304" s="19" t="n"/>
      <c r="AA304" s="18" t="n"/>
      <c r="AB304" s="38" t="n">
        <v>29.31</v>
      </c>
      <c r="AC304" s="14">
        <f>IFERROR(AVERAGEIFS($E$16:$E$736,$W$16:$W$736,"&gt;="&amp;W304-$C$5,$W$16:$W$736,"&lt;="&amp;W304+$C$5,$B$16:$B$736,B304,$A$16:$A$736,"&lt;&gt;"&amp;A304),"")</f>
        <v/>
      </c>
      <c r="AD304" s="14">
        <f>IF(AND(ISNUMBER(E304),ISNUMBER(AC304)),E304-AC304,"")</f>
        <v/>
      </c>
    </row>
    <row r="305">
      <c r="A305" s="17" t="n">
        <v>46000</v>
      </c>
      <c r="B305" s="29">
        <f>MONTH(A305)</f>
        <v/>
      </c>
      <c r="C305" s="29">
        <f>IF(AND(ISNUMBER(W305),ISNUMBER($C$4),ABS(W305-$C$4)&lt;=$C$5,ABS(MOD(B305-$C$6+6,12)-6)&lt;=$C$7,OR($C$8="Any",P305=$C$8)),1,0)</f>
        <v/>
      </c>
      <c r="D305" s="29">
        <f>IF(C305=1,COUNTIF($C$16:C305,1),"")</f>
        <v/>
      </c>
      <c r="E305" s="18" t="n">
        <v>58.9</v>
      </c>
      <c r="F305" s="18" t="n">
        <v>80.17</v>
      </c>
      <c r="G305" s="18" t="n">
        <v>16.36</v>
      </c>
      <c r="H305" s="38" t="n">
        <v>0.27</v>
      </c>
      <c r="I305" s="38" t="n">
        <v>-4.15</v>
      </c>
      <c r="J305" s="13" t="n">
        <v>12465</v>
      </c>
      <c r="K305" s="13" t="n">
        <v>11905.31</v>
      </c>
      <c r="L305" s="13" t="n">
        <v>1937.12</v>
      </c>
      <c r="M305" s="13" t="n">
        <v>2410.54</v>
      </c>
      <c r="N305" s="13" t="n">
        <v>4289.33</v>
      </c>
      <c r="O305" s="38" t="n">
        <v>56.2</v>
      </c>
      <c r="P305" s="39" t="inlineStr">
        <is>
          <t>Windy</t>
        </is>
      </c>
      <c r="Q305" s="13" t="n">
        <v>880</v>
      </c>
      <c r="R305" s="13" t="n">
        <v>755.2</v>
      </c>
      <c r="S305" s="13" t="n">
        <v>-299.12</v>
      </c>
      <c r="T305" s="13" t="n">
        <v>10365.37</v>
      </c>
      <c r="U305" s="13" t="n">
        <v>690.34</v>
      </c>
      <c r="V305" s="13" t="n">
        <v>418.45</v>
      </c>
      <c r="W305" s="13" t="n">
        <v>503.41</v>
      </c>
      <c r="X305" s="13" t="n">
        <v>1622.73</v>
      </c>
      <c r="Y305" s="13" t="n">
        <v>676.26</v>
      </c>
      <c r="Z305" s="19" t="n"/>
      <c r="AA305" s="18" t="n"/>
      <c r="AB305" s="38" t="n">
        <v>27.64</v>
      </c>
      <c r="AC305" s="14">
        <f>IFERROR(AVERAGEIFS($E$16:$E$736,$W$16:$W$736,"&gt;="&amp;W305-$C$5,$W$16:$W$736,"&lt;="&amp;W305+$C$5,$B$16:$B$736,B305,$A$16:$A$736,"&lt;&gt;"&amp;A305),"")</f>
        <v/>
      </c>
      <c r="AD305" s="14">
        <f>IF(AND(ISNUMBER(E305),ISNUMBER(AC305)),E305-AC305,"")</f>
        <v/>
      </c>
    </row>
    <row r="306">
      <c r="A306" s="17" t="n">
        <v>45999</v>
      </c>
      <c r="B306" s="29">
        <f>MONTH(A306)</f>
        <v/>
      </c>
      <c r="C306" s="29">
        <f>IF(AND(ISNUMBER(W306),ISNUMBER($C$4),ABS(W306-$C$4)&lt;=$C$5,ABS(MOD(B306-$C$6+6,12)-6)&lt;=$C$7,OR($C$8="Any",P306=$C$8)),1,0)</f>
        <v/>
      </c>
      <c r="D306" s="29">
        <f>IF(C306=1,COUNTIF($C$16:C306,1),"")</f>
        <v/>
      </c>
      <c r="E306" s="18" t="n">
        <v>16.13</v>
      </c>
      <c r="F306" s="18" t="n">
        <v>18.79</v>
      </c>
      <c r="G306" s="18" t="n">
        <v>10.82</v>
      </c>
      <c r="H306" s="38" t="n">
        <v>-0.7</v>
      </c>
      <c r="I306" s="38" t="n">
        <v>-2.34</v>
      </c>
      <c r="J306" s="13" t="n">
        <v>12344</v>
      </c>
      <c r="K306" s="13" t="n">
        <v>11814.12</v>
      </c>
      <c r="L306" s="13" t="n">
        <v>3487.75</v>
      </c>
      <c r="M306" s="13" t="n">
        <v>3425.33</v>
      </c>
      <c r="N306" s="13" t="n">
        <v>4276</v>
      </c>
      <c r="O306" s="38" t="n">
        <v>80.11</v>
      </c>
      <c r="P306" s="39" t="inlineStr">
        <is>
          <t>Windy</t>
        </is>
      </c>
      <c r="Q306" s="13" t="n">
        <v>398</v>
      </c>
      <c r="R306" s="13" t="n">
        <v>767.5599999999999</v>
      </c>
      <c r="S306" s="13" t="n">
        <v>-832.79</v>
      </c>
      <c r="T306" s="13" t="n">
        <v>11104.77</v>
      </c>
      <c r="U306" s="13" t="n">
        <v>701.9</v>
      </c>
      <c r="V306" s="13" t="n">
        <v>294.08</v>
      </c>
      <c r="W306" s="13" t="n">
        <v>2103.87</v>
      </c>
      <c r="X306" s="13" t="n">
        <v>3069.13</v>
      </c>
      <c r="Y306" s="13" t="n">
        <v>2302.56</v>
      </c>
      <c r="Z306" s="19" t="n"/>
      <c r="AA306" s="18" t="n"/>
      <c r="AB306" s="38" t="n">
        <v>27.12</v>
      </c>
      <c r="AC306" s="14">
        <f>IFERROR(AVERAGEIFS($E$16:$E$736,$W$16:$W$736,"&gt;="&amp;W306-$C$5,$W$16:$W$736,"&lt;="&amp;W306+$C$5,$B$16:$B$736,B306,$A$16:$A$736,"&lt;&gt;"&amp;A306),"")</f>
        <v/>
      </c>
      <c r="AD306" s="14">
        <f>IF(AND(ISNUMBER(E306),ISNUMBER(AC306)),E306-AC306,"")</f>
        <v/>
      </c>
    </row>
    <row r="307">
      <c r="A307" s="17" t="n">
        <v>45998</v>
      </c>
      <c r="B307" s="29">
        <f>MONTH(A307)</f>
        <v/>
      </c>
      <c r="C307" s="29">
        <f>IF(AND(ISNUMBER(W307),ISNUMBER($C$4),ABS(W307-$C$4)&lt;=$C$5,ABS(MOD(B307-$C$6+6,12)-6)&lt;=$C$7,OR($C$8="Any",P307=$C$8)),1,0)</f>
        <v/>
      </c>
      <c r="D307" s="29">
        <f>IF(C307=1,COUNTIF($C$16:C307,1),"")</f>
        <v/>
      </c>
      <c r="E307" s="18" t="n">
        <v>35.67</v>
      </c>
      <c r="F307" s="18" t="n">
        <v>36.02</v>
      </c>
      <c r="G307" s="18" t="n">
        <v>34.96</v>
      </c>
      <c r="H307" s="38" t="n">
        <v>-3.13</v>
      </c>
      <c r="I307" s="38" t="n">
        <v>-7.35</v>
      </c>
      <c r="J307" s="13" t="n">
        <v>12144</v>
      </c>
      <c r="K307" s="13" t="n">
        <v>11558.94</v>
      </c>
      <c r="L307" s="13" t="n">
        <v>2509.31</v>
      </c>
      <c r="M307" s="13" t="n">
        <v>2335.38</v>
      </c>
      <c r="N307" s="13" t="n">
        <v>4276</v>
      </c>
      <c r="O307" s="38" t="n">
        <v>54.62</v>
      </c>
      <c r="P307" s="39" t="inlineStr">
        <is>
          <t>Windy</t>
        </is>
      </c>
      <c r="Q307" s="13" t="n">
        <v>351</v>
      </c>
      <c r="R307" s="13" t="n">
        <v>768.27</v>
      </c>
      <c r="S307" s="13" t="n">
        <v>-539.08</v>
      </c>
      <c r="T307" s="13" t="n">
        <v>11349.81</v>
      </c>
      <c r="U307" s="13" t="n">
        <v>675.33</v>
      </c>
      <c r="V307" s="13" t="n">
        <v>61.74</v>
      </c>
      <c r="W307" s="13" t="n">
        <v>1971.85</v>
      </c>
      <c r="X307" s="13" t="n">
        <v>2909.61</v>
      </c>
      <c r="Y307" s="13" t="n">
        <v>2250.82</v>
      </c>
      <c r="Z307" s="19" t="n"/>
      <c r="AA307" s="18" t="n"/>
      <c r="AB307" s="38" t="n">
        <v>26.73</v>
      </c>
      <c r="AC307" s="14">
        <f>IFERROR(AVERAGEIFS($E$16:$E$736,$W$16:$W$736,"&gt;="&amp;W307-$C$5,$W$16:$W$736,"&lt;="&amp;W307+$C$5,$B$16:$B$736,B307,$A$16:$A$736,"&lt;&gt;"&amp;A307),"")</f>
        <v/>
      </c>
      <c r="AD307" s="14">
        <f>IF(AND(ISNUMBER(E307),ISNUMBER(AC307)),E307-AC307,"")</f>
        <v/>
      </c>
    </row>
    <row r="308">
      <c r="A308" s="17" t="n">
        <v>45997</v>
      </c>
      <c r="B308" s="29">
        <f>MONTH(A308)</f>
        <v/>
      </c>
      <c r="C308" s="29">
        <f>IF(AND(ISNUMBER(W308),ISNUMBER($C$4),ABS(W308-$C$4)&lt;=$C$5,ABS(MOD(B308-$C$6+6,12)-6)&lt;=$C$7,OR($C$8="Any",P308=$C$8)),1,0)</f>
        <v/>
      </c>
      <c r="D308" s="29">
        <f>IF(C308=1,COUNTIF($C$16:C308,1),"")</f>
        <v/>
      </c>
      <c r="E308" s="18" t="n">
        <v>48.35</v>
      </c>
      <c r="F308" s="18" t="n">
        <v>51.86</v>
      </c>
      <c r="G308" s="18" t="n">
        <v>41.33</v>
      </c>
      <c r="H308" s="38" t="n">
        <v>-9.4</v>
      </c>
      <c r="I308" s="38" t="n">
        <v>-14.1</v>
      </c>
      <c r="J308" s="13" t="n">
        <v>12053</v>
      </c>
      <c r="K308" s="13" t="n">
        <v>11629</v>
      </c>
      <c r="L308" s="13" t="n">
        <v>1415</v>
      </c>
      <c r="M308" s="13" t="n">
        <v>1333.38</v>
      </c>
      <c r="N308" s="13" t="n">
        <v>4276</v>
      </c>
      <c r="O308" s="38" t="n">
        <v>31.18</v>
      </c>
      <c r="P308" s="39" t="inlineStr">
        <is>
          <t>Windy</t>
        </is>
      </c>
      <c r="Q308" s="13" t="n">
        <v>395</v>
      </c>
      <c r="R308" s="13" t="n">
        <v>769.24</v>
      </c>
      <c r="S308" s="13" t="n">
        <v>-282.75</v>
      </c>
      <c r="T308" s="13" t="n">
        <v>11141.16</v>
      </c>
      <c r="U308" s="13" t="n">
        <v>665.3099999999999</v>
      </c>
      <c r="V308" s="13" t="n">
        <v>464.96</v>
      </c>
      <c r="W308" s="13" t="n">
        <v>1121.19</v>
      </c>
      <c r="X308" s="13" t="n">
        <v>1719.22</v>
      </c>
      <c r="Y308" s="13" t="n">
        <v>1448.59</v>
      </c>
      <c r="Z308" s="19" t="n"/>
      <c r="AA308" s="18" t="n"/>
      <c r="AB308" s="38" t="n">
        <v>18.04</v>
      </c>
      <c r="AC308" s="14">
        <f>IFERROR(AVERAGEIFS($E$16:$E$736,$W$16:$W$736,"&gt;="&amp;W308-$C$5,$W$16:$W$736,"&lt;="&amp;W308+$C$5,$B$16:$B$736,B308,$A$16:$A$736,"&lt;&gt;"&amp;A308),"")</f>
        <v/>
      </c>
      <c r="AD308" s="14">
        <f>IF(AND(ISNUMBER(E308),ISNUMBER(AC308)),E308-AC308,"")</f>
        <v/>
      </c>
    </row>
    <row r="309">
      <c r="A309" s="17" t="n">
        <v>45996</v>
      </c>
      <c r="B309" s="29">
        <f>MONTH(A309)</f>
        <v/>
      </c>
      <c r="C309" s="29">
        <f>IF(AND(ISNUMBER(W309),ISNUMBER($C$4),ABS(W309-$C$4)&lt;=$C$5,ABS(MOD(B309-$C$6+6,12)-6)&lt;=$C$7,OR($C$8="Any",P309=$C$8)),1,0)</f>
        <v/>
      </c>
      <c r="D309" s="29">
        <f>IF(C309=1,COUNTIF($C$16:C309,1),"")</f>
        <v/>
      </c>
      <c r="E309" s="18" t="n">
        <v>39.63</v>
      </c>
      <c r="F309" s="18" t="n">
        <v>44.19</v>
      </c>
      <c r="G309" s="18" t="n">
        <v>30.51</v>
      </c>
      <c r="H309" s="38" t="n">
        <v>-2.8</v>
      </c>
      <c r="I309" s="38" t="n">
        <v>-6.93</v>
      </c>
      <c r="J309" s="13" t="n">
        <v>12288</v>
      </c>
      <c r="K309" s="13" t="n">
        <v>11781.62</v>
      </c>
      <c r="L309" s="13" t="n">
        <v>1524.31</v>
      </c>
      <c r="M309" s="13" t="n">
        <v>1674.38</v>
      </c>
      <c r="N309" s="13" t="n">
        <v>4276</v>
      </c>
      <c r="O309" s="38" t="n">
        <v>39.16</v>
      </c>
      <c r="P309" s="39" t="inlineStr">
        <is>
          <t>Windy</t>
        </is>
      </c>
      <c r="Q309" s="13" t="n">
        <v>193</v>
      </c>
      <c r="R309" s="13" t="n">
        <v>767.48</v>
      </c>
      <c r="S309" s="13" t="n">
        <v>-235.38</v>
      </c>
      <c r="T309" s="13" t="n">
        <v>11199.78</v>
      </c>
      <c r="U309" s="13" t="n">
        <v>596.92</v>
      </c>
      <c r="V309" s="13" t="n">
        <v>197.73</v>
      </c>
      <c r="W309" s="13" t="n">
        <v>1359.8</v>
      </c>
      <c r="X309" s="13" t="n">
        <v>1803.31</v>
      </c>
      <c r="Y309" s="13" t="n">
        <v>1677.22</v>
      </c>
      <c r="Z309" s="19" t="n"/>
      <c r="AA309" s="18" t="n"/>
      <c r="AB309" s="38" t="n">
        <v>18.81</v>
      </c>
      <c r="AC309" s="14">
        <f>IFERROR(AVERAGEIFS($E$16:$E$736,$W$16:$W$736,"&gt;="&amp;W309-$C$5,$W$16:$W$736,"&lt;="&amp;W309+$C$5,$B$16:$B$736,B309,$A$16:$A$736,"&lt;&gt;"&amp;A309),"")</f>
        <v/>
      </c>
      <c r="AD309" s="14">
        <f>IF(AND(ISNUMBER(E309),ISNUMBER(AC309)),E309-AC309,"")</f>
        <v/>
      </c>
    </row>
    <row r="310">
      <c r="A310" s="17" t="n">
        <v>45995</v>
      </c>
      <c r="B310" s="29">
        <f>MONTH(A310)</f>
        <v/>
      </c>
      <c r="C310" s="29">
        <f>IF(AND(ISNUMBER(W310),ISNUMBER($C$4),ABS(W310-$C$4)&lt;=$C$5,ABS(MOD(B310-$C$6+6,12)-6)&lt;=$C$7,OR($C$8="Any",P310=$C$8)),1,0)</f>
        <v/>
      </c>
      <c r="D310" s="29">
        <f>IF(C310=1,COUNTIF($C$16:C310,1),"")</f>
        <v/>
      </c>
      <c r="E310" s="18" t="n">
        <v>22.76</v>
      </c>
      <c r="F310" s="18" t="n">
        <v>29.66</v>
      </c>
      <c r="G310" s="18" t="n">
        <v>8.960000000000001</v>
      </c>
      <c r="H310" s="38" t="n">
        <v>1.73</v>
      </c>
      <c r="I310" s="38" t="n">
        <v>0.32</v>
      </c>
      <c r="J310" s="13" t="n">
        <v>11869</v>
      </c>
      <c r="K310" s="13" t="n">
        <v>11501.56</v>
      </c>
      <c r="L310" s="13" t="n">
        <v>2945.06</v>
      </c>
      <c r="M310" s="13" t="n">
        <v>3125.62</v>
      </c>
      <c r="N310" s="13" t="n">
        <v>4276</v>
      </c>
      <c r="O310" s="38" t="n">
        <v>73.09999999999999</v>
      </c>
      <c r="P310" s="39" t="inlineStr">
        <is>
          <t>Windy</t>
        </is>
      </c>
      <c r="Q310" s="13" t="n">
        <v>522</v>
      </c>
      <c r="R310" s="13" t="n">
        <v>752.35</v>
      </c>
      <c r="S310" s="13" t="n">
        <v>-948.54</v>
      </c>
      <c r="T310" s="13" t="n">
        <v>10961.19</v>
      </c>
      <c r="U310" s="13" t="n">
        <v>692.92</v>
      </c>
      <c r="V310" s="13" t="n">
        <v>471.06</v>
      </c>
      <c r="W310" s="13" t="n">
        <v>1840.73</v>
      </c>
      <c r="X310" s="13" t="n">
        <v>2522.48</v>
      </c>
      <c r="Y310" s="13" t="n">
        <v>2081.48</v>
      </c>
      <c r="Z310" s="19" t="n"/>
      <c r="AA310" s="18" t="n"/>
      <c r="AB310" s="38" t="n">
        <v>30.62</v>
      </c>
      <c r="AC310" s="14">
        <f>IFERROR(AVERAGEIFS($E$16:$E$736,$W$16:$W$736,"&gt;="&amp;W310-$C$5,$W$16:$W$736,"&lt;="&amp;W310+$C$5,$B$16:$B$736,B310,$A$16:$A$736,"&lt;&gt;"&amp;A310),"")</f>
        <v/>
      </c>
      <c r="AD310" s="14">
        <f>IF(AND(ISNUMBER(E310),ISNUMBER(AC310)),E310-AC310,"")</f>
        <v/>
      </c>
    </row>
    <row r="311">
      <c r="A311" s="17" t="n">
        <v>45994</v>
      </c>
      <c r="B311" s="29">
        <f>MONTH(A311)</f>
        <v/>
      </c>
      <c r="C311" s="29">
        <f>IF(AND(ISNUMBER(W311),ISNUMBER($C$4),ABS(W311-$C$4)&lt;=$C$5,ABS(MOD(B311-$C$6+6,12)-6)&lt;=$C$7,OR($C$8="Any",P311=$C$8)),1,0)</f>
        <v/>
      </c>
      <c r="D311" s="29">
        <f>IF(C311=1,COUNTIF($C$16:C311,1),"")</f>
        <v/>
      </c>
      <c r="E311" s="18" t="n">
        <v>38.87</v>
      </c>
      <c r="F311" s="18" t="n">
        <v>34.4</v>
      </c>
      <c r="G311" s="18" t="n">
        <v>47.82</v>
      </c>
      <c r="H311" s="38" t="n">
        <v>0.23</v>
      </c>
      <c r="I311" s="38" t="n">
        <v>-3.85</v>
      </c>
      <c r="J311" s="13" t="n">
        <v>11934</v>
      </c>
      <c r="K311" s="13" t="n">
        <v>11445</v>
      </c>
      <c r="L311" s="13" t="n">
        <v>3092.38</v>
      </c>
      <c r="M311" s="13" t="n">
        <v>2369.54</v>
      </c>
      <c r="N311" s="13" t="n">
        <v>4276</v>
      </c>
      <c r="O311" s="38" t="n">
        <v>55.41</v>
      </c>
      <c r="P311" s="39" t="inlineStr">
        <is>
          <t>Windy</t>
        </is>
      </c>
      <c r="Q311" s="13" t="n">
        <v>439</v>
      </c>
      <c r="R311" s="13" t="n">
        <v>765.12</v>
      </c>
      <c r="S311" s="13" t="n">
        <v>-724.25</v>
      </c>
      <c r="T311" s="13" t="n">
        <v>10546.45</v>
      </c>
      <c r="U311" s="13" t="n">
        <v>679.88</v>
      </c>
      <c r="V311" s="13" t="n">
        <v>566.15</v>
      </c>
      <c r="W311" s="13" t="n">
        <v>1553.35</v>
      </c>
      <c r="X311" s="13" t="n">
        <v>2327.53</v>
      </c>
      <c r="Y311" s="13" t="n">
        <v>1853.16</v>
      </c>
      <c r="Z311" s="19" t="n"/>
      <c r="AA311" s="18" t="n"/>
      <c r="AB311" s="38" t="n">
        <v>33.84</v>
      </c>
      <c r="AC311" s="14">
        <f>IFERROR(AVERAGEIFS($E$16:$E$736,$W$16:$W$736,"&gt;="&amp;W311-$C$5,$W$16:$W$736,"&lt;="&amp;W311+$C$5,$B$16:$B$736,B311,$A$16:$A$736,"&lt;&gt;"&amp;A311),"")</f>
        <v/>
      </c>
      <c r="AD311" s="14">
        <f>IF(AND(ISNUMBER(E311),ISNUMBER(AC311)),E311-AC311,"")</f>
        <v/>
      </c>
    </row>
    <row r="312">
      <c r="A312" s="17" t="n">
        <v>45993</v>
      </c>
      <c r="B312" s="29">
        <f>MONTH(A312)</f>
        <v/>
      </c>
      <c r="C312" s="29">
        <f>IF(AND(ISNUMBER(W312),ISNUMBER($C$4),ABS(W312-$C$4)&lt;=$C$5,ABS(MOD(B312-$C$6+6,12)-6)&lt;=$C$7,OR($C$8="Any",P312=$C$8)),1,0)</f>
        <v/>
      </c>
      <c r="D312" s="29">
        <f>IF(C312=1,COUNTIF($C$16:C312,1),"")</f>
        <v/>
      </c>
      <c r="E312" s="18" t="n">
        <v>26.72</v>
      </c>
      <c r="F312" s="18" t="n">
        <v>36.09</v>
      </c>
      <c r="G312" s="18" t="n">
        <v>7.98</v>
      </c>
      <c r="H312" s="38" t="n">
        <v>0.6</v>
      </c>
      <c r="I312" s="38" t="n">
        <v>-2.58</v>
      </c>
      <c r="J312" s="13" t="n">
        <v>12181</v>
      </c>
      <c r="K312" s="13" t="n">
        <v>11655.62</v>
      </c>
      <c r="L312" s="13" t="n">
        <v>2102.56</v>
      </c>
      <c r="M312" s="13" t="n">
        <v>2375.46</v>
      </c>
      <c r="N312" s="13" t="n">
        <v>4276</v>
      </c>
      <c r="O312" s="38" t="n">
        <v>55.55</v>
      </c>
      <c r="P312" s="39" t="inlineStr">
        <is>
          <t>Windy</t>
        </is>
      </c>
      <c r="Q312" s="13" t="n">
        <v>369</v>
      </c>
      <c r="R312" s="13" t="n">
        <v>762.16</v>
      </c>
      <c r="S312" s="13" t="n">
        <v>-588.71</v>
      </c>
      <c r="T312" s="13" t="n">
        <v>10812.8</v>
      </c>
      <c r="U312" s="13" t="n">
        <v>705.22</v>
      </c>
      <c r="V312" s="13" t="n">
        <v>458.85</v>
      </c>
      <c r="W312" s="13" t="n">
        <v>793.41</v>
      </c>
      <c r="X312" s="13" t="n">
        <v>1833.32</v>
      </c>
      <c r="Y312" s="13" t="n">
        <v>1057.36</v>
      </c>
      <c r="Z312" s="19" t="n"/>
      <c r="AA312" s="18" t="n"/>
      <c r="AB312" s="38" t="n">
        <v>20.85</v>
      </c>
      <c r="AC312" s="14">
        <f>IFERROR(AVERAGEIFS($E$16:$E$736,$W$16:$W$736,"&gt;="&amp;W312-$C$5,$W$16:$W$736,"&lt;="&amp;W312+$C$5,$B$16:$B$736,B312,$A$16:$A$736,"&lt;&gt;"&amp;A312),"")</f>
        <v/>
      </c>
      <c r="AD312" s="14">
        <f>IF(AND(ISNUMBER(E312),ISNUMBER(AC312)),E312-AC312,"")</f>
        <v/>
      </c>
    </row>
    <row r="313">
      <c r="A313" s="17" t="n">
        <v>45992</v>
      </c>
      <c r="B313" s="29">
        <f>MONTH(A313)</f>
        <v/>
      </c>
      <c r="C313" s="29">
        <f>IF(AND(ISNUMBER(W313),ISNUMBER($C$4),ABS(W313-$C$4)&lt;=$C$5,ABS(MOD(B313-$C$6+6,12)-6)&lt;=$C$7,OR($C$8="Any",P313=$C$8)),1,0)</f>
        <v/>
      </c>
      <c r="D313" s="29">
        <f>IF(C313=1,COUNTIF($C$16:C313,1),"")</f>
        <v/>
      </c>
      <c r="E313" s="18" t="n">
        <v>25.94</v>
      </c>
      <c r="F313" s="18" t="n">
        <v>21.63</v>
      </c>
      <c r="G313" s="18" t="n">
        <v>34.54</v>
      </c>
      <c r="H313" s="38" t="n">
        <v>0.47</v>
      </c>
      <c r="I313" s="38" t="n">
        <v>-4.25</v>
      </c>
      <c r="J313" s="13" t="n">
        <v>11945</v>
      </c>
      <c r="K313" s="13" t="n">
        <v>11584.5</v>
      </c>
      <c r="L313" s="13" t="n">
        <v>3322.31</v>
      </c>
      <c r="M313" s="13" t="n">
        <v>2854.75</v>
      </c>
      <c r="N313" s="13" t="n">
        <v>4276</v>
      </c>
      <c r="O313" s="38" t="n">
        <v>66.76000000000001</v>
      </c>
      <c r="P313" s="39" t="inlineStr">
        <is>
          <t>Windy</t>
        </is>
      </c>
      <c r="Q313" s="13" t="n">
        <v>532</v>
      </c>
      <c r="R313" s="13" t="n">
        <v>762.91</v>
      </c>
      <c r="S313" s="13" t="n">
        <v>-968.12</v>
      </c>
      <c r="T313" s="13" t="n">
        <v>10471.79</v>
      </c>
      <c r="U313" s="13" t="n">
        <v>636.96</v>
      </c>
      <c r="V313" s="13" t="n">
        <v>471.06</v>
      </c>
      <c r="W313" s="13" t="n">
        <v>1257.42</v>
      </c>
      <c r="X313" s="13" t="n">
        <v>2280.46</v>
      </c>
      <c r="Y313" s="13" t="n">
        <v>1585.92</v>
      </c>
      <c r="Z313" s="19" t="n"/>
      <c r="AA313" s="18" t="n"/>
      <c r="AB313" s="38" t="n">
        <v>40.08</v>
      </c>
      <c r="AC313" s="14">
        <f>IFERROR(AVERAGEIFS($E$16:$E$736,$W$16:$W$736,"&gt;="&amp;W313-$C$5,$W$16:$W$736,"&lt;="&amp;W313+$C$5,$B$16:$B$736,B313,$A$16:$A$736,"&lt;&gt;"&amp;A313),"")</f>
        <v/>
      </c>
      <c r="AD313" s="14">
        <f>IF(AND(ISNUMBER(E313),ISNUMBER(AC313)),E313-AC313,"")</f>
        <v/>
      </c>
    </row>
    <row r="314">
      <c r="A314" s="17" t="n">
        <v>45991</v>
      </c>
      <c r="B314" s="29">
        <f>MONTH(A314)</f>
        <v/>
      </c>
      <c r="C314" s="29">
        <f>IF(AND(ISNUMBER(W314),ISNUMBER($C$4),ABS(W314-$C$4)&lt;=$C$5,ABS(MOD(B314-$C$6+6,12)-6)&lt;=$C$7,OR($C$8="Any",P314=$C$8)),1,0)</f>
        <v/>
      </c>
      <c r="D314" s="29">
        <f>IF(C314=1,COUNTIF($C$16:C314,1),"")</f>
        <v/>
      </c>
      <c r="E314" s="18" t="n">
        <v>38.21</v>
      </c>
      <c r="F314" s="18" t="n">
        <v>37.72</v>
      </c>
      <c r="G314" s="18" t="n">
        <v>39.19</v>
      </c>
      <c r="H314" s="38" t="n">
        <v>-5.27</v>
      </c>
      <c r="I314" s="38" t="n">
        <v>-13.09</v>
      </c>
      <c r="J314" s="13" t="n">
        <v>11923</v>
      </c>
      <c r="K314" s="13" t="n">
        <v>11495.75</v>
      </c>
      <c r="L314" s="13" t="n">
        <v>2461.69</v>
      </c>
      <c r="M314" s="13" t="n">
        <v>2217.67</v>
      </c>
      <c r="N314" s="13" t="n">
        <v>4276</v>
      </c>
      <c r="O314" s="38" t="n">
        <v>51.86</v>
      </c>
      <c r="P314" s="39" t="inlineStr">
        <is>
          <t>Windy</t>
        </is>
      </c>
      <c r="Q314" s="13" t="n">
        <v>650</v>
      </c>
      <c r="R314" s="13" t="n">
        <v>766.66</v>
      </c>
      <c r="S314" s="13" t="n">
        <v>-937.33</v>
      </c>
      <c r="T314" s="13" t="n">
        <v>10623.18</v>
      </c>
      <c r="U314" s="13" t="n">
        <v>700.79</v>
      </c>
      <c r="V314" s="13" t="n">
        <v>225.75</v>
      </c>
      <c r="W314" s="13" t="n">
        <v>845</v>
      </c>
      <c r="X314" s="13" t="n">
        <v>1791.66</v>
      </c>
      <c r="Y314" s="13" t="n">
        <v>1088.45</v>
      </c>
      <c r="Z314" s="19" t="n"/>
      <c r="AA314" s="18" t="n"/>
      <c r="AB314" s="38" t="n">
        <v>27.52</v>
      </c>
      <c r="AC314" s="14">
        <f>IFERROR(AVERAGEIFS($E$16:$E$736,$W$16:$W$736,"&gt;="&amp;W314-$C$5,$W$16:$W$736,"&lt;="&amp;W314+$C$5,$B$16:$B$736,B314,$A$16:$A$736,"&lt;&gt;"&amp;A314),"")</f>
        <v/>
      </c>
      <c r="AD314" s="14">
        <f>IF(AND(ISNUMBER(E314),ISNUMBER(AC314)),E314-AC314,"")</f>
        <v/>
      </c>
    </row>
    <row r="315">
      <c r="A315" s="17" t="n">
        <v>45990</v>
      </c>
      <c r="B315" s="29">
        <f>MONTH(A315)</f>
        <v/>
      </c>
      <c r="C315" s="29">
        <f>IF(AND(ISNUMBER(W315),ISNUMBER($C$4),ABS(W315-$C$4)&lt;=$C$5,ABS(MOD(B315-$C$6+6,12)-6)&lt;=$C$7,OR($C$8="Any",P315=$C$8)),1,0)</f>
        <v/>
      </c>
      <c r="D315" s="29">
        <f>IF(C315=1,COUNTIF($C$16:C315,1),"")</f>
        <v/>
      </c>
      <c r="E315" s="18" t="n">
        <v>32.62</v>
      </c>
      <c r="F315" s="18" t="n">
        <v>31.5</v>
      </c>
      <c r="G315" s="18" t="n">
        <v>34.85</v>
      </c>
      <c r="H315" s="38" t="n">
        <v>-11.1</v>
      </c>
      <c r="I315" s="38" t="n">
        <v>-17.11</v>
      </c>
      <c r="J315" s="13" t="n">
        <v>11960</v>
      </c>
      <c r="K315" s="13" t="n">
        <v>11513.12</v>
      </c>
      <c r="L315" s="13" t="n">
        <v>1583.56</v>
      </c>
      <c r="M315" s="13" t="n">
        <v>1484.67</v>
      </c>
      <c r="N315" s="13" t="n">
        <v>4276</v>
      </c>
      <c r="O315" s="38" t="n">
        <v>34.72</v>
      </c>
      <c r="P315" s="39" t="inlineStr">
        <is>
          <t>Windy</t>
        </is>
      </c>
      <c r="Q315" s="13" t="n">
        <v>709</v>
      </c>
      <c r="R315" s="13" t="n">
        <v>767.3</v>
      </c>
      <c r="S315" s="13" t="n">
        <v>-97.38</v>
      </c>
      <c r="T315" s="13" t="n">
        <v>10375.13</v>
      </c>
      <c r="U315" s="13" t="n">
        <v>705.71</v>
      </c>
      <c r="V315" s="13" t="n">
        <v>385.8</v>
      </c>
      <c r="W315" s="13" t="n">
        <v>699.42</v>
      </c>
      <c r="X315" s="13" t="n">
        <v>1544.87</v>
      </c>
      <c r="Y315" s="13" t="n">
        <v>929.09</v>
      </c>
      <c r="Z315" s="19" t="n"/>
      <c r="AA315" s="18" t="n"/>
      <c r="AB315" s="38" t="n">
        <v>15.86</v>
      </c>
      <c r="AC315" s="14">
        <f>IFERROR(AVERAGEIFS($E$16:$E$736,$W$16:$W$736,"&gt;="&amp;W315-$C$5,$W$16:$W$736,"&lt;="&amp;W315+$C$5,$B$16:$B$736,B315,$A$16:$A$736,"&lt;&gt;"&amp;A315),"")</f>
        <v/>
      </c>
      <c r="AD315" s="14">
        <f>IF(AND(ISNUMBER(E315),ISNUMBER(AC315)),E315-AC315,"")</f>
        <v/>
      </c>
    </row>
    <row r="316">
      <c r="A316" s="17" t="n">
        <v>45989</v>
      </c>
      <c r="B316" s="29">
        <f>MONTH(A316)</f>
        <v/>
      </c>
      <c r="C316" s="29">
        <f>IF(AND(ISNUMBER(W316),ISNUMBER($C$4),ABS(W316-$C$4)&lt;=$C$5,ABS(MOD(B316-$C$6+6,12)-6)&lt;=$C$7,OR($C$8="Any",P316=$C$8)),1,0)</f>
        <v/>
      </c>
      <c r="D316" s="29">
        <f>IF(C316=1,COUNTIF($C$16:C316,1),"")</f>
        <v/>
      </c>
      <c r="E316" s="18" t="n">
        <v>58.31</v>
      </c>
      <c r="F316" s="18" t="n">
        <v>63.11</v>
      </c>
      <c r="G316" s="18" t="n">
        <v>48.73</v>
      </c>
      <c r="H316" s="38" t="n">
        <v>-8.199999999999999</v>
      </c>
      <c r="I316" s="38" t="n">
        <v>-10.44</v>
      </c>
      <c r="J316" s="13" t="n">
        <v>12042</v>
      </c>
      <c r="K316" s="13" t="n">
        <v>11690.5</v>
      </c>
      <c r="L316" s="13" t="n">
        <v>2019.25</v>
      </c>
      <c r="M316" s="13" t="n">
        <v>1784.58</v>
      </c>
      <c r="N316" s="13" t="n">
        <v>4276</v>
      </c>
      <c r="O316" s="38" t="n">
        <v>41.73</v>
      </c>
      <c r="P316" s="39" t="inlineStr">
        <is>
          <t>Windy</t>
        </is>
      </c>
      <c r="Q316" s="13" t="n">
        <v>563</v>
      </c>
      <c r="R316" s="13" t="n">
        <v>768.01</v>
      </c>
      <c r="S316" s="13" t="n">
        <v>-217.92</v>
      </c>
      <c r="T316" s="13" t="n">
        <v>10390.97</v>
      </c>
      <c r="U316" s="13" t="n">
        <v>715.74</v>
      </c>
      <c r="V316" s="13" t="n">
        <v>387.88</v>
      </c>
      <c r="W316" s="13" t="n">
        <v>265.66</v>
      </c>
      <c r="X316" s="13" t="n">
        <v>1560.48</v>
      </c>
      <c r="Y316" s="13" t="n">
        <v>503.25</v>
      </c>
      <c r="Z316" s="19" t="n"/>
      <c r="AA316" s="18" t="n"/>
      <c r="AB316" s="38" t="n">
        <v>13.33</v>
      </c>
      <c r="AC316" s="14">
        <f>IFERROR(AVERAGEIFS($E$16:$E$736,$W$16:$W$736,"&gt;="&amp;W316-$C$5,$W$16:$W$736,"&lt;="&amp;W316+$C$5,$B$16:$B$736,B316,$A$16:$A$736,"&lt;&gt;"&amp;A316),"")</f>
        <v/>
      </c>
      <c r="AD316" s="14">
        <f>IF(AND(ISNUMBER(E316),ISNUMBER(AC316)),E316-AC316,"")</f>
        <v/>
      </c>
    </row>
    <row r="317">
      <c r="A317" s="17" t="n">
        <v>45988</v>
      </c>
      <c r="B317" s="29">
        <f>MONTH(A317)</f>
        <v/>
      </c>
      <c r="C317" s="29">
        <f>IF(AND(ISNUMBER(W317),ISNUMBER($C$4),ABS(W317-$C$4)&lt;=$C$5,ABS(MOD(B317-$C$6+6,12)-6)&lt;=$C$7,OR($C$8="Any",P317=$C$8)),1,0)</f>
        <v/>
      </c>
      <c r="D317" s="29">
        <f>IF(C317=1,COUNTIF($C$16:C317,1),"")</f>
        <v/>
      </c>
      <c r="E317" s="18" t="n">
        <v>73.59</v>
      </c>
      <c r="F317" s="18" t="n">
        <v>80.77</v>
      </c>
      <c r="G317" s="18" t="n">
        <v>59.23</v>
      </c>
      <c r="H317" s="38" t="n">
        <v>-6.03</v>
      </c>
      <c r="I317" s="38" t="n">
        <v>-8.33</v>
      </c>
      <c r="J317" s="13" t="n">
        <v>11961</v>
      </c>
      <c r="K317" s="13" t="n">
        <v>11558.31</v>
      </c>
      <c r="L317" s="13" t="n">
        <v>523.88</v>
      </c>
      <c r="M317" s="13" t="n">
        <v>415.5</v>
      </c>
      <c r="N317" s="13" t="n">
        <v>4276</v>
      </c>
      <c r="O317" s="38" t="n">
        <v>9.720000000000001</v>
      </c>
      <c r="P317" s="39" t="inlineStr">
        <is>
          <t>Calm</t>
        </is>
      </c>
      <c r="Q317" s="13" t="n">
        <v>452</v>
      </c>
      <c r="R317" s="13" t="n">
        <v>716.88</v>
      </c>
      <c r="S317" s="13" t="n">
        <v>189.83</v>
      </c>
      <c r="T317" s="13" t="n">
        <v>10370.75</v>
      </c>
      <c r="U317" s="13" t="n">
        <v>679.51</v>
      </c>
      <c r="V317" s="13" t="n">
        <v>63.17</v>
      </c>
      <c r="W317" s="13" t="n">
        <v>-8.27</v>
      </c>
      <c r="X317" s="13" t="n">
        <v>601.13</v>
      </c>
      <c r="Y317" s="13" t="n">
        <v>243.86</v>
      </c>
      <c r="Z317" s="19" t="n"/>
      <c r="AA317" s="18" t="n"/>
      <c r="AB317" s="38" t="n">
        <v>9.44</v>
      </c>
      <c r="AC317" s="14">
        <f>IFERROR(AVERAGEIFS($E$16:$E$736,$W$16:$W$736,"&gt;="&amp;W317-$C$5,$W$16:$W$736,"&lt;="&amp;W317+$C$5,$B$16:$B$736,B317,$A$16:$A$736,"&lt;&gt;"&amp;A317),"")</f>
        <v/>
      </c>
      <c r="AD317" s="14">
        <f>IF(AND(ISNUMBER(E317),ISNUMBER(AC317)),E317-AC317,"")</f>
        <v/>
      </c>
    </row>
    <row r="318">
      <c r="A318" s="17" t="n">
        <v>45987</v>
      </c>
      <c r="B318" s="29">
        <f>MONTH(A318)</f>
        <v/>
      </c>
      <c r="C318" s="29">
        <f>IF(AND(ISNUMBER(W318),ISNUMBER($C$4),ABS(W318-$C$4)&lt;=$C$5,ABS(MOD(B318-$C$6+6,12)-6)&lt;=$C$7,OR($C$8="Any",P318=$C$8)),1,0)</f>
        <v/>
      </c>
      <c r="D318" s="29">
        <f>IF(C318=1,COUNTIF($C$16:C318,1),"")</f>
        <v/>
      </c>
      <c r="E318" s="18" t="n">
        <v>58.53</v>
      </c>
      <c r="F318" s="18" t="n">
        <v>65.83</v>
      </c>
      <c r="G318" s="18" t="n">
        <v>43.93</v>
      </c>
      <c r="H318" s="38" t="n">
        <v>-3.13</v>
      </c>
      <c r="I318" s="38" t="n">
        <v>-6.5</v>
      </c>
      <c r="J318" s="13" t="n">
        <v>11707</v>
      </c>
      <c r="K318" s="13" t="n">
        <v>11337.5</v>
      </c>
      <c r="L318" s="13" t="n">
        <v>476.06</v>
      </c>
      <c r="M318" s="13" t="n">
        <v>727.75</v>
      </c>
      <c r="N318" s="13" t="n">
        <v>4276</v>
      </c>
      <c r="O318" s="38" t="n">
        <v>17.02</v>
      </c>
      <c r="P318" s="39" t="inlineStr">
        <is>
          <t>Windy</t>
        </is>
      </c>
      <c r="Q318" s="13" t="n">
        <v>705</v>
      </c>
      <c r="R318" s="13" t="n">
        <v>739.61</v>
      </c>
      <c r="S318" s="13" t="n">
        <v>150.96</v>
      </c>
      <c r="T318" s="13" t="n">
        <v>9825.73</v>
      </c>
      <c r="U318" s="13" t="n">
        <v>698.33</v>
      </c>
      <c r="V318" s="13" t="n">
        <v>97.66</v>
      </c>
      <c r="W318" s="13" t="n">
        <v>45.12</v>
      </c>
      <c r="X318" s="13" t="n">
        <v>383.82</v>
      </c>
      <c r="Y318" s="13" t="n">
        <v>249.71</v>
      </c>
      <c r="Z318" s="19" t="n"/>
      <c r="AA318" s="18" t="n"/>
      <c r="AB318" s="38" t="n">
        <v>16.48</v>
      </c>
      <c r="AC318" s="14">
        <f>IFERROR(AVERAGEIFS($E$16:$E$736,$W$16:$W$736,"&gt;="&amp;W318-$C$5,$W$16:$W$736,"&lt;="&amp;W318+$C$5,$B$16:$B$736,B318,$A$16:$A$736,"&lt;&gt;"&amp;A318),"")</f>
        <v/>
      </c>
      <c r="AD318" s="14">
        <f>IF(AND(ISNUMBER(E318),ISNUMBER(AC318)),E318-AC318,"")</f>
        <v/>
      </c>
    </row>
    <row r="319">
      <c r="A319" s="17" t="n">
        <v>45986</v>
      </c>
      <c r="B319" s="29">
        <f>MONTH(A319)</f>
        <v/>
      </c>
      <c r="C319" s="29">
        <f>IF(AND(ISNUMBER(W319),ISNUMBER($C$4),ABS(W319-$C$4)&lt;=$C$5,ABS(MOD(B319-$C$6+6,12)-6)&lt;=$C$7,OR($C$8="Any",P319=$C$8)),1,0)</f>
        <v/>
      </c>
      <c r="D319" s="29">
        <f>IF(C319=1,COUNTIF($C$16:C319,1),"")</f>
        <v/>
      </c>
      <c r="E319" s="18" t="n">
        <v>56.88</v>
      </c>
      <c r="F319" s="18" t="n">
        <v>52.6</v>
      </c>
      <c r="G319" s="18" t="n">
        <v>65.45</v>
      </c>
      <c r="H319" s="38" t="n">
        <v>-3.23</v>
      </c>
      <c r="I319" s="38" t="n">
        <v>-7.57</v>
      </c>
      <c r="J319" s="13" t="n">
        <v>11705</v>
      </c>
      <c r="K319" s="13" t="n">
        <v>11307.25</v>
      </c>
      <c r="L319" s="13" t="n">
        <v>924.88</v>
      </c>
      <c r="M319" s="13" t="n">
        <v>792.04</v>
      </c>
      <c r="N319" s="13" t="n">
        <v>4276</v>
      </c>
      <c r="O319" s="38" t="n">
        <v>18.52</v>
      </c>
      <c r="P319" s="39" t="inlineStr">
        <is>
          <t>Windy</t>
        </is>
      </c>
      <c r="Q319" s="13" t="n">
        <v>695</v>
      </c>
      <c r="R319" s="13" t="n">
        <v>712.64</v>
      </c>
      <c r="S319" s="13" t="n">
        <v>170.33</v>
      </c>
      <c r="T319" s="13" t="n">
        <v>9593.48</v>
      </c>
      <c r="U319" s="13" t="n">
        <v>673.73</v>
      </c>
      <c r="V319" s="13" t="n">
        <v>402.27</v>
      </c>
      <c r="W319" s="13" t="n">
        <v>83.61</v>
      </c>
      <c r="X319" s="13" t="n">
        <v>581.3099999999999</v>
      </c>
      <c r="Y319" s="13" t="n">
        <v>287.82</v>
      </c>
      <c r="Z319" s="19" t="n"/>
      <c r="AA319" s="18" t="n"/>
      <c r="AB319" s="38" t="n">
        <v>15.4</v>
      </c>
      <c r="AC319" s="14">
        <f>IFERROR(AVERAGEIFS($E$16:$E$736,$W$16:$W$736,"&gt;="&amp;W319-$C$5,$W$16:$W$736,"&lt;="&amp;W319+$C$5,$B$16:$B$736,B319,$A$16:$A$736,"&lt;&gt;"&amp;A319),"")</f>
        <v/>
      </c>
      <c r="AD319" s="14">
        <f>IF(AND(ISNUMBER(E319),ISNUMBER(AC319)),E319-AC319,"")</f>
        <v/>
      </c>
    </row>
    <row r="320">
      <c r="A320" s="17" t="n">
        <v>45985</v>
      </c>
      <c r="B320" s="29">
        <f>MONTH(A320)</f>
        <v/>
      </c>
      <c r="C320" s="29">
        <f>IF(AND(ISNUMBER(W320),ISNUMBER($C$4),ABS(W320-$C$4)&lt;=$C$5,ABS(MOD(B320-$C$6+6,12)-6)&lt;=$C$7,OR($C$8="Any",P320=$C$8)),1,0)</f>
        <v/>
      </c>
      <c r="D320" s="29">
        <f>IF(C320=1,COUNTIF($C$16:C320,1),"")</f>
        <v/>
      </c>
      <c r="E320" s="18" t="n">
        <v>40.84</v>
      </c>
      <c r="F320" s="18" t="n">
        <v>40.34</v>
      </c>
      <c r="G320" s="18" t="n">
        <v>41.84</v>
      </c>
      <c r="H320" s="38" t="n">
        <v>-2.3</v>
      </c>
      <c r="I320" s="38" t="n">
        <v>-4.06</v>
      </c>
      <c r="J320" s="13" t="n">
        <v>11720</v>
      </c>
      <c r="K320" s="13" t="n">
        <v>11299.19</v>
      </c>
      <c r="L320" s="13" t="n">
        <v>1520</v>
      </c>
      <c r="M320" s="13" t="n">
        <v>1290.92</v>
      </c>
      <c r="N320" s="13" t="n">
        <v>4276</v>
      </c>
      <c r="O320" s="38" t="n">
        <v>30.19</v>
      </c>
      <c r="P320" s="39" t="inlineStr">
        <is>
          <t>Windy</t>
        </is>
      </c>
      <c r="Q320" s="13" t="n">
        <v>121</v>
      </c>
      <c r="R320" s="13" t="n">
        <v>751.6</v>
      </c>
      <c r="S320" s="13" t="n">
        <v>-11.12</v>
      </c>
      <c r="T320" s="13" t="n">
        <v>9838.83</v>
      </c>
      <c r="U320" s="13" t="n">
        <v>698.15</v>
      </c>
      <c r="V320" s="13" t="n">
        <v>468.93</v>
      </c>
      <c r="W320" s="13" t="n">
        <v>642.73</v>
      </c>
      <c r="X320" s="13" t="n">
        <v>1036.6</v>
      </c>
      <c r="Y320" s="13" t="n">
        <v>862.58</v>
      </c>
      <c r="Z320" s="19" t="n"/>
      <c r="AA320" s="18" t="n"/>
      <c r="AB320" s="38" t="n">
        <v>13.67</v>
      </c>
      <c r="AC320" s="14">
        <f>IFERROR(AVERAGEIFS($E$16:$E$736,$W$16:$W$736,"&gt;="&amp;W320-$C$5,$W$16:$W$736,"&lt;="&amp;W320+$C$5,$B$16:$B$736,B320,$A$16:$A$736,"&lt;&gt;"&amp;A320),"")</f>
        <v/>
      </c>
      <c r="AD320" s="14">
        <f>IF(AND(ISNUMBER(E320),ISNUMBER(AC320)),E320-AC320,"")</f>
        <v/>
      </c>
    </row>
    <row r="321">
      <c r="A321" s="17" t="n">
        <v>45984</v>
      </c>
      <c r="B321" s="29">
        <f>MONTH(A321)</f>
        <v/>
      </c>
      <c r="C321" s="29">
        <f>IF(AND(ISNUMBER(W321),ISNUMBER($C$4),ABS(W321-$C$4)&lt;=$C$5,ABS(MOD(B321-$C$6+6,12)-6)&lt;=$C$7,OR($C$8="Any",P321=$C$8)),1,0)</f>
        <v/>
      </c>
      <c r="D321" s="29">
        <f>IF(C321=1,COUNTIF($C$16:C321,1),"")</f>
        <v/>
      </c>
      <c r="E321" s="18" t="n">
        <v>35.77</v>
      </c>
      <c r="F321" s="18" t="n">
        <v>42.73</v>
      </c>
      <c r="G321" s="18" t="n">
        <v>21.86</v>
      </c>
      <c r="H321" s="38" t="n">
        <v>4.1</v>
      </c>
      <c r="I321" s="38" t="n">
        <v>1.62</v>
      </c>
      <c r="J321" s="13" t="n">
        <v>11286</v>
      </c>
      <c r="K321" s="13" t="n">
        <v>10757.62</v>
      </c>
      <c r="L321" s="13" t="n">
        <v>1042.81</v>
      </c>
      <c r="M321" s="13" t="n">
        <v>1549.71</v>
      </c>
      <c r="N321" s="13" t="n">
        <v>4276</v>
      </c>
      <c r="O321" s="38" t="n">
        <v>36.24</v>
      </c>
      <c r="P321" s="39" t="inlineStr">
        <is>
          <t>Windy</t>
        </is>
      </c>
      <c r="Q321" s="13" t="n">
        <v>716</v>
      </c>
      <c r="R321" s="13" t="n">
        <v>751.79</v>
      </c>
      <c r="S321" s="13" t="n">
        <v>-258.71</v>
      </c>
      <c r="T321" s="13" t="n">
        <v>9874.950000000001</v>
      </c>
      <c r="U321" s="13" t="n">
        <v>671.52</v>
      </c>
      <c r="V321" s="13" t="n">
        <v>48.83</v>
      </c>
      <c r="W321" s="13" t="n">
        <v>404.38</v>
      </c>
      <c r="X321" s="13" t="n">
        <v>1247.78</v>
      </c>
      <c r="Y321" s="13" t="n">
        <v>667.5599999999999</v>
      </c>
      <c r="Z321" s="19" t="n"/>
      <c r="AA321" s="18" t="n"/>
      <c r="AB321" s="38" t="n">
        <v>20.16</v>
      </c>
      <c r="AC321" s="14">
        <f>IFERROR(AVERAGEIFS($E$16:$E$736,$W$16:$W$736,"&gt;="&amp;W321-$C$5,$W$16:$W$736,"&lt;="&amp;W321+$C$5,$B$16:$B$736,B321,$A$16:$A$736,"&lt;&gt;"&amp;A321),"")</f>
        <v/>
      </c>
      <c r="AD321" s="14">
        <f>IF(AND(ISNUMBER(E321),ISNUMBER(AC321)),E321-AC321,"")</f>
        <v/>
      </c>
    </row>
    <row r="322">
      <c r="A322" s="17" t="n">
        <v>45983</v>
      </c>
      <c r="B322" s="29">
        <f>MONTH(A322)</f>
        <v/>
      </c>
      <c r="C322" s="29">
        <f>IF(AND(ISNUMBER(W322),ISNUMBER($C$4),ABS(W322-$C$4)&lt;=$C$5,ABS(MOD(B322-$C$6+6,12)-6)&lt;=$C$7,OR($C$8="Any",P322=$C$8)),1,0)</f>
        <v/>
      </c>
      <c r="D322" s="29">
        <f>IF(C322=1,COUNTIF($C$16:C322,1),"")</f>
        <v/>
      </c>
      <c r="E322" s="18" t="n">
        <v>23.67</v>
      </c>
      <c r="F322" s="18" t="n">
        <v>21.53</v>
      </c>
      <c r="G322" s="18" t="n">
        <v>27.94</v>
      </c>
      <c r="H322" s="38" t="n">
        <v>6.03</v>
      </c>
      <c r="I322" s="38" t="n">
        <v>2.86</v>
      </c>
      <c r="J322" s="13" t="n">
        <v>11203</v>
      </c>
      <c r="K322" s="13" t="n">
        <v>10760.5</v>
      </c>
      <c r="L322" s="13" t="n">
        <v>3096.62</v>
      </c>
      <c r="M322" s="13" t="n">
        <v>2896.38</v>
      </c>
      <c r="N322" s="13" t="n">
        <v>4276</v>
      </c>
      <c r="O322" s="38" t="n">
        <v>67.73999999999999</v>
      </c>
      <c r="P322" s="39" t="inlineStr">
        <is>
          <t>Windy</t>
        </is>
      </c>
      <c r="Q322" s="13" t="n">
        <v>752</v>
      </c>
      <c r="R322" s="13" t="n">
        <v>751.49</v>
      </c>
      <c r="S322" s="13" t="n">
        <v>-926.83</v>
      </c>
      <c r="T322" s="13" t="n">
        <v>9728.440000000001</v>
      </c>
      <c r="U322" s="13" t="n">
        <v>697.16</v>
      </c>
      <c r="V322" s="13" t="n">
        <v>22.29</v>
      </c>
      <c r="W322" s="13" t="n">
        <v>1663.75</v>
      </c>
      <c r="X322" s="13" t="n">
        <v>2308.32</v>
      </c>
      <c r="Y322" s="13" t="n">
        <v>1863.72</v>
      </c>
      <c r="Z322" s="19" t="n"/>
      <c r="AA322" s="18" t="n"/>
      <c r="AB322" s="38" t="n">
        <v>20.65</v>
      </c>
      <c r="AC322" s="14">
        <f>IFERROR(AVERAGEIFS($E$16:$E$736,$W$16:$W$736,"&gt;="&amp;W322-$C$5,$W$16:$W$736,"&lt;="&amp;W322+$C$5,$B$16:$B$736,B322,$A$16:$A$736,"&lt;&gt;"&amp;A322),"")</f>
        <v/>
      </c>
      <c r="AD322" s="14">
        <f>IF(AND(ISNUMBER(E322),ISNUMBER(AC322)),E322-AC322,"")</f>
        <v/>
      </c>
    </row>
    <row r="323">
      <c r="A323" s="17" t="n">
        <v>45982</v>
      </c>
      <c r="B323" s="29">
        <f>MONTH(A323)</f>
        <v/>
      </c>
      <c r="C323" s="29">
        <f>IF(AND(ISNUMBER(W323),ISNUMBER($C$4),ABS(W323-$C$4)&lt;=$C$5,ABS(MOD(B323-$C$6+6,12)-6)&lt;=$C$7,OR($C$8="Any",P323=$C$8)),1,0)</f>
        <v/>
      </c>
      <c r="D323" s="29">
        <f>IF(C323=1,COUNTIF($C$16:C323,1),"")</f>
        <v/>
      </c>
      <c r="E323" s="18" t="n">
        <v>23.83</v>
      </c>
      <c r="F323" s="18" t="n">
        <v>24.76</v>
      </c>
      <c r="G323" s="18" t="n">
        <v>21.97</v>
      </c>
      <c r="H323" s="38" t="n">
        <v>6.57</v>
      </c>
      <c r="I323" s="38" t="n">
        <v>3.3</v>
      </c>
      <c r="J323" s="13" t="n">
        <v>11351</v>
      </c>
      <c r="K323" s="13" t="n">
        <v>11107.25</v>
      </c>
      <c r="L323" s="13" t="n">
        <v>3194.88</v>
      </c>
      <c r="M323" s="13" t="n">
        <v>2996.25</v>
      </c>
      <c r="N323" s="13" t="n">
        <v>4276</v>
      </c>
      <c r="O323" s="38" t="n">
        <v>70.06999999999999</v>
      </c>
      <c r="P323" s="39" t="inlineStr">
        <is>
          <t>Windy</t>
        </is>
      </c>
      <c r="Q323" s="13" t="n">
        <v>394</v>
      </c>
      <c r="R323" s="13" t="n">
        <v>742.2</v>
      </c>
      <c r="S323" s="13" t="n">
        <v>-1023.38</v>
      </c>
      <c r="T323" s="13" t="n">
        <v>9381.58</v>
      </c>
      <c r="U323" s="13" t="n">
        <v>687.63</v>
      </c>
      <c r="V323" s="13" t="n">
        <v>480.35</v>
      </c>
      <c r="W323" s="13" t="n">
        <v>1117.39</v>
      </c>
      <c r="X323" s="13" t="n">
        <v>1519.2</v>
      </c>
      <c r="Y323" s="13" t="n">
        <v>1344.64</v>
      </c>
      <c r="Z323" s="19" t="n"/>
      <c r="AA323" s="18" t="n"/>
      <c r="AB323" s="38" t="n">
        <v>38.37</v>
      </c>
      <c r="AC323" s="14">
        <f>IFERROR(AVERAGEIFS($E$16:$E$736,$W$16:$W$736,"&gt;="&amp;W323-$C$5,$W$16:$W$736,"&lt;="&amp;W323+$C$5,$B$16:$B$736,B323,$A$16:$A$736,"&lt;&gt;"&amp;A323),"")</f>
        <v/>
      </c>
      <c r="AD323" s="14">
        <f>IF(AND(ISNUMBER(E323),ISNUMBER(AC323)),E323-AC323,"")</f>
        <v/>
      </c>
    </row>
    <row r="324">
      <c r="A324" s="17" t="n">
        <v>45981</v>
      </c>
      <c r="B324" s="29">
        <f>MONTH(A324)</f>
        <v/>
      </c>
      <c r="C324" s="29">
        <f>IF(AND(ISNUMBER(W324),ISNUMBER($C$4),ABS(W324-$C$4)&lt;=$C$5,ABS(MOD(B324-$C$6+6,12)-6)&lt;=$C$7,OR($C$8="Any",P324=$C$8)),1,0)</f>
        <v/>
      </c>
      <c r="D324" s="29">
        <f>IF(C324=1,COUNTIF($C$16:C324,1),"")</f>
        <v/>
      </c>
      <c r="E324" s="18" t="n">
        <v>33.25</v>
      </c>
      <c r="F324" s="18" t="n">
        <v>30.62</v>
      </c>
      <c r="G324" s="18" t="n">
        <v>38.5</v>
      </c>
      <c r="H324" s="38" t="n">
        <v>3.57</v>
      </c>
      <c r="I324" s="38" t="n">
        <v>-1.83</v>
      </c>
      <c r="J324" s="13" t="n">
        <v>11686</v>
      </c>
      <c r="K324" s="13" t="n">
        <v>11256.5</v>
      </c>
      <c r="L324" s="13" t="n">
        <v>2656.69</v>
      </c>
      <c r="M324" s="13" t="n">
        <v>2424.04</v>
      </c>
      <c r="N324" s="13" t="n">
        <v>4276</v>
      </c>
      <c r="O324" s="38" t="n">
        <v>56.69</v>
      </c>
      <c r="P324" s="39" t="inlineStr">
        <is>
          <t>Windy</t>
        </is>
      </c>
      <c r="Q324" s="13" t="n">
        <v>1108</v>
      </c>
      <c r="R324" s="13" t="n">
        <v>731.97</v>
      </c>
      <c r="S324" s="13" t="n">
        <v>-586.71</v>
      </c>
      <c r="T324" s="13" t="n">
        <v>9547.34</v>
      </c>
      <c r="U324" s="13" t="n">
        <v>673.73</v>
      </c>
      <c r="V324" s="13" t="n">
        <v>290.1</v>
      </c>
      <c r="W324" s="13" t="n">
        <v>866.97</v>
      </c>
      <c r="X324" s="13" t="n">
        <v>1740.18</v>
      </c>
      <c r="Y324" s="13" t="n">
        <v>1139.32</v>
      </c>
      <c r="Z324" s="19" t="n"/>
      <c r="AA324" s="18" t="n"/>
      <c r="AB324" s="38" t="n">
        <v>23.5</v>
      </c>
      <c r="AC324" s="14">
        <f>IFERROR(AVERAGEIFS($E$16:$E$736,$W$16:$W$736,"&gt;="&amp;W324-$C$5,$W$16:$W$736,"&lt;="&amp;W324+$C$5,$B$16:$B$736,B324,$A$16:$A$736,"&lt;&gt;"&amp;A324),"")</f>
        <v/>
      </c>
      <c r="AD324" s="14">
        <f>IF(AND(ISNUMBER(E324),ISNUMBER(AC324)),E324-AC324,"")</f>
        <v/>
      </c>
    </row>
    <row r="325">
      <c r="A325" s="17" t="n">
        <v>45980</v>
      </c>
      <c r="B325" s="29">
        <f>MONTH(A325)</f>
        <v/>
      </c>
      <c r="C325" s="29">
        <f>IF(AND(ISNUMBER(W325),ISNUMBER($C$4),ABS(W325-$C$4)&lt;=$C$5,ABS(MOD(B325-$C$6+6,12)-6)&lt;=$C$7,OR($C$8="Any",P325=$C$8)),1,0)</f>
        <v/>
      </c>
      <c r="D325" s="29">
        <f>IF(C325=1,COUNTIF($C$16:C325,1),"")</f>
        <v/>
      </c>
      <c r="E325" s="18" t="n">
        <v>95.79000000000001</v>
      </c>
      <c r="F325" s="18" t="n">
        <v>128.1</v>
      </c>
      <c r="G325" s="18" t="n">
        <v>31.18</v>
      </c>
      <c r="H325" s="38" t="n">
        <v>4.4</v>
      </c>
      <c r="I325" s="38" t="n">
        <v>-0.14</v>
      </c>
      <c r="J325" s="13" t="n">
        <v>11297</v>
      </c>
      <c r="K325" s="13" t="n">
        <v>11010</v>
      </c>
      <c r="L325" s="13" t="n">
        <v>895.0599999999999</v>
      </c>
      <c r="M325" s="13" t="n">
        <v>1234.42</v>
      </c>
      <c r="N325" s="13" t="n">
        <v>4276</v>
      </c>
      <c r="O325" s="38" t="n">
        <v>28.87</v>
      </c>
      <c r="P325" s="39" t="inlineStr">
        <is>
          <t>Windy</t>
        </is>
      </c>
      <c r="Q325" s="13" t="n">
        <v>1049</v>
      </c>
      <c r="R325" s="13" t="n">
        <v>756.92</v>
      </c>
      <c r="S325" s="13" t="n">
        <v>-73.25</v>
      </c>
      <c r="T325" s="13" t="n">
        <v>9594.99</v>
      </c>
      <c r="U325" s="13" t="n">
        <v>719.4299999999999</v>
      </c>
      <c r="V325" s="13" t="n">
        <v>130.31</v>
      </c>
      <c r="W325" s="13" t="n">
        <v>404.07</v>
      </c>
      <c r="X325" s="13" t="n">
        <v>1023.14</v>
      </c>
      <c r="Y325" s="13" t="n">
        <v>588.04</v>
      </c>
      <c r="Z325" s="19" t="n"/>
      <c r="AA325" s="18" t="n"/>
      <c r="AB325" s="38" t="n">
        <v>12.83</v>
      </c>
      <c r="AC325" s="14">
        <f>IFERROR(AVERAGEIFS($E$16:$E$736,$W$16:$W$736,"&gt;="&amp;W325-$C$5,$W$16:$W$736,"&lt;="&amp;W325+$C$5,$B$16:$B$736,B325,$A$16:$A$736,"&lt;&gt;"&amp;A325),"")</f>
        <v/>
      </c>
      <c r="AD325" s="14">
        <f>IF(AND(ISNUMBER(E325),ISNUMBER(AC325)),E325-AC325,"")</f>
        <v/>
      </c>
    </row>
    <row r="326">
      <c r="A326" s="17" t="n">
        <v>45979</v>
      </c>
      <c r="B326" s="29">
        <f>MONTH(A326)</f>
        <v/>
      </c>
      <c r="C326" s="29">
        <f>IF(AND(ISNUMBER(W326),ISNUMBER($C$4),ABS(W326-$C$4)&lt;=$C$5,ABS(MOD(B326-$C$6+6,12)-6)&lt;=$C$7,OR($C$8="Any",P326=$C$8)),1,0)</f>
        <v/>
      </c>
      <c r="D326" s="29">
        <f>IF(C326=1,COUNTIF($C$16:C326,1),"")</f>
        <v/>
      </c>
      <c r="E326" s="18" t="n">
        <v>140.37</v>
      </c>
      <c r="F326" s="18" t="n">
        <v>189.88</v>
      </c>
      <c r="G326" s="18" t="n">
        <v>41.36</v>
      </c>
      <c r="H326" s="38" t="n">
        <v>2.33</v>
      </c>
      <c r="I326" s="38" t="n">
        <v>-0.48</v>
      </c>
      <c r="J326" s="13" t="n">
        <v>11567</v>
      </c>
      <c r="K326" s="13" t="n">
        <v>11109.81</v>
      </c>
      <c r="L326" s="13" t="n">
        <v>780.9400000000001</v>
      </c>
      <c r="M326" s="13" t="n">
        <v>775.21</v>
      </c>
      <c r="N326" s="13" t="n">
        <v>4276</v>
      </c>
      <c r="O326" s="38" t="n">
        <v>18.13</v>
      </c>
      <c r="P326" s="39" t="inlineStr">
        <is>
          <t>Windy</t>
        </is>
      </c>
      <c r="Q326" s="13" t="n">
        <v>179</v>
      </c>
      <c r="R326" s="13" t="n">
        <v>744.75</v>
      </c>
      <c r="S326" s="13" t="n">
        <v>168.62</v>
      </c>
      <c r="T326" s="13" t="n">
        <v>9639.84</v>
      </c>
      <c r="U326" s="13" t="n">
        <v>703.74</v>
      </c>
      <c r="V326" s="13" t="n">
        <v>83.11</v>
      </c>
      <c r="W326" s="13" t="n">
        <v>172.28</v>
      </c>
      <c r="X326" s="13" t="n">
        <v>543.2</v>
      </c>
      <c r="Y326" s="13" t="n">
        <v>341.13</v>
      </c>
      <c r="Z326" s="19" t="n"/>
      <c r="AA326" s="18" t="n"/>
      <c r="AB326" s="38" t="n">
        <v>14.69</v>
      </c>
      <c r="AC326" s="14">
        <f>IFERROR(AVERAGEIFS($E$16:$E$736,$W$16:$W$736,"&gt;="&amp;W326-$C$5,$W$16:$W$736,"&lt;="&amp;W326+$C$5,$B$16:$B$736,B326,$A$16:$A$736,"&lt;&gt;"&amp;A326),"")</f>
        <v/>
      </c>
      <c r="AD326" s="14">
        <f>IF(AND(ISNUMBER(E326),ISNUMBER(AC326)),E326-AC326,"")</f>
        <v/>
      </c>
    </row>
    <row r="327">
      <c r="A327" s="17" t="n">
        <v>45978</v>
      </c>
      <c r="B327" s="29">
        <f>MONTH(A327)</f>
        <v/>
      </c>
      <c r="C327" s="29">
        <f>IF(AND(ISNUMBER(W327),ISNUMBER($C$4),ABS(W327-$C$4)&lt;=$C$5,ABS(MOD(B327-$C$6+6,12)-6)&lt;=$C$7,OR($C$8="Any",P327=$C$8)),1,0)</f>
        <v/>
      </c>
      <c r="D327" s="29">
        <f>IF(C327=1,COUNTIF($C$16:C327,1),"")</f>
        <v/>
      </c>
      <c r="E327" s="18" t="n">
        <v>38.42</v>
      </c>
      <c r="F327" s="18" t="n">
        <v>49.9</v>
      </c>
      <c r="G327" s="18" t="n">
        <v>15.47</v>
      </c>
      <c r="H327" s="38" t="n">
        <v>7.67</v>
      </c>
      <c r="I327" s="38" t="n">
        <v>3.83</v>
      </c>
      <c r="J327" s="13" t="n">
        <v>11385</v>
      </c>
      <c r="K327" s="13" t="n">
        <v>11074.94</v>
      </c>
      <c r="L327" s="13" t="n">
        <v>1633.38</v>
      </c>
      <c r="M327" s="13" t="n">
        <v>1843.12</v>
      </c>
      <c r="N327" s="13" t="n">
        <v>4276</v>
      </c>
      <c r="O327" s="38" t="n">
        <v>43.1</v>
      </c>
      <c r="P327" s="39" t="inlineStr">
        <is>
          <t>Windy</t>
        </is>
      </c>
      <c r="Q327" s="13" t="n">
        <v>654</v>
      </c>
      <c r="R327" s="13" t="n">
        <v>766.88</v>
      </c>
      <c r="S327" s="13" t="n">
        <v>-186.75</v>
      </c>
      <c r="T327" s="13" t="n">
        <v>9457.35</v>
      </c>
      <c r="U327" s="13" t="n">
        <v>731.85</v>
      </c>
      <c r="V327" s="13" t="n">
        <v>458.85</v>
      </c>
      <c r="W327" s="13" t="n">
        <v>588.83</v>
      </c>
      <c r="X327" s="13" t="n">
        <v>1254.34</v>
      </c>
      <c r="Y327" s="13" t="n">
        <v>759.24</v>
      </c>
      <c r="Z327" s="19" t="n"/>
      <c r="AA327" s="18" t="n"/>
      <c r="AB327" s="38" t="n">
        <v>23.69</v>
      </c>
      <c r="AC327" s="14">
        <f>IFERROR(AVERAGEIFS($E$16:$E$736,$W$16:$W$736,"&gt;="&amp;W327-$C$5,$W$16:$W$736,"&lt;="&amp;W327+$C$5,$B$16:$B$736,B327,$A$16:$A$736,"&lt;&gt;"&amp;A327),"")</f>
        <v/>
      </c>
      <c r="AD327" s="14">
        <f>IF(AND(ISNUMBER(E327),ISNUMBER(AC327)),E327-AC327,"")</f>
        <v/>
      </c>
    </row>
    <row r="328">
      <c r="A328" s="17" t="n">
        <v>45977</v>
      </c>
      <c r="B328" s="29">
        <f>MONTH(A328)</f>
        <v/>
      </c>
      <c r="C328" s="29">
        <f>IF(AND(ISNUMBER(W328),ISNUMBER($C$4),ABS(W328-$C$4)&lt;=$C$5,ABS(MOD(B328-$C$6+6,12)-6)&lt;=$C$7,OR($C$8="Any",P328=$C$8)),1,0)</f>
        <v/>
      </c>
      <c r="D328" s="29">
        <f>IF(C328=1,COUNTIF($C$16:C328,1),"")</f>
        <v/>
      </c>
      <c r="E328" s="18" t="n">
        <v>25.06</v>
      </c>
      <c r="F328" s="18" t="n">
        <v>19.11</v>
      </c>
      <c r="G328" s="18" t="n">
        <v>36.97</v>
      </c>
      <c r="H328" s="38" t="n">
        <v>6.57</v>
      </c>
      <c r="I328" s="38" t="n">
        <v>1.85</v>
      </c>
      <c r="J328" s="13" t="n">
        <v>11222</v>
      </c>
      <c r="K328" s="13" t="n">
        <v>10704.44</v>
      </c>
      <c r="L328" s="13" t="n">
        <v>2195.75</v>
      </c>
      <c r="M328" s="13" t="n">
        <v>1878.79</v>
      </c>
      <c r="N328" s="13" t="n">
        <v>4276</v>
      </c>
      <c r="O328" s="38" t="n">
        <v>43.94</v>
      </c>
      <c r="P328" s="39" t="inlineStr">
        <is>
          <t>Windy</t>
        </is>
      </c>
      <c r="Q328" s="13" t="n">
        <v>913</v>
      </c>
      <c r="R328" s="13" t="n">
        <v>778.35</v>
      </c>
      <c r="S328" s="13" t="n">
        <v>-540.25</v>
      </c>
      <c r="T328" s="13" t="n">
        <v>9846.67</v>
      </c>
      <c r="U328" s="13" t="n">
        <v>742.61</v>
      </c>
      <c r="V328" s="13" t="n">
        <v>393.98</v>
      </c>
      <c r="W328" s="13" t="n">
        <v>1570.77</v>
      </c>
      <c r="X328" s="13" t="n">
        <v>1990.91</v>
      </c>
      <c r="Y328" s="13" t="n">
        <v>1766.1</v>
      </c>
      <c r="Z328" s="19" t="n"/>
      <c r="AA328" s="18" t="n"/>
      <c r="AB328" s="38" t="n">
        <v>15.51</v>
      </c>
      <c r="AC328" s="14">
        <f>IFERROR(AVERAGEIFS($E$16:$E$736,$W$16:$W$736,"&gt;="&amp;W328-$C$5,$W$16:$W$736,"&lt;="&amp;W328+$C$5,$B$16:$B$736,B328,$A$16:$A$736,"&lt;&gt;"&amp;A328),"")</f>
        <v/>
      </c>
      <c r="AD328" s="14">
        <f>IF(AND(ISNUMBER(E328),ISNUMBER(AC328)),E328-AC328,"")</f>
        <v/>
      </c>
    </row>
    <row r="329">
      <c r="A329" s="17" t="n">
        <v>45976</v>
      </c>
      <c r="B329" s="29">
        <f>MONTH(A329)</f>
        <v/>
      </c>
      <c r="C329" s="29">
        <f>IF(AND(ISNUMBER(W329),ISNUMBER($C$4),ABS(W329-$C$4)&lt;=$C$5,ABS(MOD(B329-$C$6+6,12)-6)&lt;=$C$7,OR($C$8="Any",P329=$C$8)),1,0)</f>
        <v/>
      </c>
      <c r="D329" s="29">
        <f>IF(C329=1,COUNTIF($C$16:C329,1),"")</f>
        <v/>
      </c>
      <c r="E329" s="18" t="n">
        <v>61.17</v>
      </c>
      <c r="F329" s="18" t="n">
        <v>76.88</v>
      </c>
      <c r="G329" s="18" t="n">
        <v>29.76</v>
      </c>
      <c r="H329" s="38" t="n">
        <v>4.37</v>
      </c>
      <c r="I329" s="38" t="n">
        <v>-0.37</v>
      </c>
      <c r="J329" s="13" t="n">
        <v>10879</v>
      </c>
      <c r="K329" s="13" t="n">
        <v>10666.62</v>
      </c>
      <c r="L329" s="13" t="n">
        <v>1386.31</v>
      </c>
      <c r="M329" s="13" t="n">
        <v>1466.67</v>
      </c>
      <c r="N329" s="13" t="n">
        <v>4276</v>
      </c>
      <c r="O329" s="38" t="n">
        <v>34.3</v>
      </c>
      <c r="P329" s="39" t="inlineStr">
        <is>
          <t>Windy</t>
        </is>
      </c>
      <c r="Q329" s="13" t="n">
        <v>1051</v>
      </c>
      <c r="R329" s="13" t="n">
        <v>774.38</v>
      </c>
      <c r="S329" s="13" t="n">
        <v>-194.88</v>
      </c>
      <c r="T329" s="13" t="n">
        <v>9794.940000000001</v>
      </c>
      <c r="U329" s="13" t="n">
        <v>738.0599999999999</v>
      </c>
      <c r="V329" s="13" t="n">
        <v>266.26</v>
      </c>
      <c r="W329" s="13" t="n">
        <v>655.58</v>
      </c>
      <c r="X329" s="13" t="n">
        <v>1649.64</v>
      </c>
      <c r="Y329" s="13" t="n">
        <v>864.0599999999999</v>
      </c>
      <c r="Z329" s="19" t="n"/>
      <c r="AA329" s="18" t="n"/>
      <c r="AB329" s="38" t="n">
        <v>22.1</v>
      </c>
      <c r="AC329" s="14">
        <f>IFERROR(AVERAGEIFS($E$16:$E$736,$W$16:$W$736,"&gt;="&amp;W329-$C$5,$W$16:$W$736,"&lt;="&amp;W329+$C$5,$B$16:$B$736,B329,$A$16:$A$736,"&lt;&gt;"&amp;A329),"")</f>
        <v/>
      </c>
      <c r="AD329" s="14">
        <f>IF(AND(ISNUMBER(E329),ISNUMBER(AC329)),E329-AC329,"")</f>
        <v/>
      </c>
    </row>
    <row r="330">
      <c r="A330" s="17" t="n">
        <v>45975</v>
      </c>
      <c r="B330" s="29">
        <f>MONTH(A330)</f>
        <v/>
      </c>
      <c r="C330" s="29">
        <f>IF(AND(ISNUMBER(W330),ISNUMBER($C$4),ABS(W330-$C$4)&lt;=$C$5,ABS(MOD(B330-$C$6+6,12)-6)&lt;=$C$7,OR($C$8="Any",P330=$C$8)),1,0)</f>
        <v/>
      </c>
      <c r="D330" s="29">
        <f>IF(C330=1,COUNTIF($C$16:C330,1),"")</f>
        <v/>
      </c>
      <c r="E330" s="18" t="n">
        <v>45.69</v>
      </c>
      <c r="F330" s="18" t="n">
        <v>56.07</v>
      </c>
      <c r="G330" s="18" t="n">
        <v>24.92</v>
      </c>
      <c r="H330" s="38" t="n">
        <v>4.4</v>
      </c>
      <c r="I330" s="38" t="n">
        <v>0.27</v>
      </c>
      <c r="J330" s="13" t="n">
        <v>11397</v>
      </c>
      <c r="K330" s="13" t="n">
        <v>11052.88</v>
      </c>
      <c r="L330" s="13" t="n">
        <v>1252.88</v>
      </c>
      <c r="M330" s="13" t="n">
        <v>1521.38</v>
      </c>
      <c r="N330" s="13" t="n">
        <v>4276</v>
      </c>
      <c r="O330" s="38" t="n">
        <v>35.58</v>
      </c>
      <c r="P330" s="39" t="inlineStr">
        <is>
          <t>Windy</t>
        </is>
      </c>
      <c r="Q330" s="13" t="n">
        <v>199</v>
      </c>
      <c r="R330" s="13" t="n">
        <v>713.51</v>
      </c>
      <c r="S330" s="13" t="n">
        <v>-79.25</v>
      </c>
      <c r="T330" s="13" t="n">
        <v>9884.610000000001</v>
      </c>
      <c r="U330" s="13" t="n">
        <v>722.62</v>
      </c>
      <c r="V330" s="13" t="n">
        <v>54.87</v>
      </c>
      <c r="W330" s="13" t="n">
        <v>620.83</v>
      </c>
      <c r="X330" s="13" t="n">
        <v>1284.27</v>
      </c>
      <c r="Y330" s="13" t="n">
        <v>891.4</v>
      </c>
      <c r="Z330" s="19" t="n"/>
      <c r="AA330" s="18" t="n"/>
      <c r="AB330" s="38" t="n">
        <v>16.96</v>
      </c>
      <c r="AC330" s="14">
        <f>IFERROR(AVERAGEIFS($E$16:$E$736,$W$16:$W$736,"&gt;="&amp;W330-$C$5,$W$16:$W$736,"&lt;="&amp;W330+$C$5,$B$16:$B$736,B330,$A$16:$A$736,"&lt;&gt;"&amp;A330),"")</f>
        <v/>
      </c>
      <c r="AD330" s="14">
        <f>IF(AND(ISNUMBER(E330),ISNUMBER(AC330)),E330-AC330,"")</f>
        <v/>
      </c>
    </row>
    <row r="331">
      <c r="A331" s="17" t="n">
        <v>45974</v>
      </c>
      <c r="B331" s="29">
        <f>MONTH(A331)</f>
        <v/>
      </c>
      <c r="C331" s="29">
        <f>IF(AND(ISNUMBER(W331),ISNUMBER($C$4),ABS(W331-$C$4)&lt;=$C$5,ABS(MOD(B331-$C$6+6,12)-6)&lt;=$C$7,OR($C$8="Any",P331=$C$8)),1,0)</f>
        <v/>
      </c>
      <c r="D331" s="29">
        <f>IF(C331=1,COUNTIF($C$16:C331,1),"")</f>
        <v/>
      </c>
      <c r="E331" s="18" t="n">
        <v>3.9</v>
      </c>
      <c r="F331" s="18" t="n">
        <v>4.78</v>
      </c>
      <c r="G331" s="18" t="n">
        <v>2.13</v>
      </c>
      <c r="H331" s="38" t="n">
        <v>10.87</v>
      </c>
      <c r="I331" s="38" t="n">
        <v>6.02</v>
      </c>
      <c r="J331" s="13" t="n">
        <v>11386</v>
      </c>
      <c r="K331" s="13" t="n">
        <v>10906.94</v>
      </c>
      <c r="L331" s="13" t="n">
        <v>3604.44</v>
      </c>
      <c r="M331" s="13" t="n">
        <v>3474.21</v>
      </c>
      <c r="N331" s="13" t="n">
        <v>4276</v>
      </c>
      <c r="O331" s="38" t="n">
        <v>81.25</v>
      </c>
      <c r="P331" s="39" t="inlineStr">
        <is>
          <t>Windy</t>
        </is>
      </c>
      <c r="Q331" s="13" t="n">
        <v>517</v>
      </c>
      <c r="R331" s="13" t="n">
        <v>769.6900000000001</v>
      </c>
      <c r="S331" s="13" t="n">
        <v>-827.46</v>
      </c>
      <c r="T331" s="13" t="n">
        <v>9420.67</v>
      </c>
      <c r="U331" s="13" t="n">
        <v>725.95</v>
      </c>
      <c r="V331" s="13" t="n">
        <v>658.51</v>
      </c>
      <c r="W331" s="13" t="n">
        <v>1887.07</v>
      </c>
      <c r="X331" s="13" t="n">
        <v>2413.09</v>
      </c>
      <c r="Y331" s="13" t="n">
        <v>2080.01</v>
      </c>
      <c r="Z331" s="19" t="n"/>
      <c r="AA331" s="18" t="n"/>
      <c r="AB331" s="38" t="n">
        <v>32.62</v>
      </c>
      <c r="AC331" s="14">
        <f>IFERROR(AVERAGEIFS($E$16:$E$736,$W$16:$W$736,"&gt;="&amp;W331-$C$5,$W$16:$W$736,"&lt;="&amp;W331+$C$5,$B$16:$B$736,B331,$A$16:$A$736,"&lt;&gt;"&amp;A331),"")</f>
        <v/>
      </c>
      <c r="AD331" s="14">
        <f>IF(AND(ISNUMBER(E331),ISNUMBER(AC331)),E331-AC331,"")</f>
        <v/>
      </c>
    </row>
    <row r="332">
      <c r="A332" s="17" t="n">
        <v>45973</v>
      </c>
      <c r="B332" s="29">
        <f>MONTH(A332)</f>
        <v/>
      </c>
      <c r="C332" s="29">
        <f>IF(AND(ISNUMBER(W332),ISNUMBER($C$4),ABS(W332-$C$4)&lt;=$C$5,ABS(MOD(B332-$C$6+6,12)-6)&lt;=$C$7,OR($C$8="Any",P332=$C$8)),1,0)</f>
        <v/>
      </c>
      <c r="D332" s="29">
        <f>IF(C332=1,COUNTIF($C$16:C332,1),"")</f>
        <v/>
      </c>
      <c r="E332" s="18" t="n">
        <v>49.29</v>
      </c>
      <c r="F332" s="18" t="n">
        <v>44.47</v>
      </c>
      <c r="G332" s="18" t="n">
        <v>56.5</v>
      </c>
      <c r="H332" s="38" t="n">
        <v>6.5</v>
      </c>
      <c r="I332" s="38" t="n">
        <v>2.46</v>
      </c>
      <c r="J332" s="13" t="n">
        <v>11269</v>
      </c>
      <c r="K332" s="13" t="n">
        <v>10813.42</v>
      </c>
      <c r="L332" s="13" t="n">
        <v>1349.83</v>
      </c>
      <c r="M332" s="13" t="n">
        <v>1269.55</v>
      </c>
      <c r="N332" s="13" t="n">
        <v>4276</v>
      </c>
      <c r="O332" s="38" t="n">
        <v>29.69</v>
      </c>
      <c r="P332" s="39" t="inlineStr">
        <is>
          <t>Windy</t>
        </is>
      </c>
      <c r="Q332" s="13" t="n">
        <v>653</v>
      </c>
      <c r="R332" s="13" t="n">
        <v>763.48</v>
      </c>
      <c r="S332" s="13" t="n">
        <v>104.3</v>
      </c>
      <c r="T332" s="13" t="n">
        <v>9531.049999999999</v>
      </c>
      <c r="U332" s="13" t="n">
        <v>743.33</v>
      </c>
      <c r="V332" s="13" t="n">
        <v>73.87</v>
      </c>
      <c r="W332" s="13" t="n">
        <v>714.33</v>
      </c>
      <c r="X332" s="13" t="n">
        <v>1310.97</v>
      </c>
      <c r="Y332" s="13" t="n">
        <v>899.59</v>
      </c>
      <c r="Z332" s="19" t="n"/>
      <c r="AA332" s="18" t="n"/>
      <c r="AB332" s="38" t="n">
        <v>16.81</v>
      </c>
      <c r="AC332" s="14">
        <f>IFERROR(AVERAGEIFS($E$16:$E$736,$W$16:$W$736,"&gt;="&amp;W332-$C$5,$W$16:$W$736,"&lt;="&amp;W332+$C$5,$B$16:$B$736,B332,$A$16:$A$736,"&lt;&gt;"&amp;A332),"")</f>
        <v/>
      </c>
      <c r="AD332" s="14">
        <f>IF(AND(ISNUMBER(E332),ISNUMBER(AC332)),E332-AC332,"")</f>
        <v/>
      </c>
    </row>
    <row r="333">
      <c r="A333" s="17" t="n">
        <v>45972</v>
      </c>
      <c r="B333" s="29">
        <f>MONTH(A333)</f>
        <v/>
      </c>
      <c r="C333" s="29">
        <f>IF(AND(ISNUMBER(W333),ISNUMBER($C$4),ABS(W333-$C$4)&lt;=$C$5,ABS(MOD(B333-$C$6+6,12)-6)&lt;=$C$7,OR($C$8="Any",P333=$C$8)),1,0)</f>
        <v/>
      </c>
      <c r="D333" s="29">
        <f>IF(C333=1,COUNTIF($C$16:C333,1),"")</f>
        <v/>
      </c>
      <c r="E333" s="18" t="n">
        <v>38.95</v>
      </c>
      <c r="F333" s="18" t="n">
        <v>48.46</v>
      </c>
      <c r="G333" s="18" t="n">
        <v>19.93</v>
      </c>
      <c r="H333" s="38" t="n">
        <v>9.67</v>
      </c>
      <c r="I333" s="38" t="n">
        <v>5.96</v>
      </c>
      <c r="J333" s="13" t="n">
        <v>11037</v>
      </c>
      <c r="K333" s="13" t="n">
        <v>10584.88</v>
      </c>
      <c r="L333" s="13" t="n">
        <v>1929.25</v>
      </c>
      <c r="M333" s="13" t="n">
        <v>2056.25</v>
      </c>
      <c r="N333" s="13" t="n">
        <v>4276</v>
      </c>
      <c r="O333" s="38" t="n">
        <v>48.09</v>
      </c>
      <c r="P333" s="39" t="inlineStr">
        <is>
          <t>Windy</t>
        </is>
      </c>
      <c r="Q333" s="13" t="n">
        <v>870</v>
      </c>
      <c r="R333" s="13" t="n">
        <v>765.72</v>
      </c>
      <c r="S333" s="13" t="n">
        <v>-274.46</v>
      </c>
      <c r="T333" s="13" t="n">
        <v>9053.190000000001</v>
      </c>
      <c r="U333" s="13" t="n">
        <v>729.88</v>
      </c>
      <c r="V333" s="13" t="n">
        <v>176.98</v>
      </c>
      <c r="W333" s="13" t="n">
        <v>680.13</v>
      </c>
      <c r="X333" s="13" t="n">
        <v>1491.13</v>
      </c>
      <c r="Y333" s="13" t="n">
        <v>875.4299999999999</v>
      </c>
      <c r="Z333" s="19" t="n"/>
      <c r="AA333" s="18" t="n"/>
      <c r="AB333" s="38" t="n">
        <v>29.84</v>
      </c>
      <c r="AC333" s="14">
        <f>IFERROR(AVERAGEIFS($E$16:$E$736,$W$16:$W$736,"&gt;="&amp;W333-$C$5,$W$16:$W$736,"&lt;="&amp;W333+$C$5,$B$16:$B$736,B333,$A$16:$A$736,"&lt;&gt;"&amp;A333),"")</f>
        <v/>
      </c>
      <c r="AD333" s="14">
        <f>IF(AND(ISNUMBER(E333),ISNUMBER(AC333)),E333-AC333,"")</f>
        <v/>
      </c>
    </row>
    <row r="334">
      <c r="A334" s="17" t="n">
        <v>45971</v>
      </c>
      <c r="B334" s="29">
        <f>MONTH(A334)</f>
        <v/>
      </c>
      <c r="C334" s="29">
        <f>IF(AND(ISNUMBER(W334),ISNUMBER($C$4),ABS(W334-$C$4)&lt;=$C$5,ABS(MOD(B334-$C$6+6,12)-6)&lt;=$C$7,OR($C$8="Any",P334=$C$8)),1,0)</f>
        <v/>
      </c>
      <c r="D334" s="29">
        <f>IF(C334=1,COUNTIF($C$16:C334,1),"")</f>
        <v/>
      </c>
      <c r="E334" s="18" t="n">
        <v>9.51</v>
      </c>
      <c r="F334" s="18" t="n">
        <v>13.5</v>
      </c>
      <c r="G334" s="18" t="n">
        <v>1.51</v>
      </c>
      <c r="H334" s="38" t="n">
        <v>12.3</v>
      </c>
      <c r="I334" s="38" t="n">
        <v>8.92</v>
      </c>
      <c r="J334" s="13" t="n">
        <v>11284</v>
      </c>
      <c r="K334" s="13" t="n">
        <v>10864.44</v>
      </c>
      <c r="L334" s="13" t="n">
        <v>3033.25</v>
      </c>
      <c r="M334" s="13" t="n">
        <v>3253.67</v>
      </c>
      <c r="N334" s="13" t="n">
        <v>4276</v>
      </c>
      <c r="O334" s="38" t="n">
        <v>76.09</v>
      </c>
      <c r="P334" s="39" t="inlineStr">
        <is>
          <t>Windy</t>
        </is>
      </c>
      <c r="Q334" s="13" t="n">
        <v>503</v>
      </c>
      <c r="R334" s="13" t="n">
        <v>763.25</v>
      </c>
      <c r="S334" s="13" t="n">
        <v>-579.62</v>
      </c>
      <c r="T334" s="13" t="n">
        <v>9103.309999999999</v>
      </c>
      <c r="U334" s="13" t="n">
        <v>698.15</v>
      </c>
      <c r="V334" s="13" t="n">
        <v>193.91</v>
      </c>
      <c r="W334" s="13" t="n">
        <v>1381.43</v>
      </c>
      <c r="X334" s="13" t="n">
        <v>1860.46</v>
      </c>
      <c r="Y334" s="13" t="n">
        <v>1572.56</v>
      </c>
      <c r="Z334" s="19" t="n"/>
      <c r="AA334" s="18" t="n"/>
      <c r="AB334" s="38" t="n">
        <v>41.28</v>
      </c>
      <c r="AC334" s="14">
        <f>IFERROR(AVERAGEIFS($E$16:$E$736,$W$16:$W$736,"&gt;="&amp;W334-$C$5,$W$16:$W$736,"&lt;="&amp;W334+$C$5,$B$16:$B$736,B334,$A$16:$A$736,"&lt;&gt;"&amp;A334),"")</f>
        <v/>
      </c>
      <c r="AD334" s="14">
        <f>IF(AND(ISNUMBER(E334),ISNUMBER(AC334)),E334-AC334,"")</f>
        <v/>
      </c>
    </row>
    <row r="335">
      <c r="A335" s="17" t="n">
        <v>45970</v>
      </c>
      <c r="B335" s="29">
        <f>MONTH(A335)</f>
        <v/>
      </c>
      <c r="C335" s="29">
        <f>IF(AND(ISNUMBER(W335),ISNUMBER($C$4),ABS(W335-$C$4)&lt;=$C$5,ABS(MOD(B335-$C$6+6,12)-6)&lt;=$C$7,OR($C$8="Any",P335=$C$8)),1,0)</f>
        <v/>
      </c>
      <c r="D335" s="29">
        <f>IF(C335=1,COUNTIF($C$16:C335,1),"")</f>
        <v/>
      </c>
      <c r="E335" s="18" t="n">
        <v>18.48</v>
      </c>
      <c r="F335" s="18" t="n">
        <v>12.91</v>
      </c>
      <c r="G335" s="18" t="n">
        <v>29.64</v>
      </c>
      <c r="H335" s="38" t="n">
        <v>7.37</v>
      </c>
      <c r="I335" s="38" t="n">
        <v>3.02</v>
      </c>
      <c r="J335" s="13" t="n">
        <v>11248</v>
      </c>
      <c r="K335" s="13" t="n">
        <v>10698</v>
      </c>
      <c r="L335" s="13" t="n">
        <v>3431.06</v>
      </c>
      <c r="M335" s="13" t="n">
        <v>3108.75</v>
      </c>
      <c r="N335" s="13" t="n">
        <v>4276</v>
      </c>
      <c r="O335" s="38" t="n">
        <v>72.7</v>
      </c>
      <c r="P335" s="39" t="inlineStr">
        <is>
          <t>Windy</t>
        </is>
      </c>
      <c r="Q335" s="13" t="n">
        <v>511</v>
      </c>
      <c r="R335" s="13" t="n">
        <v>765.09</v>
      </c>
      <c r="S335" s="13" t="n">
        <v>-651</v>
      </c>
      <c r="T335" s="13" t="n">
        <v>9014.690000000001</v>
      </c>
      <c r="U335" s="13" t="n">
        <v>701.22</v>
      </c>
      <c r="V335" s="13" t="n">
        <v>292.5</v>
      </c>
      <c r="W335" s="13" t="n">
        <v>1600.22</v>
      </c>
      <c r="X335" s="13" t="n">
        <v>2131.49</v>
      </c>
      <c r="Y335" s="13" t="n">
        <v>1819.54</v>
      </c>
      <c r="Z335" s="19" t="n"/>
      <c r="AA335" s="18" t="n"/>
      <c r="AB335" s="38" t="n">
        <v>30.05</v>
      </c>
      <c r="AC335" s="14">
        <f>IFERROR(AVERAGEIFS($E$16:$E$736,$W$16:$W$736,"&gt;="&amp;W335-$C$5,$W$16:$W$736,"&lt;="&amp;W335+$C$5,$B$16:$B$736,B335,$A$16:$A$736,"&lt;&gt;"&amp;A335),"")</f>
        <v/>
      </c>
      <c r="AD335" s="14">
        <f>IF(AND(ISNUMBER(E335),ISNUMBER(AC335)),E335-AC335,"")</f>
        <v/>
      </c>
    </row>
    <row r="336">
      <c r="A336" s="17" t="n">
        <v>45969</v>
      </c>
      <c r="B336" s="29">
        <f>MONTH(A336)</f>
        <v/>
      </c>
      <c r="C336" s="29">
        <f>IF(AND(ISNUMBER(W336),ISNUMBER($C$4),ABS(W336-$C$4)&lt;=$C$5,ABS(MOD(B336-$C$6+6,12)-6)&lt;=$C$7,OR($C$8="Any",P336=$C$8)),1,0)</f>
        <v/>
      </c>
      <c r="D336" s="29">
        <f>IF(C336=1,COUNTIF($C$16:C336,1),"")</f>
        <v/>
      </c>
      <c r="E336" s="18" t="n">
        <v>106.73</v>
      </c>
      <c r="F336" s="18" t="n">
        <v>135.15</v>
      </c>
      <c r="G336" s="18" t="n">
        <v>49.91</v>
      </c>
      <c r="H336" s="38" t="n">
        <v>5.1</v>
      </c>
      <c r="I336" s="38" t="n">
        <v>1.35</v>
      </c>
      <c r="J336" s="13" t="n">
        <v>10868</v>
      </c>
      <c r="K336" s="13" t="n">
        <v>10521.88</v>
      </c>
      <c r="L336" s="13" t="n">
        <v>907.1900000000001</v>
      </c>
      <c r="M336" s="13" t="n">
        <v>974.88</v>
      </c>
      <c r="N336" s="13" t="n">
        <v>4276</v>
      </c>
      <c r="O336" s="38" t="n">
        <v>22.8</v>
      </c>
      <c r="P336" s="39" t="inlineStr">
        <is>
          <t>Windy</t>
        </is>
      </c>
      <c r="Q336" s="13" t="n">
        <v>855</v>
      </c>
      <c r="R336" s="13" t="n">
        <v>765.09</v>
      </c>
      <c r="S336" s="13" t="n">
        <v>163.54</v>
      </c>
      <c r="T336" s="13" t="n">
        <v>8975.709999999999</v>
      </c>
      <c r="U336" s="13" t="n">
        <v>735.85</v>
      </c>
      <c r="V336" s="13" t="n">
        <v>47.69</v>
      </c>
      <c r="W336" s="13" t="n">
        <v>292.35</v>
      </c>
      <c r="X336" s="13" t="n">
        <v>895.6</v>
      </c>
      <c r="Y336" s="13" t="n">
        <v>484.79</v>
      </c>
      <c r="Z336" s="19" t="n"/>
      <c r="AA336" s="18" t="n"/>
      <c r="AB336" s="38" t="n">
        <v>20.23</v>
      </c>
      <c r="AC336" s="14">
        <f>IFERROR(AVERAGEIFS($E$16:$E$736,$W$16:$W$736,"&gt;="&amp;W336-$C$5,$W$16:$W$736,"&lt;="&amp;W336+$C$5,$B$16:$B$736,B336,$A$16:$A$736,"&lt;&gt;"&amp;A336),"")</f>
        <v/>
      </c>
      <c r="AD336" s="14">
        <f>IF(AND(ISNUMBER(E336),ISNUMBER(AC336)),E336-AC336,"")</f>
        <v/>
      </c>
    </row>
    <row r="337">
      <c r="A337" s="17" t="n">
        <v>45968</v>
      </c>
      <c r="B337" s="29">
        <f>MONTH(A337)</f>
        <v/>
      </c>
      <c r="C337" s="29">
        <f>IF(AND(ISNUMBER(W337),ISNUMBER($C$4),ABS(W337-$C$4)&lt;=$C$5,ABS(MOD(B337-$C$6+6,12)-6)&lt;=$C$7,OR($C$8="Any",P337=$C$8)),1,0)</f>
        <v/>
      </c>
      <c r="D337" s="29">
        <f>IF(C337=1,COUNTIF($C$16:C337,1),"")</f>
        <v/>
      </c>
      <c r="E337" s="18" t="n">
        <v>37.34</v>
      </c>
      <c r="F337" s="18" t="n">
        <v>22.05</v>
      </c>
      <c r="G337" s="18" t="n">
        <v>67.91</v>
      </c>
      <c r="H337" s="38" t="n">
        <v>2.03</v>
      </c>
      <c r="I337" s="38" t="n">
        <v>0.68</v>
      </c>
      <c r="J337" s="13" t="n">
        <v>11392</v>
      </c>
      <c r="K337" s="13" t="n">
        <v>11106.94</v>
      </c>
      <c r="L337" s="13" t="n">
        <v>2487.69</v>
      </c>
      <c r="M337" s="13" t="n">
        <v>2232.75</v>
      </c>
      <c r="N337" s="13" t="n">
        <v>4276</v>
      </c>
      <c r="O337" s="38" t="n">
        <v>52.22</v>
      </c>
      <c r="P337" s="39" t="inlineStr">
        <is>
          <t>Windy</t>
        </is>
      </c>
      <c r="Q337" s="13" t="n">
        <v>149</v>
      </c>
      <c r="R337" s="13" t="n">
        <v>763.48</v>
      </c>
      <c r="S337" s="13" t="n">
        <v>-144.58</v>
      </c>
      <c r="T337" s="13" t="n">
        <v>8801.709999999999</v>
      </c>
      <c r="U337" s="13" t="n">
        <v>689.17</v>
      </c>
      <c r="V337" s="13" t="n">
        <v>115.25</v>
      </c>
      <c r="W337" s="13" t="n">
        <v>703.8200000000001</v>
      </c>
      <c r="X337" s="13" t="n">
        <v>998.5599999999999</v>
      </c>
      <c r="Y337" s="13" t="n">
        <v>970.35</v>
      </c>
      <c r="Z337" s="19" t="n"/>
      <c r="AA337" s="18" t="n"/>
      <c r="AB337" s="38" t="n">
        <v>27.53</v>
      </c>
      <c r="AC337" s="14">
        <f>IFERROR(AVERAGEIFS($E$16:$E$736,$W$16:$W$736,"&gt;="&amp;W337-$C$5,$W$16:$W$736,"&lt;="&amp;W337+$C$5,$B$16:$B$736,B337,$A$16:$A$736,"&lt;&gt;"&amp;A337),"")</f>
        <v/>
      </c>
      <c r="AD337" s="14">
        <f>IF(AND(ISNUMBER(E337),ISNUMBER(AC337)),E337-AC337,"")</f>
        <v/>
      </c>
    </row>
    <row r="338">
      <c r="A338" s="17" t="n">
        <v>45967</v>
      </c>
      <c r="B338" s="29">
        <f>MONTH(A338)</f>
        <v/>
      </c>
      <c r="C338" s="29">
        <f>IF(AND(ISNUMBER(W338),ISNUMBER($C$4),ABS(W338-$C$4)&lt;=$C$5,ABS(MOD(B338-$C$6+6,12)-6)&lt;=$C$7,OR($C$8="Any",P338=$C$8)),1,0)</f>
        <v/>
      </c>
      <c r="D338" s="29">
        <f>IF(C338=1,COUNTIF($C$16:C338,1),"")</f>
        <v/>
      </c>
      <c r="E338" s="18" t="n">
        <v>85.84999999999999</v>
      </c>
      <c r="F338" s="18" t="n">
        <v>124.04</v>
      </c>
      <c r="G338" s="18" t="n">
        <v>9.470000000000001</v>
      </c>
      <c r="H338" s="38" t="n">
        <v>6.87</v>
      </c>
      <c r="I338" s="38" t="n">
        <v>3.85</v>
      </c>
      <c r="J338" s="13" t="n">
        <v>11266</v>
      </c>
      <c r="K338" s="13" t="n">
        <v>10994.81</v>
      </c>
      <c r="L338" s="13" t="n">
        <v>2380.88</v>
      </c>
      <c r="M338" s="13" t="n">
        <v>2549.12</v>
      </c>
      <c r="N338" s="13" t="n">
        <v>4276</v>
      </c>
      <c r="O338" s="38" t="n">
        <v>59.61</v>
      </c>
      <c r="P338" s="39" t="inlineStr">
        <is>
          <t>Windy</t>
        </is>
      </c>
      <c r="Q338" s="13" t="n">
        <v>993</v>
      </c>
      <c r="R338" s="13" t="n">
        <v>760.89</v>
      </c>
      <c r="S338" s="13" t="n">
        <v>-325.79</v>
      </c>
      <c r="T338" s="13" t="n">
        <v>8882.1</v>
      </c>
      <c r="U338" s="13" t="n">
        <v>712.42</v>
      </c>
      <c r="V338" s="13" t="n">
        <v>203.98</v>
      </c>
      <c r="W338" s="13" t="n">
        <v>268.9</v>
      </c>
      <c r="X338" s="13" t="n">
        <v>1337.14</v>
      </c>
      <c r="Y338" s="13" t="n">
        <v>484.28</v>
      </c>
      <c r="Z338" s="19" t="n"/>
      <c r="AA338" s="18" t="n"/>
      <c r="AB338" s="38" t="n">
        <v>26.54</v>
      </c>
      <c r="AC338" s="14">
        <f>IFERROR(AVERAGEIFS($E$16:$E$736,$W$16:$W$736,"&gt;="&amp;W338-$C$5,$W$16:$W$736,"&lt;="&amp;W338+$C$5,$B$16:$B$736,B338,$A$16:$A$736,"&lt;&gt;"&amp;A338),"")</f>
        <v/>
      </c>
      <c r="AD338" s="14">
        <f>IF(AND(ISNUMBER(E338),ISNUMBER(AC338)),E338-AC338,"")</f>
        <v/>
      </c>
    </row>
    <row r="339">
      <c r="A339" s="17" t="n">
        <v>45966</v>
      </c>
      <c r="B339" s="29">
        <f>MONTH(A339)</f>
        <v/>
      </c>
      <c r="C339" s="29">
        <f>IF(AND(ISNUMBER(W339),ISNUMBER($C$4),ABS(W339-$C$4)&lt;=$C$5,ABS(MOD(B339-$C$6+6,12)-6)&lt;=$C$7,OR($C$8="Any",P339=$C$8)),1,0)</f>
        <v/>
      </c>
      <c r="D339" s="29">
        <f>IF(C339=1,COUNTIF($C$16:C339,1),"")</f>
        <v/>
      </c>
      <c r="E339" s="18" t="n">
        <v>30.06</v>
      </c>
      <c r="F339" s="18" t="n">
        <v>21.87</v>
      </c>
      <c r="G339" s="18" t="n">
        <v>46.45</v>
      </c>
      <c r="H339" s="38" t="n">
        <v>3.7</v>
      </c>
      <c r="I339" s="38" t="n">
        <v>-0.12</v>
      </c>
      <c r="J339" s="13" t="n">
        <v>11423</v>
      </c>
      <c r="K339" s="13" t="n">
        <v>11022.75</v>
      </c>
      <c r="L339" s="13" t="n">
        <v>2494.69</v>
      </c>
      <c r="M339" s="13" t="n">
        <v>2256.71</v>
      </c>
      <c r="N339" s="13" t="n">
        <v>4276</v>
      </c>
      <c r="O339" s="38" t="n">
        <v>52.78</v>
      </c>
      <c r="P339" s="39" t="inlineStr">
        <is>
          <t>Windy</t>
        </is>
      </c>
      <c r="Q339" s="13" t="n">
        <v>521</v>
      </c>
      <c r="R339" s="13" t="n">
        <v>743.59</v>
      </c>
      <c r="S339" s="13" t="n">
        <v>-118.62</v>
      </c>
      <c r="T339" s="13" t="n">
        <v>8848.799999999999</v>
      </c>
      <c r="U339" s="13" t="n">
        <v>618.8099999999999</v>
      </c>
      <c r="V339" s="13" t="n">
        <v>204.25</v>
      </c>
      <c r="W339" s="13" t="n">
        <v>642.62</v>
      </c>
      <c r="X339" s="13" t="n">
        <v>1192.88</v>
      </c>
      <c r="Y339" s="13" t="n">
        <v>861.15</v>
      </c>
      <c r="Z339" s="19" t="n"/>
      <c r="AA339" s="18" t="n"/>
      <c r="AB339" s="38" t="n">
        <v>19.74</v>
      </c>
      <c r="AC339" s="14">
        <f>IFERROR(AVERAGEIFS($E$16:$E$736,$W$16:$W$736,"&gt;="&amp;W339-$C$5,$W$16:$W$736,"&lt;="&amp;W339+$C$5,$B$16:$B$736,B339,$A$16:$A$736,"&lt;&gt;"&amp;A339),"")</f>
        <v/>
      </c>
      <c r="AD339" s="14">
        <f>IF(AND(ISNUMBER(E339),ISNUMBER(AC339)),E339-AC339,"")</f>
        <v/>
      </c>
    </row>
    <row r="340">
      <c r="A340" s="17" t="n">
        <v>45965</v>
      </c>
      <c r="B340" s="29">
        <f>MONTH(A340)</f>
        <v/>
      </c>
      <c r="C340" s="29">
        <f>IF(AND(ISNUMBER(W340),ISNUMBER($C$4),ABS(W340-$C$4)&lt;=$C$5,ABS(MOD(B340-$C$6+6,12)-6)&lt;=$C$7,OR($C$8="Any",P340=$C$8)),1,0)</f>
        <v/>
      </c>
      <c r="D340" s="29">
        <f>IF(C340=1,COUNTIF($C$16:C340,1),"")</f>
        <v/>
      </c>
      <c r="E340" s="18" t="n">
        <v>288.6</v>
      </c>
      <c r="F340" s="18" t="n">
        <v>349.86</v>
      </c>
      <c r="G340" s="18" t="n">
        <v>166.1</v>
      </c>
      <c r="H340" s="38" t="n">
        <v>5.57</v>
      </c>
      <c r="I340" s="38" t="n">
        <v>0.65</v>
      </c>
      <c r="J340" s="13" t="n">
        <v>20301</v>
      </c>
      <c r="K340" s="13" t="n">
        <v>11231.75</v>
      </c>
      <c r="L340" s="13" t="n">
        <v>647.5599999999999</v>
      </c>
      <c r="M340" s="13" t="n">
        <v>738.25</v>
      </c>
      <c r="N340" s="13" t="n">
        <v>4276</v>
      </c>
      <c r="O340" s="38" t="n">
        <v>17.26</v>
      </c>
      <c r="P340" s="39" t="inlineStr">
        <is>
          <t>Windy</t>
        </is>
      </c>
      <c r="Q340" s="13" t="n">
        <v>1265</v>
      </c>
      <c r="R340" s="13" t="n">
        <v>678.71</v>
      </c>
      <c r="S340" s="13" t="n">
        <v>287.46</v>
      </c>
      <c r="T340" s="13" t="n">
        <v>8879.610000000001</v>
      </c>
      <c r="U340" s="13" t="n">
        <v>669.61</v>
      </c>
      <c r="V340" s="13" t="n">
        <v>47.69</v>
      </c>
      <c r="W340" s="13" t="n">
        <v>-8026.29</v>
      </c>
      <c r="X340" s="13" t="n">
        <v>13.56</v>
      </c>
      <c r="Y340" s="13" t="n">
        <v>-7857</v>
      </c>
      <c r="Z340" s="19" t="n"/>
      <c r="AA340" s="18" t="n"/>
      <c r="AB340" s="38" t="n">
        <v>14.37</v>
      </c>
      <c r="AC340" s="14">
        <f>IFERROR(AVERAGEIFS($E$16:$E$736,$W$16:$W$736,"&gt;="&amp;W340-$C$5,$W$16:$W$736,"&lt;="&amp;W340+$C$5,$B$16:$B$736,B340,$A$16:$A$736,"&lt;&gt;"&amp;A340),"")</f>
        <v/>
      </c>
      <c r="AD340" s="14">
        <f>IF(AND(ISNUMBER(E340),ISNUMBER(AC340)),E340-AC340,"")</f>
        <v/>
      </c>
    </row>
    <row r="341">
      <c r="A341" s="17" t="n">
        <v>45964</v>
      </c>
      <c r="B341" s="29">
        <f>MONTH(A341)</f>
        <v/>
      </c>
      <c r="C341" s="29">
        <f>IF(AND(ISNUMBER(W341),ISNUMBER($C$4),ABS(W341-$C$4)&lt;=$C$5,ABS(MOD(B341-$C$6+6,12)-6)&lt;=$C$7,OR($C$8="Any",P341=$C$8)),1,0)</f>
        <v/>
      </c>
      <c r="D341" s="29">
        <f>IF(C341=1,COUNTIF($C$16:C341,1),"")</f>
        <v/>
      </c>
      <c r="E341" s="18" t="n">
        <v>164.78</v>
      </c>
      <c r="F341" s="18" t="n">
        <v>224.65</v>
      </c>
      <c r="G341" s="18" t="n">
        <v>45.05</v>
      </c>
      <c r="H341" s="38" t="n">
        <v>6.87</v>
      </c>
      <c r="I341" s="38" t="n">
        <v>2.55</v>
      </c>
      <c r="J341" s="13" t="n">
        <v>10960</v>
      </c>
      <c r="K341" s="13" t="n">
        <v>10657.31</v>
      </c>
      <c r="L341" s="13" t="n">
        <v>1087.81</v>
      </c>
      <c r="M341" s="13" t="n">
        <v>1816.38</v>
      </c>
      <c r="N341" s="13" t="n">
        <v>4276</v>
      </c>
      <c r="O341" s="38" t="n">
        <v>42.48</v>
      </c>
      <c r="P341" s="39" t="inlineStr">
        <is>
          <t>Windy</t>
        </is>
      </c>
      <c r="Q341" s="13" t="n">
        <v>884</v>
      </c>
      <c r="R341" s="13" t="n">
        <v>676.2</v>
      </c>
      <c r="S341" s="13" t="n">
        <v>147.17</v>
      </c>
      <c r="T341" s="13" t="n">
        <v>8608.66</v>
      </c>
      <c r="U341" s="13" t="n">
        <v>666.84</v>
      </c>
      <c r="V341" s="13" t="n">
        <v>378.35</v>
      </c>
      <c r="W341" s="13" t="n">
        <v>-42.49</v>
      </c>
      <c r="X341" s="13" t="n">
        <v>614.55</v>
      </c>
      <c r="Y341" s="13" t="n">
        <v>119.32</v>
      </c>
      <c r="Z341" s="19" t="n"/>
      <c r="AA341" s="18" t="n"/>
      <c r="AB341" s="38" t="n">
        <v>17.43</v>
      </c>
      <c r="AC341" s="14">
        <f>IFERROR(AVERAGEIFS($E$16:$E$736,$W$16:$W$736,"&gt;="&amp;W341-$C$5,$W$16:$W$736,"&lt;="&amp;W341+$C$5,$B$16:$B$736,B341,$A$16:$A$736,"&lt;&gt;"&amp;A341),"")</f>
        <v/>
      </c>
      <c r="AD341" s="14">
        <f>IF(AND(ISNUMBER(E341),ISNUMBER(AC341)),E341-AC341,"")</f>
        <v/>
      </c>
    </row>
    <row r="342">
      <c r="A342" s="17" t="n">
        <v>45963</v>
      </c>
      <c r="B342" s="29">
        <f>MONTH(A342)</f>
        <v/>
      </c>
      <c r="C342" s="29">
        <f>IF(AND(ISNUMBER(W342),ISNUMBER($C$4),ABS(W342-$C$4)&lt;=$C$5,ABS(MOD(B342-$C$6+6,12)-6)&lt;=$C$7,OR($C$8="Any",P342=$C$8)),1,0)</f>
        <v/>
      </c>
      <c r="D342" s="29">
        <f>IF(C342=1,COUNTIF($C$16:C342,1),"")</f>
        <v/>
      </c>
      <c r="E342" s="18" t="n">
        <v>9.34</v>
      </c>
      <c r="F342" s="18" t="n">
        <v>0.42</v>
      </c>
      <c r="G342" s="18" t="n">
        <v>33.11</v>
      </c>
      <c r="H342" s="38" t="n">
        <v>7.17</v>
      </c>
      <c r="I342" s="38" t="n">
        <v>4.27</v>
      </c>
      <c r="J342" s="13" t="n">
        <v>11210</v>
      </c>
      <c r="K342" s="13" t="n">
        <v>10643.12</v>
      </c>
      <c r="L342" s="13" t="n">
        <v>3742.81</v>
      </c>
      <c r="M342" s="13" t="n">
        <v>3595.45</v>
      </c>
      <c r="N342" s="13" t="n">
        <v>4271.36</v>
      </c>
      <c r="O342" s="38" t="n">
        <v>84.18000000000001</v>
      </c>
      <c r="P342" s="39" t="inlineStr">
        <is>
          <t>Windy</t>
        </is>
      </c>
      <c r="Q342" s="13" t="n">
        <v>1089</v>
      </c>
      <c r="R342" s="13" t="n">
        <v>670.6900000000001</v>
      </c>
      <c r="S342" s="13" t="n">
        <v>-430.36</v>
      </c>
      <c r="T342" s="13" t="n">
        <v>8307.51</v>
      </c>
      <c r="U342" s="13" t="n">
        <v>700.49</v>
      </c>
      <c r="V342" s="13" t="n">
        <v>170.88</v>
      </c>
      <c r="W342" s="13" t="n">
        <v>1354.9</v>
      </c>
      <c r="X342" s="13" t="n">
        <v>2416.57</v>
      </c>
      <c r="Y342" s="13" t="n">
        <v>1446</v>
      </c>
      <c r="Z342" s="19" t="n"/>
      <c r="AA342" s="18" t="n"/>
      <c r="AB342" s="38" t="n">
        <v>40.07</v>
      </c>
      <c r="AC342" s="14">
        <f>IFERROR(AVERAGEIFS($E$16:$E$736,$W$16:$W$736,"&gt;="&amp;W342-$C$5,$W$16:$W$736,"&lt;="&amp;W342+$C$5,$B$16:$B$736,B342,$A$16:$A$736,"&lt;&gt;"&amp;A342),"")</f>
        <v/>
      </c>
      <c r="AD342" s="14">
        <f>IF(AND(ISNUMBER(E342),ISNUMBER(AC342)),E342-AC342,"")</f>
        <v/>
      </c>
    </row>
    <row r="343">
      <c r="A343" s="17" t="n">
        <v>45962</v>
      </c>
      <c r="B343" s="29">
        <f>MONTH(A343)</f>
        <v/>
      </c>
      <c r="C343" s="29">
        <f>IF(AND(ISNUMBER(W343),ISNUMBER($C$4),ABS(W343-$C$4)&lt;=$C$5,ABS(MOD(B343-$C$6+6,12)-6)&lt;=$C$7,OR($C$8="Any",P343=$C$8)),1,0)</f>
        <v/>
      </c>
      <c r="D343" s="29">
        <f>IF(C343=1,COUNTIF($C$16:C343,1),"")</f>
        <v/>
      </c>
      <c r="E343" s="18" t="n">
        <v>11.82</v>
      </c>
      <c r="F343" s="18" t="n">
        <v>16.99</v>
      </c>
      <c r="G343" s="18" t="n">
        <v>0</v>
      </c>
      <c r="H343" s="38" t="n">
        <v>11.27</v>
      </c>
      <c r="I343" s="38" t="n">
        <v>8.23</v>
      </c>
      <c r="J343" s="13" t="n">
        <v>10816</v>
      </c>
      <c r="K343" s="13" t="n">
        <v>10455.62</v>
      </c>
      <c r="L343" s="13" t="n">
        <v>3179.12</v>
      </c>
      <c r="M343" s="13" t="n">
        <v>3253.22</v>
      </c>
      <c r="N343" s="13" t="n">
        <v>4270</v>
      </c>
      <c r="O343" s="38" t="n">
        <v>76.19</v>
      </c>
      <c r="P343" s="39" t="inlineStr">
        <is>
          <t>Windy</t>
        </is>
      </c>
      <c r="Q343" s="13" t="n">
        <v>696</v>
      </c>
      <c r="R343" s="13" t="n">
        <v>624.8</v>
      </c>
      <c r="S343" s="13" t="n">
        <v>-420.13</v>
      </c>
      <c r="T343" s="13" t="n">
        <v>8645.309999999999</v>
      </c>
      <c r="U343" s="13" t="n">
        <v>697.47</v>
      </c>
      <c r="V343" s="13" t="n">
        <v>8522.66</v>
      </c>
      <c r="W343" s="13" t="n">
        <v>1661.58</v>
      </c>
      <c r="X343" s="13" t="n">
        <v>2152.71</v>
      </c>
      <c r="Y343" s="13" t="n">
        <v>1706.15</v>
      </c>
      <c r="Z343" s="19" t="n"/>
      <c r="AA343" s="18" t="n"/>
      <c r="AB343" s="38" t="n">
        <v>27.64</v>
      </c>
      <c r="AC343" s="14">
        <f>IFERROR(AVERAGEIFS($E$16:$E$736,$W$16:$W$736,"&gt;="&amp;W343-$C$5,$W$16:$W$736,"&lt;="&amp;W343+$C$5,$B$16:$B$736,B343,$A$16:$A$736,"&lt;&gt;"&amp;A343),"")</f>
        <v/>
      </c>
      <c r="AD343" s="14">
        <f>IF(AND(ISNUMBER(E343),ISNUMBER(AC343)),E343-AC343,"")</f>
        <v/>
      </c>
    </row>
    <row r="344">
      <c r="A344" s="17" t="n">
        <v>45961</v>
      </c>
      <c r="B344" s="29">
        <f>MONTH(A344)</f>
        <v/>
      </c>
      <c r="C344" s="29">
        <f>IF(AND(ISNUMBER(W344),ISNUMBER($C$4),ABS(W344-$C$4)&lt;=$C$5,ABS(MOD(B344-$C$6+6,12)-6)&lt;=$C$7,OR($C$8="Any",P344=$C$8)),1,0)</f>
        <v/>
      </c>
      <c r="D344" s="29">
        <f>IF(C344=1,COUNTIF($C$16:C344,1),"")</f>
        <v/>
      </c>
      <c r="E344" s="18" t="n">
        <v>32.59</v>
      </c>
      <c r="F344" s="18" t="n">
        <v>16.04</v>
      </c>
      <c r="G344" s="18" t="n">
        <v>65.69</v>
      </c>
      <c r="H344" s="38" t="n">
        <v>7.23</v>
      </c>
      <c r="I344" s="38" t="n">
        <v>2.37</v>
      </c>
      <c r="J344" s="13" t="n">
        <v>11164</v>
      </c>
      <c r="K344" s="13" t="n">
        <v>10919.19</v>
      </c>
      <c r="L344" s="13" t="n">
        <v>2913.75</v>
      </c>
      <c r="M344" s="13" t="n">
        <v>2350.38</v>
      </c>
      <c r="N344" s="13" t="n">
        <v>4270</v>
      </c>
      <c r="O344" s="38" t="n">
        <v>55.04</v>
      </c>
      <c r="P344" s="39" t="inlineStr">
        <is>
          <t>Windy</t>
        </is>
      </c>
      <c r="Q344" s="13" t="n">
        <v>902</v>
      </c>
      <c r="R344" s="13" t="n">
        <v>706.39</v>
      </c>
      <c r="S344" s="13" t="n">
        <v>-317.42</v>
      </c>
      <c r="T344" s="13" t="n">
        <v>8866.120000000001</v>
      </c>
      <c r="U344" s="13" t="n">
        <v>705.22</v>
      </c>
      <c r="V344" s="13" t="n">
        <v>8712.23</v>
      </c>
      <c r="W344" s="13" t="n">
        <v>820.83</v>
      </c>
      <c r="X344" s="13" t="n">
        <v>1613.62</v>
      </c>
      <c r="Y344" s="13" t="n">
        <v>1029.45</v>
      </c>
      <c r="Z344" s="19" t="n"/>
      <c r="AA344" s="18" t="n"/>
      <c r="AB344" s="38" t="n">
        <v>30.05</v>
      </c>
      <c r="AC344" s="14">
        <f>IFERROR(AVERAGEIFS($E$16:$E$736,$W$16:$W$736,"&gt;="&amp;W344-$C$5,$W$16:$W$736,"&lt;="&amp;W344+$C$5,$B$16:$B$736,B344,$A$16:$A$736,"&lt;&gt;"&amp;A344),"")</f>
        <v/>
      </c>
      <c r="AD344" s="14">
        <f>IF(AND(ISNUMBER(E344),ISNUMBER(AC344)),E344-AC344,"")</f>
        <v/>
      </c>
    </row>
    <row r="345">
      <c r="A345" s="17" t="n">
        <v>45960</v>
      </c>
      <c r="B345" s="29">
        <f>MONTH(A345)</f>
        <v/>
      </c>
      <c r="C345" s="29">
        <f>IF(AND(ISNUMBER(W345),ISNUMBER($C$4),ABS(W345-$C$4)&lt;=$C$5,ABS(MOD(B345-$C$6+6,12)-6)&lt;=$C$7,OR($C$8="Any",P345=$C$8)),1,0)</f>
        <v/>
      </c>
      <c r="D345" s="29">
        <f>IF(C345=1,COUNTIF($C$16:C345,1),"")</f>
        <v/>
      </c>
      <c r="E345" s="18" t="n">
        <v>74.61</v>
      </c>
      <c r="F345" s="18" t="n">
        <v>102.32</v>
      </c>
      <c r="G345" s="18" t="n">
        <v>19.2</v>
      </c>
      <c r="H345" s="38" t="n">
        <v>7.53</v>
      </c>
      <c r="I345" s="38" t="n">
        <v>3.2</v>
      </c>
      <c r="J345" s="13" t="n">
        <v>10898</v>
      </c>
      <c r="K345" s="13" t="n">
        <v>10654.88</v>
      </c>
      <c r="L345" s="13" t="n">
        <v>920.0599999999999</v>
      </c>
      <c r="M345" s="13" t="n">
        <v>1461.58</v>
      </c>
      <c r="N345" s="13" t="n">
        <v>4270</v>
      </c>
      <c r="O345" s="38" t="n">
        <v>34.23</v>
      </c>
      <c r="P345" s="39" t="inlineStr">
        <is>
          <t>Windy</t>
        </is>
      </c>
      <c r="Q345" s="13" t="n">
        <v>1101</v>
      </c>
      <c r="R345" s="13" t="n">
        <v>732.27</v>
      </c>
      <c r="S345" s="13" t="n">
        <v>54.96</v>
      </c>
      <c r="T345" s="13" t="n">
        <v>8534.15</v>
      </c>
      <c r="U345" s="13" t="n">
        <v>722.1900000000001</v>
      </c>
      <c r="V345" s="13" t="n">
        <v>8763.530000000001</v>
      </c>
      <c r="W345" s="13" t="n">
        <v>-205.58</v>
      </c>
      <c r="X345" s="13" t="n">
        <v>465.75</v>
      </c>
      <c r="Y345" s="13" t="n">
        <v>13.83</v>
      </c>
      <c r="Z345" s="19" t="n"/>
      <c r="AA345" s="18" t="n"/>
      <c r="AB345" s="38" t="n">
        <v>13.92</v>
      </c>
      <c r="AC345" s="14">
        <f>IFERROR(AVERAGEIFS($E$16:$E$736,$W$16:$W$736,"&gt;="&amp;W345-$C$5,$W$16:$W$736,"&lt;="&amp;W345+$C$5,$B$16:$B$736,B345,$A$16:$A$736,"&lt;&gt;"&amp;A345),"")</f>
        <v/>
      </c>
      <c r="AD345" s="14">
        <f>IF(AND(ISNUMBER(E345),ISNUMBER(AC345)),E345-AC345,"")</f>
        <v/>
      </c>
    </row>
    <row r="346">
      <c r="A346" s="17" t="n">
        <v>45959</v>
      </c>
      <c r="B346" s="29">
        <f>MONTH(A346)</f>
        <v/>
      </c>
      <c r="C346" s="29">
        <f>IF(AND(ISNUMBER(W346),ISNUMBER($C$4),ABS(W346-$C$4)&lt;=$C$5,ABS(MOD(B346-$C$6+6,12)-6)&lt;=$C$7,OR($C$8="Any",P346=$C$8)),1,0)</f>
        <v/>
      </c>
      <c r="D346" s="29">
        <f>IF(C346=1,COUNTIF($C$16:C346,1),"")</f>
        <v/>
      </c>
      <c r="E346" s="18" t="n">
        <v>1.71</v>
      </c>
      <c r="F346" s="18" t="n">
        <v>2.56</v>
      </c>
      <c r="G346" s="18" t="n">
        <v>0</v>
      </c>
      <c r="H346" s="38" t="n">
        <v>8.23</v>
      </c>
      <c r="I346" s="38" t="n">
        <v>4.87</v>
      </c>
      <c r="J346" s="13" t="n">
        <v>11015</v>
      </c>
      <c r="K346" s="13" t="n">
        <v>10752.31</v>
      </c>
      <c r="L346" s="13" t="n">
        <v>2639.62</v>
      </c>
      <c r="M346" s="13" t="n">
        <v>2722.79</v>
      </c>
      <c r="N346" s="13" t="n">
        <v>4270</v>
      </c>
      <c r="O346" s="38" t="n">
        <v>63.77</v>
      </c>
      <c r="P346" s="39" t="inlineStr">
        <is>
          <t>Windy</t>
        </is>
      </c>
      <c r="Q346" s="13" t="n">
        <v>707</v>
      </c>
      <c r="R346" s="13" t="n">
        <v>679.08</v>
      </c>
      <c r="S346" s="13" t="n">
        <v>-517.88</v>
      </c>
      <c r="T346" s="13" t="n">
        <v>8335.459999999999</v>
      </c>
      <c r="U346" s="13" t="n">
        <v>724.59</v>
      </c>
      <c r="V346" s="13" t="n">
        <v>8642.33</v>
      </c>
      <c r="W346" s="13" t="n">
        <v>38.48</v>
      </c>
      <c r="X346" s="13" t="n">
        <v>863.5599999999999</v>
      </c>
      <c r="Y346" s="13" t="n">
        <v>36.35</v>
      </c>
      <c r="Z346" s="19" t="n"/>
      <c r="AA346" s="18" t="n"/>
      <c r="AB346" s="38" t="n">
        <v>35.85</v>
      </c>
      <c r="AC346" s="14">
        <f>IFERROR(AVERAGEIFS($E$16:$E$736,$W$16:$W$736,"&gt;="&amp;W346-$C$5,$W$16:$W$736,"&lt;="&amp;W346+$C$5,$B$16:$B$736,B346,$A$16:$A$736,"&lt;&gt;"&amp;A346),"")</f>
        <v/>
      </c>
      <c r="AD346" s="14">
        <f>IF(AND(ISNUMBER(E346),ISNUMBER(AC346)),E346-AC346,"")</f>
        <v/>
      </c>
    </row>
    <row r="347">
      <c r="A347" s="17" t="n">
        <v>45958</v>
      </c>
      <c r="B347" s="29">
        <f>MONTH(A347)</f>
        <v/>
      </c>
      <c r="C347" s="29">
        <f>IF(AND(ISNUMBER(W347),ISNUMBER($C$4),ABS(W347-$C$4)&lt;=$C$5,ABS(MOD(B347-$C$6+6,12)-6)&lt;=$C$7,OR($C$8="Any",P347=$C$8)),1,0)</f>
        <v/>
      </c>
      <c r="D347" s="29">
        <f>IF(C347=1,COUNTIF($C$16:C347,1),"")</f>
        <v/>
      </c>
      <c r="E347" s="18" t="n">
        <v>28.64</v>
      </c>
      <c r="F347" s="18" t="n">
        <v>41.66</v>
      </c>
      <c r="G347" s="18" t="n">
        <v>2.6</v>
      </c>
      <c r="H347" s="38" t="n">
        <v>6.53</v>
      </c>
      <c r="I347" s="38" t="n">
        <v>2.47</v>
      </c>
      <c r="J347" s="13" t="n">
        <v>10768</v>
      </c>
      <c r="K347" s="13" t="n">
        <v>10563.19</v>
      </c>
      <c r="L347" s="13" t="n">
        <v>1923.5</v>
      </c>
      <c r="M347" s="13" t="n">
        <v>2217.21</v>
      </c>
      <c r="N347" s="13" t="n">
        <v>4270</v>
      </c>
      <c r="O347" s="38" t="n">
        <v>51.93</v>
      </c>
      <c r="P347" s="39" t="inlineStr">
        <is>
          <t>Windy</t>
        </is>
      </c>
      <c r="Q347" s="13" t="n">
        <v>1316</v>
      </c>
      <c r="R347" s="13" t="n">
        <v>641.36</v>
      </c>
      <c r="S347" s="13" t="n">
        <v>-278.42</v>
      </c>
      <c r="T347" s="13" t="n">
        <v>8427.92</v>
      </c>
      <c r="U347" s="13" t="n">
        <v>717.4</v>
      </c>
      <c r="V347" s="13" t="n">
        <v>8895.57</v>
      </c>
      <c r="W347" s="13" t="n">
        <v>693.5700000000001</v>
      </c>
      <c r="X347" s="13" t="n">
        <v>1104.43</v>
      </c>
      <c r="Y347" s="13" t="n">
        <v>740.8200000000001</v>
      </c>
      <c r="Z347" s="19" t="n"/>
      <c r="AA347" s="18" t="n"/>
      <c r="AB347" s="38" t="n">
        <v>21.46</v>
      </c>
      <c r="AC347" s="14">
        <f>IFERROR(AVERAGEIFS($E$16:$E$736,$W$16:$W$736,"&gt;="&amp;W347-$C$5,$W$16:$W$736,"&lt;="&amp;W347+$C$5,$B$16:$B$736,B347,$A$16:$A$736,"&lt;&gt;"&amp;A347),"")</f>
        <v/>
      </c>
      <c r="AD347" s="14">
        <f>IF(AND(ISNUMBER(E347),ISNUMBER(AC347)),E347-AC347,"")</f>
        <v/>
      </c>
    </row>
    <row r="348">
      <c r="A348" s="17" t="n">
        <v>45951</v>
      </c>
      <c r="B348" s="29">
        <f>MONTH(A348)</f>
        <v/>
      </c>
      <c r="C348" s="29">
        <f>IF(AND(ISNUMBER(W348),ISNUMBER($C$4),ABS(W348-$C$4)&lt;=$C$5,ABS(MOD(B348-$C$6+6,12)-6)&lt;=$C$7,OR($C$8="Any",P348=$C$8)),1,0)</f>
        <v/>
      </c>
      <c r="D348" s="29">
        <f>IF(C348=1,COUNTIF($C$16:C348,1),"")</f>
        <v/>
      </c>
      <c r="E348" s="18" t="n">
        <v>13.26</v>
      </c>
      <c r="F348" s="18" t="n">
        <v>17.73</v>
      </c>
      <c r="G348" s="18" t="n">
        <v>4.33</v>
      </c>
      <c r="H348" s="38" t="n">
        <v>12.2</v>
      </c>
      <c r="I348" s="38" t="n">
        <v>7.46</v>
      </c>
      <c r="J348" s="13" t="n">
        <v>10657</v>
      </c>
      <c r="K348" s="13" t="n">
        <v>10501</v>
      </c>
      <c r="L348" s="13" t="n">
        <v>2244.12</v>
      </c>
      <c r="M348" s="13" t="n">
        <v>2524.33</v>
      </c>
      <c r="N348" s="13" t="n">
        <v>4270</v>
      </c>
      <c r="O348" s="38" t="n">
        <v>59.12</v>
      </c>
      <c r="P348" s="39" t="inlineStr">
        <is>
          <t>Windy</t>
        </is>
      </c>
      <c r="Q348" s="13" t="n">
        <v>1246</v>
      </c>
      <c r="R348" s="13" t="n">
        <v>634.0599999999999</v>
      </c>
      <c r="S348" s="13" t="n">
        <v>-560.04</v>
      </c>
      <c r="T348" s="13" t="n">
        <v>9010.629999999999</v>
      </c>
      <c r="U348" s="13" t="n">
        <v>641.75</v>
      </c>
      <c r="V348" s="13" t="n">
        <v>268.06</v>
      </c>
      <c r="W348" s="13" t="n">
        <v>1291.12</v>
      </c>
      <c r="X348" s="13" t="n">
        <v>1760.07</v>
      </c>
      <c r="Y348" s="13" t="n">
        <v>1455.83</v>
      </c>
      <c r="Z348" s="19" t="n"/>
      <c r="AA348" s="18" t="n"/>
      <c r="AB348" s="38" t="n">
        <v>29.73</v>
      </c>
      <c r="AC348" s="14">
        <f>IFERROR(AVERAGEIFS($E$16:$E$736,$W$16:$W$736,"&gt;="&amp;W348-$C$5,$W$16:$W$736,"&lt;="&amp;W348+$C$5,$B$16:$B$736,B348,$A$16:$A$736,"&lt;&gt;"&amp;A348),"")</f>
        <v/>
      </c>
      <c r="AD348" s="14">
        <f>IF(AND(ISNUMBER(E348),ISNUMBER(AC348)),E348-AC348,"")</f>
        <v/>
      </c>
    </row>
    <row r="349">
      <c r="A349" s="17" t="n">
        <v>45950</v>
      </c>
      <c r="B349" s="29">
        <f>MONTH(A349)</f>
        <v/>
      </c>
      <c r="C349" s="29">
        <f>IF(AND(ISNUMBER(W349),ISNUMBER($C$4),ABS(W349-$C$4)&lt;=$C$5,ABS(MOD(B349-$C$6+6,12)-6)&lt;=$C$7,OR($C$8="Any",P349=$C$8)),1,0)</f>
        <v/>
      </c>
      <c r="D349" s="29">
        <f>IF(C349=1,COUNTIF($C$16:C349,1),"")</f>
        <v/>
      </c>
      <c r="E349" s="18" t="n">
        <v>21.41</v>
      </c>
      <c r="F349" s="18" t="n">
        <v>25.44</v>
      </c>
      <c r="G349" s="18" t="n">
        <v>13.34</v>
      </c>
      <c r="H349" s="38" t="n">
        <v>8.1</v>
      </c>
      <c r="I349" s="38" t="n">
        <v>4.64</v>
      </c>
      <c r="J349" s="13" t="n">
        <v>10905</v>
      </c>
      <c r="K349" s="13" t="n">
        <v>10691.5</v>
      </c>
      <c r="L349" s="13" t="n">
        <v>2395.19</v>
      </c>
      <c r="M349" s="13" t="n">
        <v>2604.92</v>
      </c>
      <c r="N349" s="13" t="n">
        <v>4270</v>
      </c>
      <c r="O349" s="38" t="n">
        <v>61.01</v>
      </c>
      <c r="P349" s="39" t="inlineStr">
        <is>
          <t>Windy</t>
        </is>
      </c>
      <c r="Q349" s="13" t="n">
        <v>1209</v>
      </c>
      <c r="R349" s="13" t="n">
        <v>598.51</v>
      </c>
      <c r="S349" s="13" t="n">
        <v>-722.04</v>
      </c>
      <c r="T349" s="13" t="n">
        <v>9417.360000000001</v>
      </c>
      <c r="U349" s="13" t="n">
        <v>607.25</v>
      </c>
      <c r="V349" s="13" t="n">
        <v>279.88</v>
      </c>
      <c r="W349" s="13" t="n">
        <v>761.1900000000001</v>
      </c>
      <c r="X349" s="13" t="n">
        <v>1830.05</v>
      </c>
      <c r="Y349" s="13" t="n">
        <v>908.78</v>
      </c>
      <c r="Z349" s="19" t="n"/>
      <c r="AA349" s="18" t="n"/>
      <c r="AB349" s="38" t="n">
        <v>25.82</v>
      </c>
      <c r="AC349" s="14">
        <f>IFERROR(AVERAGEIFS($E$16:$E$736,$W$16:$W$736,"&gt;="&amp;W349-$C$5,$W$16:$W$736,"&lt;="&amp;W349+$C$5,$B$16:$B$736,B349,$A$16:$A$736,"&lt;&gt;"&amp;A349),"")</f>
        <v/>
      </c>
      <c r="AD349" s="14">
        <f>IF(AND(ISNUMBER(E349),ISNUMBER(AC349)),E349-AC349,"")</f>
        <v/>
      </c>
    </row>
    <row r="350">
      <c r="A350" s="17" t="n">
        <v>45949</v>
      </c>
      <c r="B350" s="29">
        <f>MONTH(A350)</f>
        <v/>
      </c>
      <c r="C350" s="29">
        <f>IF(AND(ISNUMBER(W350),ISNUMBER($C$4),ABS(W350-$C$4)&lt;=$C$5,ABS(MOD(B350-$C$6+6,12)-6)&lt;=$C$7,OR($C$8="Any",P350=$C$8)),1,0)</f>
        <v/>
      </c>
      <c r="D350" s="29">
        <f>IF(C350=1,COUNTIF($C$16:C350,1),"")</f>
        <v/>
      </c>
      <c r="E350" s="18" t="n">
        <v>17.51</v>
      </c>
      <c r="F350" s="18" t="n">
        <v>23.88</v>
      </c>
      <c r="G350" s="18" t="n">
        <v>4.77</v>
      </c>
      <c r="H350" s="38" t="n">
        <v>9.33</v>
      </c>
      <c r="I350" s="38" t="n">
        <v>5.55</v>
      </c>
      <c r="J350" s="13" t="n">
        <v>10604</v>
      </c>
      <c r="K350" s="13" t="n">
        <v>10288.12</v>
      </c>
      <c r="L350" s="13" t="n">
        <v>2788.5</v>
      </c>
      <c r="M350" s="13" t="n">
        <v>2983.46</v>
      </c>
      <c r="N350" s="13" t="n">
        <v>4270</v>
      </c>
      <c r="O350" s="38" t="n">
        <v>69.87</v>
      </c>
      <c r="P350" s="39" t="inlineStr">
        <is>
          <t>Windy</t>
        </is>
      </c>
      <c r="Q350" s="13" t="n">
        <v>733</v>
      </c>
      <c r="R350" s="13" t="n">
        <v>603</v>
      </c>
      <c r="S350" s="13" t="n">
        <v>-834.5</v>
      </c>
      <c r="T350" s="13" t="n">
        <v>9472.77</v>
      </c>
      <c r="U350" s="13" t="n">
        <v>621.27</v>
      </c>
      <c r="V350" s="13" t="n">
        <v>107.17</v>
      </c>
      <c r="W350" s="13" t="n">
        <v>917.73</v>
      </c>
      <c r="X350" s="13" t="n">
        <v>2320.86</v>
      </c>
      <c r="Y350" s="13" t="n">
        <v>1053.67</v>
      </c>
      <c r="Z350" s="19" t="n"/>
      <c r="AA350" s="18" t="n"/>
      <c r="AB350" s="38" t="n">
        <v>31.68</v>
      </c>
      <c r="AC350" s="14">
        <f>IFERROR(AVERAGEIFS($E$16:$E$736,$W$16:$W$736,"&gt;="&amp;W350-$C$5,$W$16:$W$736,"&lt;="&amp;W350+$C$5,$B$16:$B$736,B350,$A$16:$A$736,"&lt;&gt;"&amp;A350),"")</f>
        <v/>
      </c>
      <c r="AD350" s="14">
        <f>IF(AND(ISNUMBER(E350),ISNUMBER(AC350)),E350-AC350,"")</f>
        <v/>
      </c>
    </row>
    <row r="351">
      <c r="A351" s="17" t="n">
        <v>45948</v>
      </c>
      <c r="B351" s="29">
        <f>MONTH(A351)</f>
        <v/>
      </c>
      <c r="C351" s="29">
        <f>IF(AND(ISNUMBER(W351),ISNUMBER($C$4),ABS(W351-$C$4)&lt;=$C$5,ABS(MOD(B351-$C$6+6,12)-6)&lt;=$C$7,OR($C$8="Any",P351=$C$8)),1,0)</f>
        <v/>
      </c>
      <c r="D351" s="29">
        <f>IF(C351=1,COUNTIF($C$16:C351,1),"")</f>
        <v/>
      </c>
      <c r="E351" s="18" t="n">
        <v>13.85</v>
      </c>
      <c r="F351" s="18" t="n">
        <v>17.11</v>
      </c>
      <c r="G351" s="18" t="n">
        <v>7.33</v>
      </c>
      <c r="H351" s="38" t="n">
        <v>10.73</v>
      </c>
      <c r="I351" s="38" t="n">
        <v>5.54</v>
      </c>
      <c r="J351" s="13" t="n">
        <v>10414</v>
      </c>
      <c r="K351" s="13" t="n">
        <v>10187.44</v>
      </c>
      <c r="L351" s="13" t="n">
        <v>2658.19</v>
      </c>
      <c r="M351" s="13" t="n">
        <v>2892.75</v>
      </c>
      <c r="N351" s="13" t="n">
        <v>4270</v>
      </c>
      <c r="O351" s="38" t="n">
        <v>67.75</v>
      </c>
      <c r="P351" s="39" t="inlineStr">
        <is>
          <t>Windy</t>
        </is>
      </c>
      <c r="Q351" s="13" t="n">
        <v>1329</v>
      </c>
      <c r="R351" s="13" t="n">
        <v>603.5700000000001</v>
      </c>
      <c r="S351" s="13" t="n">
        <v>-814.67</v>
      </c>
      <c r="T351" s="13" t="n">
        <v>9173.389999999999</v>
      </c>
      <c r="U351" s="13" t="n">
        <v>637.63</v>
      </c>
      <c r="V351" s="13" t="n">
        <v>450.81</v>
      </c>
      <c r="W351" s="13" t="n">
        <v>1078.9</v>
      </c>
      <c r="X351" s="13" t="n">
        <v>2385.54</v>
      </c>
      <c r="Y351" s="13" t="n">
        <v>1232.7</v>
      </c>
      <c r="Z351" s="19" t="n"/>
      <c r="AA351" s="18" t="n"/>
      <c r="AB351" s="38" t="n">
        <v>24.18</v>
      </c>
      <c r="AC351" s="14">
        <f>IFERROR(AVERAGEIFS($E$16:$E$736,$W$16:$W$736,"&gt;="&amp;W351-$C$5,$W$16:$W$736,"&lt;="&amp;W351+$C$5,$B$16:$B$736,B351,$A$16:$A$736,"&lt;&gt;"&amp;A351),"")</f>
        <v/>
      </c>
      <c r="AD351" s="14">
        <f>IF(AND(ISNUMBER(E351),ISNUMBER(AC351)),E351-AC351,"")</f>
        <v/>
      </c>
    </row>
    <row r="352">
      <c r="A352" s="17" t="n">
        <v>45947</v>
      </c>
      <c r="B352" s="29">
        <f>MONTH(A352)</f>
        <v/>
      </c>
      <c r="C352" s="29">
        <f>IF(AND(ISNUMBER(W352),ISNUMBER($C$4),ABS(W352-$C$4)&lt;=$C$5,ABS(MOD(B352-$C$6+6,12)-6)&lt;=$C$7,OR($C$8="Any",P352=$C$8)),1,0)</f>
        <v/>
      </c>
      <c r="D352" s="29">
        <f>IF(C352=1,COUNTIF($C$16:C352,1),"")</f>
        <v/>
      </c>
      <c r="E352" s="18" t="n">
        <v>17.65</v>
      </c>
      <c r="F352" s="18" t="n">
        <v>24.66</v>
      </c>
      <c r="G352" s="18" t="n">
        <v>3.61</v>
      </c>
      <c r="H352" s="38" t="n">
        <v>9.07</v>
      </c>
      <c r="I352" s="38" t="n">
        <v>6.22</v>
      </c>
      <c r="J352" s="13" t="n">
        <v>10642</v>
      </c>
      <c r="K352" s="13" t="n">
        <v>10432.44</v>
      </c>
      <c r="L352" s="13" t="n">
        <v>2315.88</v>
      </c>
      <c r="M352" s="13" t="n">
        <v>2630.29</v>
      </c>
      <c r="N352" s="13" t="n">
        <v>4270</v>
      </c>
      <c r="O352" s="38" t="n">
        <v>61.6</v>
      </c>
      <c r="P352" s="39" t="inlineStr">
        <is>
          <t>Windy</t>
        </is>
      </c>
      <c r="Q352" s="13" t="n">
        <v>972</v>
      </c>
      <c r="R352" s="13" t="n">
        <v>602.89</v>
      </c>
      <c r="S352" s="13" t="n">
        <v>-729.79</v>
      </c>
      <c r="T352" s="13" t="n">
        <v>9427.84</v>
      </c>
      <c r="U352" s="13" t="n">
        <v>634.5</v>
      </c>
      <c r="V352" s="13" t="n">
        <v>59.13</v>
      </c>
      <c r="W352" s="13" t="n">
        <v>1235.54</v>
      </c>
      <c r="X352" s="13" t="n">
        <v>1841.04</v>
      </c>
      <c r="Y352" s="13" t="n">
        <v>1395.24</v>
      </c>
      <c r="Z352" s="19" t="n"/>
      <c r="AA352" s="18" t="n"/>
      <c r="AB352" s="38" t="n">
        <v>25.45</v>
      </c>
      <c r="AC352" s="14">
        <f>IFERROR(AVERAGEIFS($E$16:$E$736,$W$16:$W$736,"&gt;="&amp;W352-$C$5,$W$16:$W$736,"&lt;="&amp;W352+$C$5,$B$16:$B$736,B352,$A$16:$A$736,"&lt;&gt;"&amp;A352),"")</f>
        <v/>
      </c>
      <c r="AD352" s="14">
        <f>IF(AND(ISNUMBER(E352),ISNUMBER(AC352)),E352-AC352,"")</f>
        <v/>
      </c>
    </row>
    <row r="353">
      <c r="A353" s="17" t="n">
        <v>45946</v>
      </c>
      <c r="B353" s="29">
        <f>MONTH(A353)</f>
        <v/>
      </c>
      <c r="C353" s="29">
        <f>IF(AND(ISNUMBER(W353),ISNUMBER($C$4),ABS(W353-$C$4)&lt;=$C$5,ABS(MOD(B353-$C$6+6,12)-6)&lt;=$C$7,OR($C$8="Any",P353=$C$8)),1,0)</f>
        <v/>
      </c>
      <c r="D353" s="29">
        <f>IF(C353=1,COUNTIF($C$16:C353,1),"")</f>
        <v/>
      </c>
      <c r="E353" s="18" t="n">
        <v>79.79000000000001</v>
      </c>
      <c r="F353" s="18" t="n">
        <v>95.95</v>
      </c>
      <c r="G353" s="18" t="n">
        <v>47.48</v>
      </c>
      <c r="H353" s="38" t="n">
        <v>14.4</v>
      </c>
      <c r="I353" s="38" t="n">
        <v>6.52</v>
      </c>
      <c r="J353" s="13" t="n">
        <v>10619</v>
      </c>
      <c r="K353" s="13" t="n">
        <v>10360.06</v>
      </c>
      <c r="L353" s="13" t="n">
        <v>1580.94</v>
      </c>
      <c r="M353" s="13" t="n">
        <v>1487.88</v>
      </c>
      <c r="N353" s="13" t="n">
        <v>4270</v>
      </c>
      <c r="O353" s="38" t="n">
        <v>34.84</v>
      </c>
      <c r="P353" s="39" t="inlineStr">
        <is>
          <t>Windy</t>
        </is>
      </c>
      <c r="Q353" s="13" t="n">
        <v>1456</v>
      </c>
      <c r="R353" s="13" t="n">
        <v>602.89</v>
      </c>
      <c r="S353" s="13" t="n">
        <v>-396.75</v>
      </c>
      <c r="T353" s="13" t="n">
        <v>9360.290000000001</v>
      </c>
      <c r="U353" s="13" t="n">
        <v>630.3099999999999</v>
      </c>
      <c r="V353" s="13" t="n">
        <v>277.36</v>
      </c>
      <c r="W353" s="13" t="n">
        <v>345.37</v>
      </c>
      <c r="X353" s="13" t="n">
        <v>1822.55</v>
      </c>
      <c r="Y353" s="13" t="n">
        <v>488.35</v>
      </c>
      <c r="Z353" s="19" t="n"/>
      <c r="AA353" s="18" t="n"/>
      <c r="AB353" s="38" t="n">
        <v>25.9</v>
      </c>
      <c r="AC353" s="14">
        <f>IFERROR(AVERAGEIFS($E$16:$E$736,$W$16:$W$736,"&gt;="&amp;W353-$C$5,$W$16:$W$736,"&lt;="&amp;W353+$C$5,$B$16:$B$736,B353,$A$16:$A$736,"&lt;&gt;"&amp;A353),"")</f>
        <v/>
      </c>
      <c r="AD353" s="14">
        <f>IF(AND(ISNUMBER(E353),ISNUMBER(AC353)),E353-AC353,"")</f>
        <v/>
      </c>
    </row>
    <row r="354">
      <c r="A354" s="17" t="n">
        <v>45945</v>
      </c>
      <c r="B354" s="29">
        <f>MONTH(A354)</f>
        <v/>
      </c>
      <c r="C354" s="29">
        <f>IF(AND(ISNUMBER(W354),ISNUMBER($C$4),ABS(W354-$C$4)&lt;=$C$5,ABS(MOD(B354-$C$6+6,12)-6)&lt;=$C$7,OR($C$8="Any",P354=$C$8)),1,0)</f>
        <v/>
      </c>
      <c r="D354" s="29">
        <f>IF(C354=1,COUNTIF($C$16:C354,1),"")</f>
        <v/>
      </c>
      <c r="E354" s="18" t="n">
        <v>34.68</v>
      </c>
      <c r="F354" s="18" t="n">
        <v>32.04</v>
      </c>
      <c r="G354" s="18" t="n">
        <v>39.95</v>
      </c>
      <c r="H354" s="38" t="n">
        <v>10.63</v>
      </c>
      <c r="I354" s="38" t="n">
        <v>2.16</v>
      </c>
      <c r="J354" s="13" t="n">
        <v>10556</v>
      </c>
      <c r="K354" s="13" t="n">
        <v>10221.88</v>
      </c>
      <c r="L354" s="13" t="n">
        <v>1241.88</v>
      </c>
      <c r="M354" s="13" t="n">
        <v>1220.33</v>
      </c>
      <c r="N354" s="13" t="n">
        <v>4270</v>
      </c>
      <c r="O354" s="38" t="n">
        <v>28.58</v>
      </c>
      <c r="P354" s="39" t="inlineStr">
        <is>
          <t>Windy</t>
        </is>
      </c>
      <c r="Q354" s="13" t="n">
        <v>1435</v>
      </c>
      <c r="R354" s="13" t="n">
        <v>609.41</v>
      </c>
      <c r="S354" s="13" t="n">
        <v>-445.75</v>
      </c>
      <c r="T354" s="13" t="n">
        <v>9446.360000000001</v>
      </c>
      <c r="U354" s="13" t="n">
        <v>619.67</v>
      </c>
      <c r="V354" s="13" t="n">
        <v>166.41</v>
      </c>
      <c r="W354" s="13" t="n">
        <v>1183.34</v>
      </c>
      <c r="X354" s="13" t="n">
        <v>1644.3</v>
      </c>
      <c r="Y354" s="13" t="n">
        <v>1366.79</v>
      </c>
      <c r="Z354" s="19" t="n"/>
      <c r="AA354" s="18" t="n"/>
      <c r="AB354" s="38" t="n">
        <v>16.88</v>
      </c>
      <c r="AC354" s="14">
        <f>IFERROR(AVERAGEIFS($E$16:$E$736,$W$16:$W$736,"&gt;="&amp;W354-$C$5,$W$16:$W$736,"&lt;="&amp;W354+$C$5,$B$16:$B$736,B354,$A$16:$A$736,"&lt;&gt;"&amp;A354),"")</f>
        <v/>
      </c>
      <c r="AD354" s="14">
        <f>IF(AND(ISNUMBER(E354),ISNUMBER(AC354)),E354-AC354,"")</f>
        <v/>
      </c>
    </row>
    <row r="355">
      <c r="A355" s="17" t="n">
        <v>45944</v>
      </c>
      <c r="B355" s="29">
        <f>MONTH(A355)</f>
        <v/>
      </c>
      <c r="C355" s="29">
        <f>IF(AND(ISNUMBER(W355),ISNUMBER($C$4),ABS(W355-$C$4)&lt;=$C$5,ABS(MOD(B355-$C$6+6,12)-6)&lt;=$C$7,OR($C$8="Any",P355=$C$8)),1,0)</f>
        <v/>
      </c>
      <c r="D355" s="29">
        <f>IF(C355=1,COUNTIF($C$16:C355,1),"")</f>
        <v/>
      </c>
      <c r="E355" s="18" t="n">
        <v>59.97</v>
      </c>
      <c r="F355" s="18" t="n">
        <v>67.02</v>
      </c>
      <c r="G355" s="18" t="n">
        <v>45.85</v>
      </c>
      <c r="H355" s="38" t="n">
        <v>3.83</v>
      </c>
      <c r="I355" s="38" t="n">
        <v>-1</v>
      </c>
      <c r="J355" s="13" t="n">
        <v>10670</v>
      </c>
      <c r="K355" s="13" t="n">
        <v>10486.44</v>
      </c>
      <c r="L355" s="13" t="n">
        <v>645.4400000000001</v>
      </c>
      <c r="M355" s="13" t="n">
        <v>831.67</v>
      </c>
      <c r="N355" s="13" t="n">
        <v>4270</v>
      </c>
      <c r="O355" s="38" t="n">
        <v>19.48</v>
      </c>
      <c r="P355" s="39" t="inlineStr">
        <is>
          <t>Windy</t>
        </is>
      </c>
      <c r="Q355" s="13" t="n">
        <v>864</v>
      </c>
      <c r="R355" s="13" t="n">
        <v>614.58</v>
      </c>
      <c r="S355" s="13" t="n">
        <v>-241.25</v>
      </c>
      <c r="T355" s="13" t="n">
        <v>9616.58</v>
      </c>
      <c r="U355" s="13" t="n">
        <v>623.1799999999999</v>
      </c>
      <c r="V355" s="13" t="n">
        <v>89.3</v>
      </c>
      <c r="W355" s="13" t="n">
        <v>601.51</v>
      </c>
      <c r="X355" s="13" t="n">
        <v>983.03</v>
      </c>
      <c r="Y355" s="13" t="n">
        <v>781.33</v>
      </c>
      <c r="Z355" s="19" t="n"/>
      <c r="AA355" s="18" t="n"/>
      <c r="AB355" s="38" t="n">
        <v>14.25</v>
      </c>
      <c r="AC355" s="14">
        <f>IFERROR(AVERAGEIFS($E$16:$E$736,$W$16:$W$736,"&gt;="&amp;W355-$C$5,$W$16:$W$736,"&lt;="&amp;W355+$C$5,$B$16:$B$736,B355,$A$16:$A$736,"&lt;&gt;"&amp;A355),"")</f>
        <v/>
      </c>
      <c r="AD355" s="14">
        <f>IF(AND(ISNUMBER(E355),ISNUMBER(AC355)),E355-AC355,"")</f>
        <v/>
      </c>
    </row>
    <row r="356">
      <c r="A356" s="17" t="n">
        <v>45943</v>
      </c>
      <c r="B356" s="29">
        <f>MONTH(A356)</f>
        <v/>
      </c>
      <c r="C356" s="29">
        <f>IF(AND(ISNUMBER(W356),ISNUMBER($C$4),ABS(W356-$C$4)&lt;=$C$5,ABS(MOD(B356-$C$6+6,12)-6)&lt;=$C$7,OR($C$8="Any",P356=$C$8)),1,0)</f>
        <v/>
      </c>
      <c r="D356" s="29">
        <f>IF(C356=1,COUNTIF($C$16:C356,1),"")</f>
        <v/>
      </c>
      <c r="E356" s="18" t="n">
        <v>32.21</v>
      </c>
      <c r="F356" s="18" t="n">
        <v>36.45</v>
      </c>
      <c r="G356" s="18" t="n">
        <v>23.75</v>
      </c>
      <c r="H356" s="38" t="n">
        <v>-0.87</v>
      </c>
      <c r="I356" s="38" t="n">
        <v>-2.37</v>
      </c>
      <c r="J356" s="13" t="n">
        <v>10473</v>
      </c>
      <c r="K356" s="13" t="n">
        <v>10209.06</v>
      </c>
      <c r="L356" s="13" t="n">
        <v>327.88</v>
      </c>
      <c r="M356" s="13" t="n">
        <v>536.88</v>
      </c>
      <c r="N356" s="13" t="n">
        <v>4270</v>
      </c>
      <c r="O356" s="38" t="n">
        <v>12.57</v>
      </c>
      <c r="P356" s="39" t="inlineStr">
        <is>
          <t>Calm</t>
        </is>
      </c>
      <c r="Q356" s="13" t="n">
        <v>1442</v>
      </c>
      <c r="R356" s="13" t="n">
        <v>614.95</v>
      </c>
      <c r="S356" s="13" t="n">
        <v>115</v>
      </c>
      <c r="T356" s="13" t="n">
        <v>9625.379999999999</v>
      </c>
      <c r="U356" s="13" t="n">
        <v>611.6799999999999</v>
      </c>
      <c r="V356" s="13" t="n">
        <v>57.03</v>
      </c>
      <c r="W356" s="13" t="n">
        <v>942.02</v>
      </c>
      <c r="X356" s="13" t="n">
        <v>1349.45</v>
      </c>
      <c r="Y356" s="13" t="n">
        <v>1105.54</v>
      </c>
      <c r="Z356" s="19" t="n"/>
      <c r="AA356" s="18" t="n"/>
      <c r="AB356" s="38" t="n">
        <v>15.98</v>
      </c>
      <c r="AC356" s="14">
        <f>IFERROR(AVERAGEIFS($E$16:$E$736,$W$16:$W$736,"&gt;="&amp;W356-$C$5,$W$16:$W$736,"&lt;="&amp;W356+$C$5,$B$16:$B$736,B356,$A$16:$A$736,"&lt;&gt;"&amp;A356),"")</f>
        <v/>
      </c>
      <c r="AD356" s="14">
        <f>IF(AND(ISNUMBER(E356),ISNUMBER(AC356)),E356-AC356,"")</f>
        <v/>
      </c>
    </row>
    <row r="357">
      <c r="A357" s="17" t="n">
        <v>45942</v>
      </c>
      <c r="B357" s="29">
        <f>MONTH(A357)</f>
        <v/>
      </c>
      <c r="C357" s="29">
        <f>IF(AND(ISNUMBER(W357),ISNUMBER($C$4),ABS(W357-$C$4)&lt;=$C$5,ABS(MOD(B357-$C$6+6,12)-6)&lt;=$C$7,OR($C$8="Any",P357=$C$8)),1,0)</f>
        <v/>
      </c>
      <c r="D357" s="29">
        <f>IF(C357=1,COUNTIF($C$16:C357,1),"")</f>
        <v/>
      </c>
      <c r="E357" s="18" t="n">
        <v>9.6</v>
      </c>
      <c r="F357" s="18" t="n">
        <v>13.02</v>
      </c>
      <c r="G357" s="18" t="n">
        <v>2.76</v>
      </c>
      <c r="H357" s="38" t="n">
        <v>1.37</v>
      </c>
      <c r="I357" s="38" t="n">
        <v>-0.03</v>
      </c>
      <c r="J357" s="13" t="n">
        <v>10441</v>
      </c>
      <c r="K357" s="13" t="n">
        <v>10229.69</v>
      </c>
      <c r="L357" s="13" t="n">
        <v>2526.19</v>
      </c>
      <c r="M357" s="13" t="n">
        <v>2663.75</v>
      </c>
      <c r="N357" s="13" t="n">
        <v>4270</v>
      </c>
      <c r="O357" s="38" t="n">
        <v>62.38</v>
      </c>
      <c r="P357" s="39" t="inlineStr">
        <is>
          <t>Windy</t>
        </is>
      </c>
      <c r="Q357" s="13" t="n">
        <v>563</v>
      </c>
      <c r="R357" s="13" t="n">
        <v>616.41</v>
      </c>
      <c r="S357" s="13" t="n">
        <v>-665.62</v>
      </c>
      <c r="T357" s="13" t="n">
        <v>9210.08</v>
      </c>
      <c r="U357" s="13" t="n">
        <v>604.61</v>
      </c>
      <c r="V357" s="13" t="n">
        <v>496.01</v>
      </c>
      <c r="W357" s="13" t="n">
        <v>1309.15</v>
      </c>
      <c r="X357" s="13" t="n">
        <v>1945.18</v>
      </c>
      <c r="Y357" s="13" t="n">
        <v>1494.9</v>
      </c>
      <c r="Z357" s="19" t="n"/>
      <c r="AA357" s="18" t="n"/>
      <c r="AB357" s="38" t="n">
        <v>22.57</v>
      </c>
      <c r="AC357" s="14">
        <f>IFERROR(AVERAGEIFS($E$16:$E$736,$W$16:$W$736,"&gt;="&amp;W357-$C$5,$W$16:$W$736,"&lt;="&amp;W357+$C$5,$B$16:$B$736,B357,$A$16:$A$736,"&lt;&gt;"&amp;A357),"")</f>
        <v/>
      </c>
      <c r="AD357" s="14">
        <f>IF(AND(ISNUMBER(E357),ISNUMBER(AC357)),E357-AC357,"")</f>
        <v/>
      </c>
    </row>
    <row r="358">
      <c r="A358" s="17" t="n">
        <v>45941</v>
      </c>
      <c r="B358" s="29">
        <f>MONTH(A358)</f>
        <v/>
      </c>
      <c r="C358" s="29">
        <f>IF(AND(ISNUMBER(W358),ISNUMBER($C$4),ABS(W358-$C$4)&lt;=$C$5,ABS(MOD(B358-$C$6+6,12)-6)&lt;=$C$7,OR($C$8="Any",P358=$C$8)),1,0)</f>
        <v/>
      </c>
      <c r="D358" s="29">
        <f>IF(C358=1,COUNTIF($C$16:C358,1),"")</f>
        <v/>
      </c>
      <c r="E358" s="18" t="n">
        <v>4.14</v>
      </c>
      <c r="F358" s="18" t="n">
        <v>3.71</v>
      </c>
      <c r="G358" s="18" t="n">
        <v>4.98</v>
      </c>
      <c r="H358" s="38" t="n">
        <v>13.93</v>
      </c>
      <c r="I358" s="38" t="n">
        <v>9.5</v>
      </c>
      <c r="J358" s="13" t="n">
        <v>10322</v>
      </c>
      <c r="K358" s="13" t="n">
        <v>10069</v>
      </c>
      <c r="L358" s="13" t="n">
        <v>3381.38</v>
      </c>
      <c r="M358" s="13" t="n">
        <v>3335</v>
      </c>
      <c r="N358" s="13" t="n">
        <v>4270</v>
      </c>
      <c r="O358" s="38" t="n">
        <v>78.09999999999999</v>
      </c>
      <c r="P358" s="39" t="inlineStr">
        <is>
          <t>Windy</t>
        </is>
      </c>
      <c r="Q358" s="13" t="n">
        <v>1253</v>
      </c>
      <c r="R358" s="13" t="n">
        <v>616.41</v>
      </c>
      <c r="S358" s="13" t="n">
        <v>-934.5</v>
      </c>
      <c r="T358" s="13" t="n">
        <v>9347.24</v>
      </c>
      <c r="U358" s="13" t="n">
        <v>611.1900000000001</v>
      </c>
      <c r="V358" s="13" t="n">
        <v>8.25</v>
      </c>
      <c r="W358" s="13" t="n">
        <v>2495.22</v>
      </c>
      <c r="X358" s="13" t="n">
        <v>3117.5</v>
      </c>
      <c r="Y358" s="13" t="n">
        <v>2702.25</v>
      </c>
      <c r="Z358" s="19" t="n"/>
      <c r="AA358" s="18" t="n"/>
      <c r="AB358" s="38" t="n">
        <v>31.54</v>
      </c>
      <c r="AC358" s="14">
        <f>IFERROR(AVERAGEIFS($E$16:$E$736,$W$16:$W$736,"&gt;="&amp;W358-$C$5,$W$16:$W$736,"&lt;="&amp;W358+$C$5,$B$16:$B$736,B358,$A$16:$A$736,"&lt;&gt;"&amp;A358),"")</f>
        <v/>
      </c>
      <c r="AD358" s="14">
        <f>IF(AND(ISNUMBER(E358),ISNUMBER(AC358)),E358-AC358,"")</f>
        <v/>
      </c>
    </row>
    <row r="359">
      <c r="A359" s="17" t="n">
        <v>45940</v>
      </c>
      <c r="B359" s="29">
        <f>MONTH(A359)</f>
        <v/>
      </c>
      <c r="C359" s="29">
        <f>IF(AND(ISNUMBER(W359),ISNUMBER($C$4),ABS(W359-$C$4)&lt;=$C$5,ABS(MOD(B359-$C$6+6,12)-6)&lt;=$C$7,OR($C$8="Any",P359=$C$8)),1,0)</f>
        <v/>
      </c>
      <c r="D359" s="29">
        <f>IF(C359=1,COUNTIF($C$16:C359,1),"")</f>
        <v/>
      </c>
      <c r="E359" s="18" t="n">
        <v>45.22</v>
      </c>
      <c r="F359" s="18" t="n">
        <v>56.64</v>
      </c>
      <c r="G359" s="18" t="n">
        <v>22.39</v>
      </c>
      <c r="H359" s="38" t="n">
        <v>17.97</v>
      </c>
      <c r="I359" s="38" t="n">
        <v>9.26</v>
      </c>
      <c r="J359" s="13" t="n">
        <v>10407</v>
      </c>
      <c r="K359" s="13" t="n">
        <v>10192.81</v>
      </c>
      <c r="L359" s="13" t="n">
        <v>1656.44</v>
      </c>
      <c r="M359" s="13" t="n">
        <v>1731.04</v>
      </c>
      <c r="N359" s="13" t="n">
        <v>4270</v>
      </c>
      <c r="O359" s="38" t="n">
        <v>40.54</v>
      </c>
      <c r="P359" s="39" t="inlineStr">
        <is>
          <t>Windy</t>
        </is>
      </c>
      <c r="Q359" s="13" t="n">
        <v>1458</v>
      </c>
      <c r="R359" s="13" t="n">
        <v>573.11</v>
      </c>
      <c r="S359" s="13" t="n">
        <v>-535.08</v>
      </c>
      <c r="T359" s="13" t="n">
        <v>9203.110000000001</v>
      </c>
      <c r="U359" s="13" t="n">
        <v>609.53</v>
      </c>
      <c r="V359" s="13" t="n">
        <v>160.31</v>
      </c>
      <c r="W359" s="13" t="n">
        <v>782.76</v>
      </c>
      <c r="X359" s="13" t="n">
        <v>1741.09</v>
      </c>
      <c r="Y359" s="13" t="n">
        <v>984.87</v>
      </c>
      <c r="Z359" s="19" t="n"/>
      <c r="AA359" s="18" t="n"/>
      <c r="AB359" s="38" t="n">
        <v>15.83</v>
      </c>
      <c r="AC359" s="14">
        <f>IFERROR(AVERAGEIFS($E$16:$E$736,$W$16:$W$736,"&gt;="&amp;W359-$C$5,$W$16:$W$736,"&lt;="&amp;W359+$C$5,$B$16:$B$736,B359,$A$16:$A$736,"&lt;&gt;"&amp;A359),"")</f>
        <v/>
      </c>
      <c r="AD359" s="14">
        <f>IF(AND(ISNUMBER(E359),ISNUMBER(AC359)),E359-AC359,"")</f>
        <v/>
      </c>
    </row>
    <row r="360">
      <c r="A360" s="17" t="n">
        <v>45939</v>
      </c>
      <c r="B360" s="29">
        <f>MONTH(A360)</f>
        <v/>
      </c>
      <c r="C360" s="29">
        <f>IF(AND(ISNUMBER(W360),ISNUMBER($C$4),ABS(W360-$C$4)&lt;=$C$5,ABS(MOD(B360-$C$6+6,12)-6)&lt;=$C$7,OR($C$8="Any",P360=$C$8)),1,0)</f>
        <v/>
      </c>
      <c r="D360" s="29">
        <f>IF(C360=1,COUNTIF($C$16:C360,1),"")</f>
        <v/>
      </c>
      <c r="E360" s="18" t="n">
        <v>95.97</v>
      </c>
      <c r="F360" s="18" t="n">
        <v>107.38</v>
      </c>
      <c r="G360" s="18" t="n">
        <v>73.16</v>
      </c>
      <c r="H360" s="38" t="n">
        <v>13.73</v>
      </c>
      <c r="I360" s="38" t="n">
        <v>6.64</v>
      </c>
      <c r="J360" s="13" t="n">
        <v>10385</v>
      </c>
      <c r="K360" s="13" t="n">
        <v>10158.56</v>
      </c>
      <c r="L360" s="13" t="n">
        <v>451.38</v>
      </c>
      <c r="M360" s="13" t="n">
        <v>664.12</v>
      </c>
      <c r="N360" s="13" t="n">
        <v>4270</v>
      </c>
      <c r="O360" s="38" t="n">
        <v>15.55</v>
      </c>
      <c r="P360" s="39" t="inlineStr">
        <is>
          <t>Calm</t>
        </is>
      </c>
      <c r="Q360" s="13" t="n">
        <v>1436</v>
      </c>
      <c r="R360" s="13" t="n">
        <v>596.04</v>
      </c>
      <c r="S360" s="13" t="n">
        <v>62.58</v>
      </c>
      <c r="T360" s="13" t="n">
        <v>9114.360000000001</v>
      </c>
      <c r="U360" s="13" t="n">
        <v>604.11</v>
      </c>
      <c r="V360" s="13" t="n">
        <v>50.19</v>
      </c>
      <c r="W360" s="13" t="n">
        <v>225.01</v>
      </c>
      <c r="X360" s="13" t="n">
        <v>1126.79</v>
      </c>
      <c r="Y360" s="13" t="n">
        <v>384.15</v>
      </c>
      <c r="Z360" s="19" t="n"/>
      <c r="AA360" s="18" t="n"/>
      <c r="AB360" s="38" t="n">
        <v>11.79</v>
      </c>
      <c r="AC360" s="14">
        <f>IFERROR(AVERAGEIFS($E$16:$E$736,$W$16:$W$736,"&gt;="&amp;W360-$C$5,$W$16:$W$736,"&lt;="&amp;W360+$C$5,$B$16:$B$736,B360,$A$16:$A$736,"&lt;&gt;"&amp;A360),"")</f>
        <v/>
      </c>
      <c r="AD360" s="14">
        <f>IF(AND(ISNUMBER(E360),ISNUMBER(AC360)),E360-AC360,"")</f>
        <v/>
      </c>
    </row>
    <row r="361">
      <c r="A361" s="17" t="n">
        <v>45938</v>
      </c>
      <c r="B361" s="29">
        <f>MONTH(A361)</f>
        <v/>
      </c>
      <c r="C361" s="29">
        <f>IF(AND(ISNUMBER(W361),ISNUMBER($C$4),ABS(W361-$C$4)&lt;=$C$5,ABS(MOD(B361-$C$6+6,12)-6)&lt;=$C$7,OR($C$8="Any",P361=$C$8)),1,0)</f>
        <v/>
      </c>
      <c r="D361" s="29">
        <f>IF(C361=1,COUNTIF($C$16:C361,1),"")</f>
        <v/>
      </c>
      <c r="E361" s="18" t="n">
        <v>66.15000000000001</v>
      </c>
      <c r="F361" s="18" t="n">
        <v>97.56</v>
      </c>
      <c r="G361" s="18" t="n">
        <v>3.33</v>
      </c>
      <c r="H361" s="38" t="n">
        <v>11.97</v>
      </c>
      <c r="I361" s="38" t="n">
        <v>8.75</v>
      </c>
      <c r="J361" s="13" t="n">
        <v>10366</v>
      </c>
      <c r="K361" s="13" t="n">
        <v>10194.06</v>
      </c>
      <c r="L361" s="13" t="n">
        <v>1191.81</v>
      </c>
      <c r="M361" s="13" t="n">
        <v>1806.38</v>
      </c>
      <c r="N361" s="13" t="n">
        <v>4270</v>
      </c>
      <c r="O361" s="38" t="n">
        <v>42.3</v>
      </c>
      <c r="P361" s="39" t="inlineStr">
        <is>
          <t>Windy</t>
        </is>
      </c>
      <c r="Q361" s="13" t="n">
        <v>1468</v>
      </c>
      <c r="R361" s="13" t="n">
        <v>599.63</v>
      </c>
      <c r="S361" s="13" t="n">
        <v>-185.54</v>
      </c>
      <c r="T361" s="13" t="n">
        <v>8653.540000000001</v>
      </c>
      <c r="U361" s="13" t="n">
        <v>629.14</v>
      </c>
      <c r="V361" s="13" t="n">
        <v>67.01000000000001</v>
      </c>
      <c r="W361" s="13" t="n">
        <v>399.74</v>
      </c>
      <c r="X361" s="13" t="n">
        <v>1250.75</v>
      </c>
      <c r="Y361" s="13" t="n">
        <v>598.3</v>
      </c>
      <c r="Z361" s="19" t="n"/>
      <c r="AA361" s="18" t="n"/>
      <c r="AB361" s="38" t="n">
        <v>15.19</v>
      </c>
      <c r="AC361" s="14">
        <f>IFERROR(AVERAGEIFS($E$16:$E$736,$W$16:$W$736,"&gt;="&amp;W361-$C$5,$W$16:$W$736,"&lt;="&amp;W361+$C$5,$B$16:$B$736,B361,$A$16:$A$736,"&lt;&gt;"&amp;A361),"")</f>
        <v/>
      </c>
      <c r="AD361" s="14">
        <f>IF(AND(ISNUMBER(E361),ISNUMBER(AC361)),E361-AC361,"")</f>
        <v/>
      </c>
    </row>
    <row r="362">
      <c r="A362" s="17" t="n">
        <v>45937</v>
      </c>
      <c r="B362" s="29">
        <f>MONTH(A362)</f>
        <v/>
      </c>
      <c r="C362" s="29">
        <f>IF(AND(ISNUMBER(W362),ISNUMBER($C$4),ABS(W362-$C$4)&lt;=$C$5,ABS(MOD(B362-$C$6+6,12)-6)&lt;=$C$7,OR($C$8="Any",P362=$C$8)),1,0)</f>
        <v/>
      </c>
      <c r="D362" s="29">
        <f>IF(C362=1,COUNTIF($C$16:C362,1),"")</f>
        <v/>
      </c>
      <c r="E362" s="18" t="n">
        <v>10.22</v>
      </c>
      <c r="F362" s="18" t="n">
        <v>9.720000000000001</v>
      </c>
      <c r="G362" s="18" t="n">
        <v>11.22</v>
      </c>
      <c r="H362" s="38" t="n">
        <v>20.47</v>
      </c>
      <c r="I362" s="38" t="n">
        <v>12.03</v>
      </c>
      <c r="J362" s="13" t="n">
        <v>10652</v>
      </c>
      <c r="K362" s="13" t="n">
        <v>10358.38</v>
      </c>
      <c r="L362" s="13" t="n">
        <v>2619.25</v>
      </c>
      <c r="M362" s="13" t="n">
        <v>2613</v>
      </c>
      <c r="N362" s="13" t="n">
        <v>4270</v>
      </c>
      <c r="O362" s="38" t="n">
        <v>61.19</v>
      </c>
      <c r="P362" s="39" t="inlineStr">
        <is>
          <t>Windy</t>
        </is>
      </c>
      <c r="Q362" s="13" t="n">
        <v>1378</v>
      </c>
      <c r="R362" s="13" t="n">
        <v>646.49</v>
      </c>
      <c r="S362" s="13" t="n">
        <v>-573.54</v>
      </c>
      <c r="T362" s="13" t="n">
        <v>8665.389999999999</v>
      </c>
      <c r="U362" s="13" t="n">
        <v>596</v>
      </c>
      <c r="V362" s="13" t="n">
        <v>260.7</v>
      </c>
      <c r="W362" s="13" t="n">
        <v>1332.52</v>
      </c>
      <c r="X362" s="13" t="n">
        <v>1843.71</v>
      </c>
      <c r="Y362" s="13" t="n">
        <v>1517.93</v>
      </c>
      <c r="Z362" s="19" t="n"/>
      <c r="AA362" s="18" t="n"/>
      <c r="AB362" s="38" t="n">
        <v>23.23</v>
      </c>
      <c r="AC362" s="14">
        <f>IFERROR(AVERAGEIFS($E$16:$E$736,$W$16:$W$736,"&gt;="&amp;W362-$C$5,$W$16:$W$736,"&lt;="&amp;W362+$C$5,$B$16:$B$736,B362,$A$16:$A$736,"&lt;&gt;"&amp;A362),"")</f>
        <v/>
      </c>
      <c r="AD362" s="14">
        <f>IF(AND(ISNUMBER(E362),ISNUMBER(AC362)),E362-AC362,"")</f>
        <v/>
      </c>
    </row>
    <row r="363">
      <c r="A363" s="17" t="n">
        <v>45936</v>
      </c>
      <c r="B363" s="29">
        <f>MONTH(A363)</f>
        <v/>
      </c>
      <c r="C363" s="29">
        <f>IF(AND(ISNUMBER(W363),ISNUMBER($C$4),ABS(W363-$C$4)&lt;=$C$5,ABS(MOD(B363-$C$6+6,12)-6)&lt;=$C$7,OR($C$8="Any",P363=$C$8)),1,0)</f>
        <v/>
      </c>
      <c r="D363" s="29">
        <f>IF(C363=1,COUNTIF($C$16:C363,1),"")</f>
        <v/>
      </c>
      <c r="E363" s="18" t="n">
        <v>139.26</v>
      </c>
      <c r="F363" s="18" t="n">
        <v>201.85</v>
      </c>
      <c r="G363" s="18" t="n">
        <v>14.07</v>
      </c>
      <c r="H363" s="38" t="n">
        <v>11.63</v>
      </c>
      <c r="I363" s="38" t="n">
        <v>6.68</v>
      </c>
      <c r="J363" s="13" t="n">
        <v>10503</v>
      </c>
      <c r="K363" s="13" t="n">
        <v>10264.5</v>
      </c>
      <c r="L363" s="13" t="n">
        <v>660.88</v>
      </c>
      <c r="M363" s="13" t="n">
        <v>1160.25</v>
      </c>
      <c r="N363" s="13" t="n">
        <v>4270</v>
      </c>
      <c r="O363" s="38" t="n">
        <v>27.17</v>
      </c>
      <c r="P363" s="39" t="inlineStr">
        <is>
          <t>Windy</t>
        </is>
      </c>
      <c r="Q363" s="13" t="n">
        <v>1360</v>
      </c>
      <c r="R363" s="13" t="n">
        <v>645.33</v>
      </c>
      <c r="S363" s="13" t="n">
        <v>-148.46</v>
      </c>
      <c r="T363" s="13" t="n">
        <v>8694.51</v>
      </c>
      <c r="U363" s="13" t="n">
        <v>622.13</v>
      </c>
      <c r="V363" s="13" t="n">
        <v>140.23</v>
      </c>
      <c r="W363" s="13" t="n">
        <v>-39.04</v>
      </c>
      <c r="X363" s="13" t="n">
        <v>801.78</v>
      </c>
      <c r="Y363" s="13" t="n">
        <v>155.08</v>
      </c>
      <c r="Z363" s="19" t="n"/>
      <c r="AA363" s="18" t="n"/>
      <c r="AB363" s="38" t="n">
        <v>16.74</v>
      </c>
      <c r="AC363" s="14">
        <f>IFERROR(AVERAGEIFS($E$16:$E$736,$W$16:$W$736,"&gt;="&amp;W363-$C$5,$W$16:$W$736,"&lt;="&amp;W363+$C$5,$B$16:$B$736,B363,$A$16:$A$736,"&lt;&gt;"&amp;A363),"")</f>
        <v/>
      </c>
      <c r="AD363" s="14">
        <f>IF(AND(ISNUMBER(E363),ISNUMBER(AC363)),E363-AC363,"")</f>
        <v/>
      </c>
    </row>
    <row r="364">
      <c r="A364" s="17" t="n">
        <v>45935</v>
      </c>
      <c r="B364" s="29">
        <f>MONTH(A364)</f>
        <v/>
      </c>
      <c r="C364" s="29">
        <f>IF(AND(ISNUMBER(W364),ISNUMBER($C$4),ABS(W364-$C$4)&lt;=$C$5,ABS(MOD(B364-$C$6+6,12)-6)&lt;=$C$7,OR($C$8="Any",P364=$C$8)),1,0)</f>
        <v/>
      </c>
      <c r="D364" s="29">
        <f>IF(C364=1,COUNTIF($C$16:C364,1),"")</f>
        <v/>
      </c>
      <c r="E364" s="18" t="n">
        <v>13.79</v>
      </c>
      <c r="F364" s="18" t="n">
        <v>19.1</v>
      </c>
      <c r="G364" s="18" t="n">
        <v>3.16</v>
      </c>
      <c r="H364" s="38" t="n">
        <v>9.199999999999999</v>
      </c>
      <c r="I364" s="38" t="n">
        <v>4.16</v>
      </c>
      <c r="J364" s="13" t="n">
        <v>10091</v>
      </c>
      <c r="K364" s="13" t="n">
        <v>9773.120000000001</v>
      </c>
      <c r="L364" s="13" t="n">
        <v>1051.44</v>
      </c>
      <c r="M364" s="13" t="n">
        <v>1618.96</v>
      </c>
      <c r="N364" s="13" t="n">
        <v>4270</v>
      </c>
      <c r="O364" s="38" t="n">
        <v>37.91</v>
      </c>
      <c r="P364" s="39" t="inlineStr">
        <is>
          <t>Windy</t>
        </is>
      </c>
      <c r="Q364" s="13" t="n">
        <v>1556</v>
      </c>
      <c r="R364" s="13" t="n">
        <v>636.53</v>
      </c>
      <c r="S364" s="13" t="n">
        <v>-278.79</v>
      </c>
      <c r="T364" s="13" t="n">
        <v>8636.040000000001</v>
      </c>
      <c r="U364" s="13" t="n">
        <v>629.9400000000001</v>
      </c>
      <c r="V364" s="13" t="n">
        <v>77.11</v>
      </c>
      <c r="W364" s="13" t="n">
        <v>880.7</v>
      </c>
      <c r="X364" s="13" t="n">
        <v>1521.29</v>
      </c>
      <c r="Y364" s="13" t="n">
        <v>1066.67</v>
      </c>
      <c r="Z364" s="19" t="n"/>
      <c r="AA364" s="18" t="n"/>
      <c r="AB364" s="38" t="n">
        <v>13.81</v>
      </c>
      <c r="AC364" s="14">
        <f>IFERROR(AVERAGEIFS($E$16:$E$736,$W$16:$W$736,"&gt;="&amp;W364-$C$5,$W$16:$W$736,"&lt;="&amp;W364+$C$5,$B$16:$B$736,B364,$A$16:$A$736,"&lt;&gt;"&amp;A364),"")</f>
        <v/>
      </c>
      <c r="AD364" s="14">
        <f>IF(AND(ISNUMBER(E364),ISNUMBER(AC364)),E364-AC364,"")</f>
        <v/>
      </c>
    </row>
    <row r="365">
      <c r="A365" s="17" t="n">
        <v>45934</v>
      </c>
      <c r="B365" s="29">
        <f>MONTH(A365)</f>
        <v/>
      </c>
      <c r="C365" s="29">
        <f>IF(AND(ISNUMBER(W365),ISNUMBER($C$4),ABS(W365-$C$4)&lt;=$C$5,ABS(MOD(B365-$C$6+6,12)-6)&lt;=$C$7,OR($C$8="Any",P365=$C$8)),1,0)</f>
        <v/>
      </c>
      <c r="D365" s="29">
        <f>IF(C365=1,COUNTIF($C$16:C365,1),"")</f>
        <v/>
      </c>
      <c r="E365" s="18" t="n">
        <v>33.67</v>
      </c>
      <c r="F365" s="18" t="n">
        <v>41.8</v>
      </c>
      <c r="G365" s="18" t="n">
        <v>17.43</v>
      </c>
      <c r="H365" s="38" t="n">
        <v>10.2</v>
      </c>
      <c r="I365" s="38" t="n">
        <v>7.85</v>
      </c>
      <c r="J365" s="13" t="n">
        <v>10198</v>
      </c>
      <c r="K365" s="13" t="n">
        <v>9891.559999999999</v>
      </c>
      <c r="L365" s="13" t="n">
        <v>1360.25</v>
      </c>
      <c r="M365" s="13" t="n">
        <v>1618.46</v>
      </c>
      <c r="N365" s="13" t="n">
        <v>4270</v>
      </c>
      <c r="O365" s="38" t="n">
        <v>37.9</v>
      </c>
      <c r="P365" s="39" t="inlineStr">
        <is>
          <t>Windy</t>
        </is>
      </c>
      <c r="Q365" s="13" t="n">
        <v>531</v>
      </c>
      <c r="R365" s="13" t="n">
        <v>645.0700000000001</v>
      </c>
      <c r="S365" s="13" t="n">
        <v>-357.17</v>
      </c>
      <c r="T365" s="13" t="n">
        <v>8914.76</v>
      </c>
      <c r="U365" s="13" t="n">
        <v>599.3200000000001</v>
      </c>
      <c r="V365" s="13" t="n">
        <v>356.57</v>
      </c>
      <c r="W365" s="13" t="n">
        <v>569.11</v>
      </c>
      <c r="X365" s="13" t="n">
        <v>1214.77</v>
      </c>
      <c r="Y365" s="13" t="n">
        <v>850.16</v>
      </c>
      <c r="Z365" s="19" t="n"/>
      <c r="AA365" s="18" t="n"/>
      <c r="AB365" s="38" t="n">
        <v>17.39</v>
      </c>
      <c r="AC365" s="14">
        <f>IFERROR(AVERAGEIFS($E$16:$E$736,$W$16:$W$736,"&gt;="&amp;W365-$C$5,$W$16:$W$736,"&lt;="&amp;W365+$C$5,$B$16:$B$736,B365,$A$16:$A$736,"&lt;&gt;"&amp;A365),"")</f>
        <v/>
      </c>
      <c r="AD365" s="14">
        <f>IF(AND(ISNUMBER(E365),ISNUMBER(AC365)),E365-AC365,"")</f>
        <v/>
      </c>
    </row>
    <row r="366">
      <c r="A366" s="17" t="n">
        <v>45933</v>
      </c>
      <c r="B366" s="29">
        <f>MONTH(A366)</f>
        <v/>
      </c>
      <c r="C366" s="29">
        <f>IF(AND(ISNUMBER(W366),ISNUMBER($C$4),ABS(W366-$C$4)&lt;=$C$5,ABS(MOD(B366-$C$6+6,12)-6)&lt;=$C$7,OR($C$8="Any",P366=$C$8)),1,0)</f>
        <v/>
      </c>
      <c r="D366" s="29">
        <f>IF(C366=1,COUNTIF($C$16:C366,1),"")</f>
        <v/>
      </c>
      <c r="E366" s="18" t="n">
        <v>39.12</v>
      </c>
      <c r="F366" s="18" t="n">
        <v>45.99</v>
      </c>
      <c r="G366" s="18" t="n">
        <v>25.39</v>
      </c>
      <c r="H366" s="38" t="n">
        <v>17.33</v>
      </c>
      <c r="I366" s="38" t="n">
        <v>11.22</v>
      </c>
      <c r="J366" s="13" t="n">
        <v>10308</v>
      </c>
      <c r="K366" s="13" t="n">
        <v>10124.06</v>
      </c>
      <c r="L366" s="13" t="n">
        <v>924.9400000000001</v>
      </c>
      <c r="M366" s="13" t="n">
        <v>1036</v>
      </c>
      <c r="N366" s="13" t="n">
        <v>4270</v>
      </c>
      <c r="O366" s="38" t="n">
        <v>24.26</v>
      </c>
      <c r="P366" s="39" t="inlineStr">
        <is>
          <t>Windy</t>
        </is>
      </c>
      <c r="Q366" s="13" t="n">
        <v>1455</v>
      </c>
      <c r="R366" s="13" t="n">
        <v>654.58</v>
      </c>
      <c r="S366" s="13" t="n">
        <v>-74.08</v>
      </c>
      <c r="T366" s="13" t="n">
        <v>8853.780000000001</v>
      </c>
      <c r="U366" s="13" t="n">
        <v>549.6900000000001</v>
      </c>
      <c r="V366" s="13" t="n">
        <v>87.15000000000001</v>
      </c>
      <c r="W366" s="13" t="n">
        <v>604.62</v>
      </c>
      <c r="X366" s="13" t="n">
        <v>1094.77</v>
      </c>
      <c r="Y366" s="13" t="n">
        <v>837.29</v>
      </c>
      <c r="Z366" s="19" t="n"/>
      <c r="AA366" s="18" t="n"/>
      <c r="AB366" s="38" t="n">
        <v>22.59</v>
      </c>
      <c r="AC366" s="14">
        <f>IFERROR(AVERAGEIFS($E$16:$E$736,$W$16:$W$736,"&gt;="&amp;W366-$C$5,$W$16:$W$736,"&lt;="&amp;W366+$C$5,$B$16:$B$736,B366,$A$16:$A$736,"&lt;&gt;"&amp;A366),"")</f>
        <v/>
      </c>
      <c r="AD366" s="14">
        <f>IF(AND(ISNUMBER(E366),ISNUMBER(AC366)),E366-AC366,"")</f>
        <v/>
      </c>
    </row>
    <row r="367">
      <c r="A367" s="17" t="n">
        <v>45930</v>
      </c>
      <c r="B367" s="29">
        <f>MONTH(A367)</f>
        <v/>
      </c>
      <c r="C367" s="29">
        <f>IF(AND(ISNUMBER(W367),ISNUMBER($C$4),ABS(W367-$C$4)&lt;=$C$5,ABS(MOD(B367-$C$6+6,12)-6)&lt;=$C$7,OR($C$8="Any",P367=$C$8)),1,0)</f>
        <v/>
      </c>
      <c r="D367" s="29">
        <f>IF(C367=1,COUNTIF($C$16:C367,1),"")</f>
        <v/>
      </c>
      <c r="E367" s="18" t="n">
        <v>45.64</v>
      </c>
      <c r="F367" s="18" t="n">
        <v>20.69</v>
      </c>
      <c r="G367" s="18" t="n">
        <v>95.53</v>
      </c>
      <c r="H367" s="38" t="n">
        <v>18.87</v>
      </c>
      <c r="I367" s="38" t="n">
        <v>14.25</v>
      </c>
      <c r="J367" s="13" t="n">
        <v>10587</v>
      </c>
      <c r="K367" s="13" t="n">
        <v>10214.62</v>
      </c>
      <c r="L367" s="13" t="n">
        <v>1856.88</v>
      </c>
      <c r="M367" s="13" t="n">
        <v>1710.17</v>
      </c>
      <c r="N367" s="13" t="n">
        <v>4270</v>
      </c>
      <c r="O367" s="38" t="n">
        <v>40.05</v>
      </c>
      <c r="P367" s="39" t="inlineStr">
        <is>
          <t>Windy</t>
        </is>
      </c>
      <c r="Q367" s="13" t="n">
        <v>676</v>
      </c>
      <c r="R367" s="13" t="n">
        <v>655.0700000000001</v>
      </c>
      <c r="S367" s="13" t="n">
        <v>-287.83</v>
      </c>
      <c r="T367" s="13" t="n">
        <v>8847.75</v>
      </c>
      <c r="U367" s="13" t="n">
        <v>549.0700000000001</v>
      </c>
      <c r="V367" s="13" t="n">
        <v>425.57</v>
      </c>
      <c r="W367" s="13" t="n">
        <v>1056.78</v>
      </c>
      <c r="X367" s="13" t="n">
        <v>1400.54</v>
      </c>
      <c r="Y367" s="13" t="n">
        <v>1383.71</v>
      </c>
      <c r="Z367" s="19" t="n"/>
      <c r="AA367" s="18" t="n"/>
      <c r="AB367" s="38" t="n">
        <v>16.2</v>
      </c>
      <c r="AC367" s="14">
        <f>IFERROR(AVERAGEIFS($E$16:$E$736,$W$16:$W$736,"&gt;="&amp;W367-$C$5,$W$16:$W$736,"&lt;="&amp;W367+$C$5,$B$16:$B$736,B367,$A$16:$A$736,"&lt;&gt;"&amp;A367),"")</f>
        <v/>
      </c>
      <c r="AD367" s="14">
        <f>IF(AND(ISNUMBER(E367),ISNUMBER(AC367)),E367-AC367,"")</f>
        <v/>
      </c>
    </row>
    <row r="368">
      <c r="A368" s="17" t="n">
        <v>45929</v>
      </c>
      <c r="B368" s="29">
        <f>MONTH(A368)</f>
        <v/>
      </c>
      <c r="C368" s="29">
        <f>IF(AND(ISNUMBER(W368),ISNUMBER($C$4),ABS(W368-$C$4)&lt;=$C$5,ABS(MOD(B368-$C$6+6,12)-6)&lt;=$C$7,OR($C$8="Any",P368=$C$8)),1,0)</f>
        <v/>
      </c>
      <c r="D368" s="29">
        <f>IF(C368=1,COUNTIF($C$16:C368,1),"")</f>
        <v/>
      </c>
      <c r="E368" s="18" t="n">
        <v>6.05</v>
      </c>
      <c r="F368" s="18" t="n">
        <v>6.97</v>
      </c>
      <c r="G368" s="18" t="n">
        <v>4.23</v>
      </c>
      <c r="H368" s="38" t="n">
        <v>25.17</v>
      </c>
      <c r="I368" s="38" t="n">
        <v>15.99</v>
      </c>
      <c r="J368" s="13" t="n">
        <v>10803</v>
      </c>
      <c r="K368" s="13" t="n">
        <v>10404.81</v>
      </c>
      <c r="L368" s="13" t="n">
        <v>2576</v>
      </c>
      <c r="M368" s="13" t="n">
        <v>2599.71</v>
      </c>
      <c r="N368" s="13" t="n">
        <v>4270</v>
      </c>
      <c r="O368" s="38" t="n">
        <v>60.88</v>
      </c>
      <c r="P368" s="39" t="inlineStr">
        <is>
          <t>Windy</t>
        </is>
      </c>
      <c r="Q368" s="13" t="n">
        <v>1368</v>
      </c>
      <c r="R368" s="13" t="n">
        <v>655.5599999999999</v>
      </c>
      <c r="S368" s="13" t="n">
        <v>-839.04</v>
      </c>
      <c r="T368" s="13" t="n">
        <v>9047.940000000001</v>
      </c>
      <c r="U368" s="13" t="n">
        <v>549.2</v>
      </c>
      <c r="V368" s="13" t="n">
        <v>44.47</v>
      </c>
      <c r="W368" s="13" t="n">
        <v>1205.25</v>
      </c>
      <c r="X368" s="13" t="n">
        <v>1739.24</v>
      </c>
      <c r="Y368" s="13" t="n">
        <v>1480.45</v>
      </c>
      <c r="Z368" s="19" t="n"/>
      <c r="AA368" s="18" t="n"/>
      <c r="AB368" s="38" t="n">
        <v>20.39</v>
      </c>
      <c r="AC368" s="14">
        <f>IFERROR(AVERAGEIFS($E$16:$E$736,$W$16:$W$736,"&gt;="&amp;W368-$C$5,$W$16:$W$736,"&lt;="&amp;W368+$C$5,$B$16:$B$736,B368,$A$16:$A$736,"&lt;&gt;"&amp;A368),"")</f>
        <v/>
      </c>
      <c r="AD368" s="14">
        <f>IF(AND(ISNUMBER(E368),ISNUMBER(AC368)),E368-AC368,"")</f>
        <v/>
      </c>
    </row>
    <row r="369">
      <c r="A369" s="17" t="n">
        <v>45928</v>
      </c>
      <c r="B369" s="29">
        <f>MONTH(A369)</f>
        <v/>
      </c>
      <c r="C369" s="29">
        <f>IF(AND(ISNUMBER(W369),ISNUMBER($C$4),ABS(W369-$C$4)&lt;=$C$5,ABS(MOD(B369-$C$6+6,12)-6)&lt;=$C$7,OR($C$8="Any",P369=$C$8)),1,0)</f>
        <v/>
      </c>
      <c r="D369" s="29">
        <f>IF(C369=1,COUNTIF($C$16:C369,1),"")</f>
        <v/>
      </c>
      <c r="E369" s="18" t="n">
        <v>16.95</v>
      </c>
      <c r="F369" s="18" t="n">
        <v>24.9</v>
      </c>
      <c r="G369" s="18" t="n">
        <v>1.05</v>
      </c>
      <c r="H369" s="38" t="n">
        <v>15.5</v>
      </c>
      <c r="I369" s="38" t="n">
        <v>10.79</v>
      </c>
      <c r="J369" s="13" t="n">
        <v>10115</v>
      </c>
      <c r="K369" s="13" t="n">
        <v>9764.690000000001</v>
      </c>
      <c r="L369" s="13" t="n">
        <v>967.88</v>
      </c>
      <c r="M369" s="13" t="n">
        <v>1510.08</v>
      </c>
      <c r="N369" s="13" t="n">
        <v>4270</v>
      </c>
      <c r="O369" s="38" t="n">
        <v>35.36</v>
      </c>
      <c r="P369" s="39" t="inlineStr">
        <is>
          <t>Windy</t>
        </is>
      </c>
      <c r="Q369" s="13" t="n">
        <v>1467</v>
      </c>
      <c r="R369" s="13" t="n">
        <v>657.24</v>
      </c>
      <c r="S369" s="13" t="n">
        <v>-143.79</v>
      </c>
      <c r="T369" s="13" t="n">
        <v>9097.290000000001</v>
      </c>
      <c r="U369" s="13" t="n">
        <v>560.5700000000001</v>
      </c>
      <c r="V369" s="13" t="n">
        <v>71.38</v>
      </c>
      <c r="W369" s="13" t="n">
        <v>1088.6</v>
      </c>
      <c r="X369" s="13" t="n">
        <v>1662.33</v>
      </c>
      <c r="Y369" s="13" t="n">
        <v>1373.8</v>
      </c>
      <c r="Z369" s="19" t="n"/>
      <c r="AA369" s="18" t="n"/>
      <c r="AB369" s="38" t="n">
        <v>14.73</v>
      </c>
      <c r="AC369" s="14">
        <f>IFERROR(AVERAGEIFS($E$16:$E$736,$W$16:$W$736,"&gt;="&amp;W369-$C$5,$W$16:$W$736,"&lt;="&amp;W369+$C$5,$B$16:$B$736,B369,$A$16:$A$736,"&lt;&gt;"&amp;A369),"")</f>
        <v/>
      </c>
      <c r="AD369" s="14">
        <f>IF(AND(ISNUMBER(E369),ISNUMBER(AC369)),E369-AC369,"")</f>
        <v/>
      </c>
    </row>
    <row r="370">
      <c r="A370" s="17" t="n">
        <v>45927</v>
      </c>
      <c r="B370" s="29">
        <f>MONTH(A370)</f>
        <v/>
      </c>
      <c r="C370" s="29">
        <f>IF(AND(ISNUMBER(W370),ISNUMBER($C$4),ABS(W370-$C$4)&lt;=$C$5,ABS(MOD(B370-$C$6+6,12)-6)&lt;=$C$7,OR($C$8="Any",P370=$C$8)),1,0)</f>
        <v/>
      </c>
      <c r="D370" s="29">
        <f>IF(C370=1,COUNTIF($C$16:C370,1),"")</f>
        <v/>
      </c>
      <c r="E370" s="18" t="n">
        <v>0.83</v>
      </c>
      <c r="F370" s="18" t="n">
        <v>1.24</v>
      </c>
      <c r="G370" s="18" t="n">
        <v>0</v>
      </c>
      <c r="H370" s="38" t="n">
        <v>19.13</v>
      </c>
      <c r="I370" s="38" t="n">
        <v>14.24</v>
      </c>
      <c r="J370" s="13" t="n">
        <v>10185</v>
      </c>
      <c r="K370" s="13" t="n">
        <v>9876.25</v>
      </c>
      <c r="L370" s="13" t="n">
        <v>2439.75</v>
      </c>
      <c r="M370" s="13" t="n">
        <v>2377.58</v>
      </c>
      <c r="N370" s="13" t="n">
        <v>4270</v>
      </c>
      <c r="O370" s="38" t="n">
        <v>55.68</v>
      </c>
      <c r="P370" s="39" t="inlineStr">
        <is>
          <t>Windy</t>
        </is>
      </c>
      <c r="Q370" s="13" t="n">
        <v>719</v>
      </c>
      <c r="R370" s="13" t="n">
        <v>658.37</v>
      </c>
      <c r="S370" s="13" t="n">
        <v>-50.21</v>
      </c>
      <c r="T370" s="13" t="n">
        <v>8977.370000000001</v>
      </c>
      <c r="U370" s="13" t="n">
        <v>573.36</v>
      </c>
      <c r="V370" s="13" t="n">
        <v>237.78</v>
      </c>
      <c r="W370" s="13" t="n">
        <v>2189.03</v>
      </c>
      <c r="X370" s="13" t="n">
        <v>2552.02</v>
      </c>
      <c r="Y370" s="13" t="n">
        <v>2457.59</v>
      </c>
      <c r="Z370" s="19" t="n"/>
      <c r="AA370" s="18" t="n"/>
      <c r="AB370" s="38" t="n">
        <v>19.78</v>
      </c>
      <c r="AC370" s="14">
        <f>IFERROR(AVERAGEIFS($E$16:$E$736,$W$16:$W$736,"&gt;="&amp;W370-$C$5,$W$16:$W$736,"&lt;="&amp;W370+$C$5,$B$16:$B$736,B370,$A$16:$A$736,"&lt;&gt;"&amp;A370),"")</f>
        <v/>
      </c>
      <c r="AD370" s="14">
        <f>IF(AND(ISNUMBER(E370),ISNUMBER(AC370)),E370-AC370,"")</f>
        <v/>
      </c>
    </row>
    <row r="371">
      <c r="A371" s="17" t="n">
        <v>45926</v>
      </c>
      <c r="B371" s="29">
        <f>MONTH(A371)</f>
        <v/>
      </c>
      <c r="C371" s="29">
        <f>IF(AND(ISNUMBER(W371),ISNUMBER($C$4),ABS(W371-$C$4)&lt;=$C$5,ABS(MOD(B371-$C$6+6,12)-6)&lt;=$C$7,OR($C$8="Any",P371=$C$8)),1,0)</f>
        <v/>
      </c>
      <c r="D371" s="29">
        <f>IF(C371=1,COUNTIF($C$16:C371,1),"")</f>
        <v/>
      </c>
      <c r="E371" s="18" t="n">
        <v>7.53</v>
      </c>
      <c r="F371" s="18" t="n">
        <v>10.99</v>
      </c>
      <c r="G371" s="18" t="n">
        <v>0.61</v>
      </c>
      <c r="H371" s="38" t="n">
        <v>17.33</v>
      </c>
      <c r="I371" s="38" t="n">
        <v>12.87</v>
      </c>
      <c r="J371" s="13" t="n">
        <v>10367</v>
      </c>
      <c r="K371" s="13" t="n">
        <v>10155.62</v>
      </c>
      <c r="L371" s="13" t="n">
        <v>1654</v>
      </c>
      <c r="M371" s="13" t="n">
        <v>1837.25</v>
      </c>
      <c r="N371" s="13" t="n">
        <v>4270</v>
      </c>
      <c r="O371" s="38" t="n">
        <v>43.03</v>
      </c>
      <c r="P371" s="39" t="inlineStr">
        <is>
          <t>Windy</t>
        </is>
      </c>
      <c r="Q371" s="13" t="n">
        <v>1555</v>
      </c>
      <c r="R371" s="13" t="n">
        <v>658.63</v>
      </c>
      <c r="S371" s="13" t="n">
        <v>-48.88</v>
      </c>
      <c r="T371" s="13" t="n">
        <v>9080.08</v>
      </c>
      <c r="U371" s="13" t="n">
        <v>479.52</v>
      </c>
      <c r="V371" s="13" t="n">
        <v>29.38</v>
      </c>
      <c r="W371" s="13" t="n">
        <v>1161.61</v>
      </c>
      <c r="X371" s="13" t="n">
        <v>1965.23</v>
      </c>
      <c r="Y371" s="13" t="n">
        <v>1535.04</v>
      </c>
      <c r="Z371" s="19" t="n"/>
      <c r="AA371" s="18" t="n"/>
      <c r="AB371" s="38" t="n">
        <v>24.31</v>
      </c>
      <c r="AC371" s="14">
        <f>IFERROR(AVERAGEIFS($E$16:$E$736,$W$16:$W$736,"&gt;="&amp;W371-$C$5,$W$16:$W$736,"&lt;="&amp;W371+$C$5,$B$16:$B$736,B371,$A$16:$A$736,"&lt;&gt;"&amp;A371),"")</f>
        <v/>
      </c>
      <c r="AD371" s="14">
        <f>IF(AND(ISNUMBER(E371),ISNUMBER(AC371)),E371-AC371,"")</f>
        <v/>
      </c>
    </row>
    <row r="372">
      <c r="A372" s="17" t="n">
        <v>45925</v>
      </c>
      <c r="B372" s="29">
        <f>MONTH(A372)</f>
        <v/>
      </c>
      <c r="C372" s="29">
        <f>IF(AND(ISNUMBER(W372),ISNUMBER($C$4),ABS(W372-$C$4)&lt;=$C$5,ABS(MOD(B372-$C$6+6,12)-6)&lt;=$C$7,OR($C$8="Any",P372=$C$8)),1,0)</f>
        <v/>
      </c>
      <c r="D372" s="29">
        <f>IF(C372=1,COUNTIF($C$16:C372,1),"")</f>
        <v/>
      </c>
      <c r="E372" s="18" t="n">
        <v>2.32</v>
      </c>
      <c r="F372" s="18" t="n">
        <v>0.19</v>
      </c>
      <c r="G372" s="18" t="n">
        <v>6.58</v>
      </c>
      <c r="H372" s="38" t="n">
        <v>21.77</v>
      </c>
      <c r="I372" s="38" t="n">
        <v>13.5</v>
      </c>
      <c r="J372" s="13" t="n">
        <v>10593</v>
      </c>
      <c r="K372" s="13" t="n">
        <v>10232.62</v>
      </c>
      <c r="L372" s="13" t="n">
        <v>2304.31</v>
      </c>
      <c r="M372" s="13" t="n">
        <v>2063.33</v>
      </c>
      <c r="N372" s="13" t="n">
        <v>4270</v>
      </c>
      <c r="O372" s="38" t="n">
        <v>48.32</v>
      </c>
      <c r="P372" s="39" t="inlineStr">
        <is>
          <t>Windy</t>
        </is>
      </c>
      <c r="Q372" s="13" t="n">
        <v>1020</v>
      </c>
      <c r="R372" s="13" t="n">
        <v>656.27</v>
      </c>
      <c r="S372" s="13" t="n">
        <v>-5.12</v>
      </c>
      <c r="T372" s="13" t="n">
        <v>8987.26</v>
      </c>
      <c r="U372" s="13" t="n">
        <v>478.78</v>
      </c>
      <c r="V372" s="13" t="n">
        <v>60.97</v>
      </c>
      <c r="W372" s="13" t="n">
        <v>2096.47</v>
      </c>
      <c r="X372" s="13" t="n">
        <v>2254.67</v>
      </c>
      <c r="Y372" s="13" t="n">
        <v>2461.21</v>
      </c>
      <c r="Z372" s="19" t="n"/>
      <c r="AA372" s="18" t="n"/>
      <c r="AB372" s="38" t="n">
        <v>18.96</v>
      </c>
      <c r="AC372" s="14">
        <f>IFERROR(AVERAGEIFS($E$16:$E$736,$W$16:$W$736,"&gt;="&amp;W372-$C$5,$W$16:$W$736,"&lt;="&amp;W372+$C$5,$B$16:$B$736,B372,$A$16:$A$736,"&lt;&gt;"&amp;A372),"")</f>
        <v/>
      </c>
      <c r="AD372" s="14">
        <f>IF(AND(ISNUMBER(E372),ISNUMBER(AC372)),E372-AC372,"")</f>
        <v/>
      </c>
    </row>
    <row r="373">
      <c r="A373" s="17" t="n">
        <v>45924</v>
      </c>
      <c r="B373" s="29">
        <f>MONTH(A373)</f>
        <v/>
      </c>
      <c r="C373" s="29">
        <f>IF(AND(ISNUMBER(W373),ISNUMBER($C$4),ABS(W373-$C$4)&lt;=$C$5,ABS(MOD(B373-$C$6+6,12)-6)&lt;=$C$7,OR($C$8="Any",P373=$C$8)),1,0)</f>
        <v/>
      </c>
      <c r="D373" s="29">
        <f>IF(C373=1,COUNTIF($C$16:C373,1),"")</f>
        <v/>
      </c>
      <c r="E373" s="18" t="n">
        <v>158.84</v>
      </c>
      <c r="F373" s="18" t="n">
        <v>236.15</v>
      </c>
      <c r="G373" s="18" t="n">
        <v>4.21</v>
      </c>
      <c r="H373" s="38" t="n">
        <v>17.9</v>
      </c>
      <c r="I373" s="38" t="n">
        <v>13.71</v>
      </c>
      <c r="J373" s="13" t="n">
        <v>10464</v>
      </c>
      <c r="K373" s="13" t="n">
        <v>10163.62</v>
      </c>
      <c r="L373" s="13" t="n">
        <v>1573.56</v>
      </c>
      <c r="M373" s="13" t="n">
        <v>1736.38</v>
      </c>
      <c r="N373" s="13" t="n">
        <v>4270</v>
      </c>
      <c r="O373" s="38" t="n">
        <v>40.66</v>
      </c>
      <c r="P373" s="39" t="inlineStr">
        <is>
          <t>Windy</t>
        </is>
      </c>
      <c r="Q373" s="13" t="n">
        <v>1575</v>
      </c>
      <c r="R373" s="13" t="n">
        <v>657.28</v>
      </c>
      <c r="S373" s="13" t="n">
        <v>0</v>
      </c>
      <c r="T373" s="13" t="n">
        <v>9036.67</v>
      </c>
      <c r="U373" s="13" t="n">
        <v>475.09</v>
      </c>
      <c r="V373" s="13" t="n">
        <v>101.49</v>
      </c>
      <c r="W373" s="13" t="n">
        <v>555.58</v>
      </c>
      <c r="X373" s="13" t="n">
        <v>1785.88</v>
      </c>
      <c r="Y373" s="13" t="n">
        <v>927.29</v>
      </c>
      <c r="Z373" s="19" t="n"/>
      <c r="AA373" s="18" t="n"/>
      <c r="AB373" s="38" t="n">
        <v>19.35</v>
      </c>
      <c r="AC373" s="14">
        <f>IFERROR(AVERAGEIFS($E$16:$E$736,$W$16:$W$736,"&gt;="&amp;W373-$C$5,$W$16:$W$736,"&lt;="&amp;W373+$C$5,$B$16:$B$736,B373,$A$16:$A$736,"&lt;&gt;"&amp;A373),"")</f>
        <v/>
      </c>
      <c r="AD373" s="14">
        <f>IF(AND(ISNUMBER(E373),ISNUMBER(AC373)),E373-AC373,"")</f>
        <v/>
      </c>
    </row>
    <row r="374">
      <c r="A374" s="17" t="n">
        <v>45923</v>
      </c>
      <c r="B374" s="29">
        <f>MONTH(A374)</f>
        <v/>
      </c>
      <c r="C374" s="29">
        <f>IF(AND(ISNUMBER(W374),ISNUMBER($C$4),ABS(W374-$C$4)&lt;=$C$5,ABS(MOD(B374-$C$6+6,12)-6)&lt;=$C$7,OR($C$8="Any",P374=$C$8)),1,0)</f>
        <v/>
      </c>
      <c r="D374" s="29">
        <f>IF(C374=1,COUNTIF($C$16:C374,1),"")</f>
        <v/>
      </c>
      <c r="E374" s="18" t="n">
        <v>89.93000000000001</v>
      </c>
      <c r="F374" s="18" t="n">
        <v>134.89</v>
      </c>
      <c r="G374" s="18" t="n">
        <v>0</v>
      </c>
      <c r="H374" s="38" t="n">
        <v>23.67</v>
      </c>
      <c r="I374" s="38" t="n">
        <v>16.98</v>
      </c>
      <c r="J374" s="13" t="n">
        <v>10940</v>
      </c>
      <c r="K374" s="13" t="n">
        <v>10378</v>
      </c>
      <c r="L374" s="13" t="n">
        <v>1606.88</v>
      </c>
      <c r="M374" s="13" t="n">
        <v>1970.25</v>
      </c>
      <c r="N374" s="13" t="n">
        <v>4270</v>
      </c>
      <c r="O374" s="38" t="n">
        <v>46.14</v>
      </c>
      <c r="P374" s="39" t="inlineStr">
        <is>
          <t>Windy</t>
        </is>
      </c>
      <c r="Q374" s="13" t="n">
        <v>1552</v>
      </c>
      <c r="R374" s="13" t="n">
        <v>655.97</v>
      </c>
      <c r="S374" s="13" t="n">
        <v>0</v>
      </c>
      <c r="T374" s="13" t="n">
        <v>8989.780000000001</v>
      </c>
      <c r="U374" s="13" t="n">
        <v>421.89</v>
      </c>
      <c r="V374" s="13" t="n">
        <v>55.56</v>
      </c>
      <c r="W374" s="13" t="n">
        <v>426.53</v>
      </c>
      <c r="X374" s="13" t="n">
        <v>1687.07</v>
      </c>
      <c r="Y374" s="13" t="n">
        <v>787.42</v>
      </c>
      <c r="Z374" s="19" t="n"/>
      <c r="AA374" s="18" t="n"/>
      <c r="AB374" s="38" t="n">
        <v>21.11</v>
      </c>
      <c r="AC374" s="14">
        <f>IFERROR(AVERAGEIFS($E$16:$E$736,$W$16:$W$736,"&gt;="&amp;W374-$C$5,$W$16:$W$736,"&lt;="&amp;W374+$C$5,$B$16:$B$736,B374,$A$16:$A$736,"&lt;&gt;"&amp;A374),"")</f>
        <v/>
      </c>
      <c r="AD374" s="14">
        <f>IF(AND(ISNUMBER(E374),ISNUMBER(AC374)),E374-AC374,"")</f>
        <v/>
      </c>
    </row>
    <row r="375">
      <c r="A375" s="17" t="n">
        <v>45922</v>
      </c>
      <c r="B375" s="29">
        <f>MONTH(A375)</f>
        <v/>
      </c>
      <c r="C375" s="29">
        <f>IF(AND(ISNUMBER(W375),ISNUMBER($C$4),ABS(W375-$C$4)&lt;=$C$5,ABS(MOD(B375-$C$6+6,12)-6)&lt;=$C$7,OR($C$8="Any",P375=$C$8)),1,0)</f>
        <v/>
      </c>
      <c r="D375" s="29">
        <f>IF(C375=1,COUNTIF($C$16:C375,1),"")</f>
        <v/>
      </c>
      <c r="E375" s="18" t="n">
        <v>16.44</v>
      </c>
      <c r="F375" s="18" t="n">
        <v>23.4</v>
      </c>
      <c r="G375" s="18" t="n">
        <v>2.52</v>
      </c>
      <c r="H375" s="38" t="n">
        <v>19.77</v>
      </c>
      <c r="I375" s="38" t="n">
        <v>13.96</v>
      </c>
      <c r="J375" s="13" t="n">
        <v>10735</v>
      </c>
      <c r="K375" s="13" t="n">
        <v>10286.88</v>
      </c>
      <c r="L375" s="13" t="n">
        <v>1343</v>
      </c>
      <c r="M375" s="13" t="n">
        <v>1739.71</v>
      </c>
      <c r="N375" s="13" t="n">
        <v>4270</v>
      </c>
      <c r="O375" s="38" t="n">
        <v>40.74</v>
      </c>
      <c r="P375" s="39" t="inlineStr">
        <is>
          <t>Windy</t>
        </is>
      </c>
      <c r="Q375" s="13" t="n">
        <v>1609</v>
      </c>
      <c r="R375" s="13" t="n">
        <v>650.09</v>
      </c>
      <c r="S375" s="13" t="n">
        <v>0</v>
      </c>
      <c r="T375" s="13" t="n">
        <v>9039.459999999999</v>
      </c>
      <c r="U375" s="13" t="n">
        <v>461.62</v>
      </c>
      <c r="V375" s="13" t="n">
        <v>296.02</v>
      </c>
      <c r="W375" s="13" t="n">
        <v>747.64</v>
      </c>
      <c r="X375" s="13" t="n">
        <v>1610.59</v>
      </c>
      <c r="Y375" s="13" t="n">
        <v>1117.38</v>
      </c>
      <c r="Z375" s="19" t="n"/>
      <c r="AA375" s="18" t="n"/>
      <c r="AB375" s="38" t="n">
        <v>19.83</v>
      </c>
      <c r="AC375" s="14">
        <f>IFERROR(AVERAGEIFS($E$16:$E$736,$W$16:$W$736,"&gt;="&amp;W375-$C$5,$W$16:$W$736,"&lt;="&amp;W375+$C$5,$B$16:$B$736,B375,$A$16:$A$736,"&lt;&gt;"&amp;A375),"")</f>
        <v/>
      </c>
      <c r="AD375" s="14">
        <f>IF(AND(ISNUMBER(E375),ISNUMBER(AC375)),E375-AC375,"")</f>
        <v/>
      </c>
    </row>
    <row r="376">
      <c r="A376" s="17" t="n">
        <v>45921</v>
      </c>
      <c r="B376" s="29">
        <f>MONTH(A376)</f>
        <v/>
      </c>
      <c r="C376" s="29">
        <f>IF(AND(ISNUMBER(W376),ISNUMBER($C$4),ABS(W376-$C$4)&lt;=$C$5,ABS(MOD(B376-$C$6+6,12)-6)&lt;=$C$7,OR($C$8="Any",P376=$C$8)),1,0)</f>
        <v/>
      </c>
      <c r="D376" s="29">
        <f>IF(C376=1,COUNTIF($C$16:C376,1),"")</f>
        <v/>
      </c>
      <c r="E376" s="18" t="n">
        <v>0.74</v>
      </c>
      <c r="F376" s="18" t="n">
        <v>0.18</v>
      </c>
      <c r="G376" s="18" t="n">
        <v>1.88</v>
      </c>
      <c r="H376" s="38" t="n">
        <v>23.47</v>
      </c>
      <c r="I376" s="38" t="n">
        <v>16.9</v>
      </c>
      <c r="J376" s="13" t="n">
        <v>10610</v>
      </c>
      <c r="K376" s="13" t="n">
        <v>10136.06</v>
      </c>
      <c r="L376" s="13" t="n">
        <v>2955.38</v>
      </c>
      <c r="M376" s="13" t="n">
        <v>2802.79</v>
      </c>
      <c r="N376" s="13" t="n">
        <v>4270</v>
      </c>
      <c r="O376" s="38" t="n">
        <v>65.64</v>
      </c>
      <c r="P376" s="39" t="inlineStr">
        <is>
          <t>Windy</t>
        </is>
      </c>
      <c r="Q376" s="13" t="n">
        <v>1393</v>
      </c>
      <c r="R376" s="13" t="n">
        <v>657.73</v>
      </c>
      <c r="S376" s="13" t="n">
        <v>0</v>
      </c>
      <c r="T376" s="13" t="n">
        <v>8958.9</v>
      </c>
      <c r="U376" s="13" t="n">
        <v>570.23</v>
      </c>
      <c r="V376" s="13" t="n">
        <v>62.76</v>
      </c>
      <c r="W376" s="13" t="n">
        <v>2869.31</v>
      </c>
      <c r="X376" s="13" t="n">
        <v>3137.98</v>
      </c>
      <c r="Y376" s="13" t="n">
        <v>3134.92</v>
      </c>
      <c r="Z376" s="19" t="n"/>
      <c r="AA376" s="18" t="n"/>
      <c r="AB376" s="38" t="n">
        <v>26.92</v>
      </c>
      <c r="AC376" s="14">
        <f>IFERROR(AVERAGEIFS($E$16:$E$736,$W$16:$W$736,"&gt;="&amp;W376-$C$5,$W$16:$W$736,"&lt;="&amp;W376+$C$5,$B$16:$B$736,B376,$A$16:$A$736,"&lt;&gt;"&amp;A376),"")</f>
        <v/>
      </c>
      <c r="AD376" s="14">
        <f>IF(AND(ISNUMBER(E376),ISNUMBER(AC376)),E376-AC376,"")</f>
        <v/>
      </c>
    </row>
    <row r="377">
      <c r="A377" s="17" t="n">
        <v>45920</v>
      </c>
      <c r="B377" s="29">
        <f>MONTH(A377)</f>
        <v/>
      </c>
      <c r="C377" s="29">
        <f>IF(AND(ISNUMBER(W377),ISNUMBER($C$4),ABS(W377-$C$4)&lt;=$C$5,ABS(MOD(B377-$C$6+6,12)-6)&lt;=$C$7,OR($C$8="Any",P377=$C$8)),1,0)</f>
        <v/>
      </c>
      <c r="D377" s="29">
        <f>IF(C377=1,COUNTIF($C$16:C377,1),"")</f>
        <v/>
      </c>
      <c r="E377" s="18" t="n">
        <v>11.57</v>
      </c>
      <c r="F377" s="18" t="n">
        <v>12.11</v>
      </c>
      <c r="G377" s="18" t="n">
        <v>10.48</v>
      </c>
      <c r="H377" s="38" t="n">
        <v>26.1</v>
      </c>
      <c r="I377" s="38" t="n">
        <v>18.09</v>
      </c>
      <c r="J377" s="13" t="n">
        <v>10897</v>
      </c>
      <c r="K377" s="13" t="n">
        <v>10287.94</v>
      </c>
      <c r="L377" s="13" t="n">
        <v>1774.75</v>
      </c>
      <c r="M377" s="13" t="n">
        <v>1672.92</v>
      </c>
      <c r="N377" s="13" t="n">
        <v>4270</v>
      </c>
      <c r="O377" s="38" t="n">
        <v>39.18</v>
      </c>
      <c r="P377" s="39" t="inlineStr">
        <is>
          <t>Windy</t>
        </is>
      </c>
      <c r="Q377" s="13" t="n">
        <v>1549</v>
      </c>
      <c r="R377" s="13" t="n">
        <v>660.65</v>
      </c>
      <c r="S377" s="13" t="n">
        <v>0</v>
      </c>
      <c r="T377" s="13" t="n">
        <v>8893.82</v>
      </c>
      <c r="U377" s="13" t="n">
        <v>550.61</v>
      </c>
      <c r="V377" s="13" t="n">
        <v>451.17</v>
      </c>
      <c r="W377" s="13" t="n">
        <v>1313.02</v>
      </c>
      <c r="X377" s="13" t="n">
        <v>2015.68</v>
      </c>
      <c r="Y377" s="13" t="n">
        <v>1622.48</v>
      </c>
      <c r="Z377" s="19" t="n"/>
      <c r="AA377" s="18" t="n"/>
      <c r="AB377" s="38" t="n">
        <v>20.13</v>
      </c>
      <c r="AC377" s="14">
        <f>IFERROR(AVERAGEIFS($E$16:$E$736,$W$16:$W$736,"&gt;="&amp;W377-$C$5,$W$16:$W$736,"&lt;="&amp;W377+$C$5,$B$16:$B$736,B377,$A$16:$A$736,"&lt;&gt;"&amp;A377),"")</f>
        <v/>
      </c>
      <c r="AD377" s="14">
        <f>IF(AND(ISNUMBER(E377),ISNUMBER(AC377)),E377-AC377,"")</f>
        <v/>
      </c>
    </row>
    <row r="378">
      <c r="A378" s="17" t="n">
        <v>45919</v>
      </c>
      <c r="B378" s="29">
        <f>MONTH(A378)</f>
        <v/>
      </c>
      <c r="C378" s="29">
        <f>IF(AND(ISNUMBER(W378),ISNUMBER($C$4),ABS(W378-$C$4)&lt;=$C$5,ABS(MOD(B378-$C$6+6,12)-6)&lt;=$C$7,OR($C$8="Any",P378=$C$8)),1,0)</f>
        <v/>
      </c>
      <c r="D378" s="29">
        <f>IF(C378=1,COUNTIF($C$16:C378,1),"")</f>
        <v/>
      </c>
      <c r="E378" s="18" t="n">
        <v>229.69</v>
      </c>
      <c r="F378" s="18" t="n">
        <v>322.67</v>
      </c>
      <c r="G378" s="18" t="n">
        <v>43.73</v>
      </c>
      <c r="H378" s="38" t="n">
        <v>22.03</v>
      </c>
      <c r="I378" s="38" t="n">
        <v>15.57</v>
      </c>
      <c r="J378" s="13" t="n">
        <v>10813</v>
      </c>
      <c r="K378" s="13" t="n">
        <v>10407.19</v>
      </c>
      <c r="L378" s="13" t="n">
        <v>268.25</v>
      </c>
      <c r="M378" s="13" t="n">
        <v>426.08</v>
      </c>
      <c r="N378" s="13" t="n">
        <v>4270</v>
      </c>
      <c r="O378" s="38" t="n">
        <v>9.98</v>
      </c>
      <c r="P378" s="39" t="inlineStr">
        <is>
          <t>Calm</t>
        </is>
      </c>
      <c r="Q378" s="13" t="n">
        <v>1521</v>
      </c>
      <c r="R378" s="13" t="n">
        <v>659.64</v>
      </c>
      <c r="S378" s="13" t="n">
        <v>-100.71</v>
      </c>
      <c r="T378" s="13" t="n">
        <v>9274.84</v>
      </c>
      <c r="U378" s="13" t="n">
        <v>539.97</v>
      </c>
      <c r="V378" s="13" t="n">
        <v>284.19</v>
      </c>
      <c r="W378" s="13" t="n">
        <v>-115.23</v>
      </c>
      <c r="X378" s="13" t="n">
        <v>738.64</v>
      </c>
      <c r="Y378" s="13" t="n">
        <v>182.81</v>
      </c>
      <c r="Z378" s="19" t="n"/>
      <c r="AA378" s="18" t="n"/>
      <c r="AB378" s="38" t="n">
        <v>9.35</v>
      </c>
      <c r="AC378" s="14">
        <f>IFERROR(AVERAGEIFS($E$16:$E$736,$W$16:$W$736,"&gt;="&amp;W378-$C$5,$W$16:$W$736,"&lt;="&amp;W378+$C$5,$B$16:$B$736,B378,$A$16:$A$736,"&lt;&gt;"&amp;A378),"")</f>
        <v/>
      </c>
      <c r="AD378" s="14">
        <f>IF(AND(ISNUMBER(E378),ISNUMBER(AC378)),E378-AC378,"")</f>
        <v/>
      </c>
    </row>
    <row r="379">
      <c r="A379" s="17" t="n">
        <v>45918</v>
      </c>
      <c r="B379" s="29">
        <f>MONTH(A379)</f>
        <v/>
      </c>
      <c r="C379" s="29">
        <f>IF(AND(ISNUMBER(W379),ISNUMBER($C$4),ABS(W379-$C$4)&lt;=$C$5,ABS(MOD(B379-$C$6+6,12)-6)&lt;=$C$7,OR($C$8="Any",P379=$C$8)),1,0)</f>
        <v/>
      </c>
      <c r="D379" s="29">
        <f>IF(C379=1,COUNTIF($C$16:C379,1),"")</f>
        <v/>
      </c>
      <c r="E379" s="18" t="n">
        <v>36.43</v>
      </c>
      <c r="F379" s="18" t="n">
        <v>52.91</v>
      </c>
      <c r="G379" s="18" t="n">
        <v>3.47</v>
      </c>
      <c r="H379" s="38" t="n">
        <v>21.37</v>
      </c>
      <c r="I379" s="38" t="n">
        <v>16</v>
      </c>
      <c r="J379" s="13" t="n">
        <v>10865</v>
      </c>
      <c r="K379" s="13" t="n">
        <v>10421.69</v>
      </c>
      <c r="L379" s="13" t="n">
        <v>1081.88</v>
      </c>
      <c r="M379" s="13" t="n">
        <v>1569.08</v>
      </c>
      <c r="N379" s="13" t="n">
        <v>4270</v>
      </c>
      <c r="O379" s="38" t="n">
        <v>36.75</v>
      </c>
      <c r="P379" s="39" t="inlineStr">
        <is>
          <t>Windy</t>
        </is>
      </c>
      <c r="Q379" s="13" t="n">
        <v>1561</v>
      </c>
      <c r="R379" s="13" t="n">
        <v>654.92</v>
      </c>
      <c r="S379" s="13" t="n">
        <v>-264.42</v>
      </c>
      <c r="T379" s="13" t="n">
        <v>9175.309999999999</v>
      </c>
      <c r="U379" s="13" t="n">
        <v>495.26</v>
      </c>
      <c r="V379" s="13" t="n">
        <v>153.9</v>
      </c>
      <c r="W379" s="13" t="n">
        <v>310.17</v>
      </c>
      <c r="X379" s="13" t="n">
        <v>1273.14</v>
      </c>
      <c r="Y379" s="13" t="n">
        <v>638.28</v>
      </c>
      <c r="Z379" s="19" t="n"/>
      <c r="AA379" s="18" t="n"/>
      <c r="AB379" s="38" t="n">
        <v>13.42</v>
      </c>
      <c r="AC379" s="14">
        <f>IFERROR(AVERAGEIFS($E$16:$E$736,$W$16:$W$736,"&gt;="&amp;W379-$C$5,$W$16:$W$736,"&lt;="&amp;W379+$C$5,$B$16:$B$736,B379,$A$16:$A$736,"&lt;&gt;"&amp;A379),"")</f>
        <v/>
      </c>
      <c r="AD379" s="14">
        <f>IF(AND(ISNUMBER(E379),ISNUMBER(AC379)),E379-AC379,"")</f>
        <v/>
      </c>
    </row>
    <row r="380">
      <c r="A380" s="17" t="n">
        <v>45917</v>
      </c>
      <c r="B380" s="29">
        <f>MONTH(A380)</f>
        <v/>
      </c>
      <c r="C380" s="29">
        <f>IF(AND(ISNUMBER(W380),ISNUMBER($C$4),ABS(W380-$C$4)&lt;=$C$5,ABS(MOD(B380-$C$6+6,12)-6)&lt;=$C$7,OR($C$8="Any",P380=$C$8)),1,0)</f>
        <v/>
      </c>
      <c r="D380" s="29">
        <f>IF(C380=1,COUNTIF($C$16:C380,1),"")</f>
        <v/>
      </c>
      <c r="E380" s="18" t="n">
        <v>14.26</v>
      </c>
      <c r="F380" s="18" t="n">
        <v>15.37</v>
      </c>
      <c r="G380" s="18" t="n">
        <v>12.03</v>
      </c>
      <c r="H380" s="38" t="n">
        <v>24.67</v>
      </c>
      <c r="I380" s="38" t="n">
        <v>16.92</v>
      </c>
      <c r="J380" s="13" t="n">
        <v>11233</v>
      </c>
      <c r="K380" s="13" t="n">
        <v>10639.31</v>
      </c>
      <c r="L380" s="13" t="n">
        <v>1682.31</v>
      </c>
      <c r="M380" s="13" t="n">
        <v>1688.21</v>
      </c>
      <c r="N380" s="13" t="n">
        <v>4270</v>
      </c>
      <c r="O380" s="38" t="n">
        <v>39.54</v>
      </c>
      <c r="P380" s="39" t="inlineStr">
        <is>
          <t>Windy</t>
        </is>
      </c>
      <c r="Q380" s="13" t="n">
        <v>1577</v>
      </c>
      <c r="R380" s="13" t="n">
        <v>663.84</v>
      </c>
      <c r="S380" s="13" t="n">
        <v>-278.96</v>
      </c>
      <c r="T380" s="13" t="n">
        <v>9326.790000000001</v>
      </c>
      <c r="U380" s="13" t="n">
        <v>498.7</v>
      </c>
      <c r="V380" s="13" t="n">
        <v>77.47</v>
      </c>
      <c r="W380" s="13" t="n">
        <v>936.46</v>
      </c>
      <c r="X380" s="13" t="n">
        <v>1761.14</v>
      </c>
      <c r="Y380" s="13" t="n">
        <v>1289.14</v>
      </c>
      <c r="Z380" s="19" t="n"/>
      <c r="AA380" s="18" t="n"/>
      <c r="AB380" s="38" t="n">
        <v>18.9</v>
      </c>
      <c r="AC380" s="14">
        <f>IFERROR(AVERAGEIFS($E$16:$E$736,$W$16:$W$736,"&gt;="&amp;W380-$C$5,$W$16:$W$736,"&lt;="&amp;W380+$C$5,$B$16:$B$736,B380,$A$16:$A$736,"&lt;&gt;"&amp;A380),"")</f>
        <v/>
      </c>
      <c r="AD380" s="14">
        <f>IF(AND(ISNUMBER(E380),ISNUMBER(AC380)),E380-AC380,"")</f>
        <v/>
      </c>
    </row>
    <row r="381">
      <c r="A381" s="17" t="n">
        <v>45916</v>
      </c>
      <c r="B381" s="29">
        <f>MONTH(A381)</f>
        <v/>
      </c>
      <c r="C381" s="29">
        <f>IF(AND(ISNUMBER(W381),ISNUMBER($C$4),ABS(W381-$C$4)&lt;=$C$5,ABS(MOD(B381-$C$6+6,12)-6)&lt;=$C$7,OR($C$8="Any",P381=$C$8)),1,0)</f>
        <v/>
      </c>
      <c r="D381" s="29">
        <f>IF(C381=1,COUNTIF($C$16:C381,1),"")</f>
        <v/>
      </c>
      <c r="E381" s="18" t="n">
        <v>210.55</v>
      </c>
      <c r="F381" s="18" t="n">
        <v>281.92</v>
      </c>
      <c r="G381" s="18" t="n">
        <v>67.83</v>
      </c>
      <c r="H381" s="38" t="n">
        <v>22.13</v>
      </c>
      <c r="I381" s="38" t="n">
        <v>15.43</v>
      </c>
      <c r="J381" s="13" t="n">
        <v>10945</v>
      </c>
      <c r="K381" s="13" t="n">
        <v>10416.75</v>
      </c>
      <c r="L381" s="13" t="n">
        <v>241.06</v>
      </c>
      <c r="M381" s="13" t="n">
        <v>405.67</v>
      </c>
      <c r="N381" s="13" t="n">
        <v>4270</v>
      </c>
      <c r="O381" s="38" t="n">
        <v>9.5</v>
      </c>
      <c r="P381" s="39" t="inlineStr">
        <is>
          <t>Calm</t>
        </is>
      </c>
      <c r="Q381" s="13" t="n">
        <v>1497</v>
      </c>
      <c r="R381" s="13" t="n">
        <v>658.29</v>
      </c>
      <c r="S381" s="13" t="n">
        <v>-52.29</v>
      </c>
      <c r="T381" s="13" t="n">
        <v>9310.540000000001</v>
      </c>
      <c r="U381" s="13" t="n">
        <v>488.13</v>
      </c>
      <c r="V381" s="13" t="n">
        <v>418.43</v>
      </c>
      <c r="W381" s="13" t="n">
        <v>-160.31</v>
      </c>
      <c r="X381" s="13" t="n">
        <v>766.63</v>
      </c>
      <c r="Y381" s="13" t="n">
        <v>179.4</v>
      </c>
      <c r="Z381" s="19" t="n"/>
      <c r="AA381" s="18" t="n"/>
      <c r="AB381" s="38" t="n">
        <v>10.52</v>
      </c>
      <c r="AC381" s="14">
        <f>IFERROR(AVERAGEIFS($E$16:$E$736,$W$16:$W$736,"&gt;="&amp;W381-$C$5,$W$16:$W$736,"&lt;="&amp;W381+$C$5,$B$16:$B$736,B381,$A$16:$A$736,"&lt;&gt;"&amp;A381),"")</f>
        <v/>
      </c>
      <c r="AD381" s="14">
        <f>IF(AND(ISNUMBER(E381),ISNUMBER(AC381)),E381-AC381,"")</f>
        <v/>
      </c>
    </row>
    <row r="382">
      <c r="A382" s="17" t="n">
        <v>45915</v>
      </c>
      <c r="B382" s="29">
        <f>MONTH(A382)</f>
        <v/>
      </c>
      <c r="C382" s="29">
        <f>IF(AND(ISNUMBER(W382),ISNUMBER($C$4),ABS(W382-$C$4)&lt;=$C$5,ABS(MOD(B382-$C$6+6,12)-6)&lt;=$C$7,OR($C$8="Any",P382=$C$8)),1,0)</f>
        <v/>
      </c>
      <c r="D382" s="29">
        <f>IF(C382=1,COUNTIF($C$16:C382,1),"")</f>
        <v/>
      </c>
      <c r="E382" s="18" t="n">
        <v>17.78</v>
      </c>
      <c r="F382" s="18" t="n">
        <v>22.62</v>
      </c>
      <c r="G382" s="18" t="n">
        <v>8.1</v>
      </c>
      <c r="H382" s="38" t="n">
        <v>20.4</v>
      </c>
      <c r="I382" s="38" t="n">
        <v>16.53</v>
      </c>
      <c r="J382" s="13" t="n">
        <v>11137</v>
      </c>
      <c r="K382" s="13" t="n">
        <v>10570.19</v>
      </c>
      <c r="L382" s="13" t="n">
        <v>1775.94</v>
      </c>
      <c r="M382" s="13" t="n">
        <v>1797.17</v>
      </c>
      <c r="N382" s="13" t="n">
        <v>4270</v>
      </c>
      <c r="O382" s="38" t="n">
        <v>42.09</v>
      </c>
      <c r="P382" s="39" t="inlineStr">
        <is>
          <t>Windy</t>
        </is>
      </c>
      <c r="Q382" s="13" t="n">
        <v>1263</v>
      </c>
      <c r="R382" s="13" t="n">
        <v>656.64</v>
      </c>
      <c r="S382" s="13" t="n">
        <v>-233.08</v>
      </c>
      <c r="T382" s="13" t="n">
        <v>8876.83</v>
      </c>
      <c r="U382" s="13" t="n">
        <v>465.37</v>
      </c>
      <c r="V382" s="13" t="n">
        <v>427.16</v>
      </c>
      <c r="W382" s="13" t="n">
        <v>329.06</v>
      </c>
      <c r="X382" s="13" t="n">
        <v>1199.88</v>
      </c>
      <c r="Y382" s="13" t="n">
        <v>740.64</v>
      </c>
      <c r="Z382" s="19" t="n"/>
      <c r="AA382" s="18" t="n"/>
      <c r="AB382" s="38" t="n">
        <v>21.03</v>
      </c>
      <c r="AC382" s="14">
        <f>IFERROR(AVERAGEIFS($E$16:$E$736,$W$16:$W$736,"&gt;="&amp;W382-$C$5,$W$16:$W$736,"&lt;="&amp;W382+$C$5,$B$16:$B$736,B382,$A$16:$A$736,"&lt;&gt;"&amp;A382),"")</f>
        <v/>
      </c>
      <c r="AD382" s="14">
        <f>IF(AND(ISNUMBER(E382),ISNUMBER(AC382)),E382-AC382,"")</f>
        <v/>
      </c>
    </row>
    <row r="383">
      <c r="A383" s="17" t="n">
        <v>45914</v>
      </c>
      <c r="B383" s="29">
        <f>MONTH(A383)</f>
        <v/>
      </c>
      <c r="C383" s="29">
        <f>IF(AND(ISNUMBER(W383),ISNUMBER($C$4),ABS(W383-$C$4)&lt;=$C$5,ABS(MOD(B383-$C$6+6,12)-6)&lt;=$C$7,OR($C$8="Any",P383=$C$8)),1,0)</f>
        <v/>
      </c>
      <c r="D383" s="29">
        <f>IF(C383=1,COUNTIF($C$16:C383,1),"")</f>
        <v/>
      </c>
      <c r="E383" s="18" t="n">
        <v>37.56</v>
      </c>
      <c r="F383" s="18" t="n">
        <v>50.44</v>
      </c>
      <c r="G383" s="18" t="n">
        <v>11.8</v>
      </c>
      <c r="H383" s="38" t="n">
        <v>25.33</v>
      </c>
      <c r="I383" s="38" t="n">
        <v>18.62</v>
      </c>
      <c r="J383" s="13" t="n">
        <v>10799</v>
      </c>
      <c r="K383" s="13" t="n">
        <v>10163.88</v>
      </c>
      <c r="L383" s="13" t="n">
        <v>1001.94</v>
      </c>
      <c r="M383" s="13" t="n">
        <v>1097.21</v>
      </c>
      <c r="N383" s="13" t="n">
        <v>4270</v>
      </c>
      <c r="O383" s="38" t="n">
        <v>25.7</v>
      </c>
      <c r="P383" s="39" t="inlineStr">
        <is>
          <t>Windy</t>
        </is>
      </c>
      <c r="Q383" s="13" t="n">
        <v>1501</v>
      </c>
      <c r="R383" s="13" t="n">
        <v>661.66</v>
      </c>
      <c r="S383" s="13" t="n">
        <v>-215.5</v>
      </c>
      <c r="T383" s="13" t="n">
        <v>9018.120000000001</v>
      </c>
      <c r="U383" s="13" t="n">
        <v>595.5700000000001</v>
      </c>
      <c r="V383" s="13" t="n">
        <v>77.11</v>
      </c>
      <c r="W383" s="13" t="n">
        <v>174.33</v>
      </c>
      <c r="X383" s="13" t="n">
        <v>1213.87</v>
      </c>
      <c r="Y383" s="13" t="n">
        <v>428.35</v>
      </c>
      <c r="Z383" s="19" t="n"/>
      <c r="AA383" s="18" t="n"/>
      <c r="AB383" s="38" t="n">
        <v>17.88</v>
      </c>
      <c r="AC383" s="14">
        <f>IFERROR(AVERAGEIFS($E$16:$E$736,$W$16:$W$736,"&gt;="&amp;W383-$C$5,$W$16:$W$736,"&lt;="&amp;W383+$C$5,$B$16:$B$736,B383,$A$16:$A$736,"&lt;&gt;"&amp;A383),"")</f>
        <v/>
      </c>
      <c r="AD383" s="14">
        <f>IF(AND(ISNUMBER(E383),ISNUMBER(AC383)),E383-AC383,"")</f>
        <v/>
      </c>
    </row>
    <row r="384">
      <c r="A384" s="17" t="n">
        <v>45913</v>
      </c>
      <c r="B384" s="29">
        <f>MONTH(A384)</f>
        <v/>
      </c>
      <c r="C384" s="29">
        <f>IF(AND(ISNUMBER(W384),ISNUMBER($C$4),ABS(W384-$C$4)&lt;=$C$5,ABS(MOD(B384-$C$6+6,12)-6)&lt;=$C$7,OR($C$8="Any",P384=$C$8)),1,0)</f>
        <v/>
      </c>
      <c r="D384" s="29">
        <f>IF(C384=1,COUNTIF($C$16:C384,1),"")</f>
        <v/>
      </c>
      <c r="E384" s="18" t="n">
        <v>78.12</v>
      </c>
      <c r="F384" s="18" t="n">
        <v>104.97</v>
      </c>
      <c r="G384" s="18" t="n">
        <v>24.43</v>
      </c>
      <c r="H384" s="38" t="n">
        <v>25.1</v>
      </c>
      <c r="I384" s="38" t="n">
        <v>18.39</v>
      </c>
      <c r="J384" s="13" t="n">
        <v>10932</v>
      </c>
      <c r="K384" s="13" t="n">
        <v>10273.44</v>
      </c>
      <c r="L384" s="13" t="n">
        <v>592.9400000000001</v>
      </c>
      <c r="M384" s="13" t="n">
        <v>624.33</v>
      </c>
      <c r="N384" s="13" t="n">
        <v>4270</v>
      </c>
      <c r="O384" s="38" t="n">
        <v>14.62</v>
      </c>
      <c r="P384" s="39" t="inlineStr">
        <is>
          <t>Calm</t>
        </is>
      </c>
      <c r="Q384" s="13" t="n">
        <v>1570</v>
      </c>
      <c r="R384" s="13" t="n">
        <v>667.6900000000001</v>
      </c>
      <c r="S384" s="13" t="n">
        <v>-99.83</v>
      </c>
      <c r="T384" s="13" t="n">
        <v>9061.35</v>
      </c>
      <c r="U384" s="13" t="n">
        <v>581.42</v>
      </c>
      <c r="V384" s="13" t="n">
        <v>42.68</v>
      </c>
      <c r="W384" s="13" t="n">
        <v>140.78</v>
      </c>
      <c r="X384" s="13" t="n">
        <v>990.73</v>
      </c>
      <c r="Y384" s="13" t="n">
        <v>437.92</v>
      </c>
      <c r="Z384" s="19" t="n"/>
      <c r="AA384" s="18" t="n"/>
      <c r="AB384" s="38" t="n">
        <v>12.56</v>
      </c>
      <c r="AC384" s="14">
        <f>IFERROR(AVERAGEIFS($E$16:$E$736,$W$16:$W$736,"&gt;="&amp;W384-$C$5,$W$16:$W$736,"&lt;="&amp;W384+$C$5,$B$16:$B$736,B384,$A$16:$A$736,"&lt;&gt;"&amp;A384),"")</f>
        <v/>
      </c>
      <c r="AD384" s="14">
        <f>IF(AND(ISNUMBER(E384),ISNUMBER(AC384)),E384-AC384,"")</f>
        <v/>
      </c>
    </row>
    <row r="385">
      <c r="A385" s="17" t="n">
        <v>45912</v>
      </c>
      <c r="B385" s="29">
        <f>MONTH(A385)</f>
        <v/>
      </c>
      <c r="C385" s="29">
        <f>IF(AND(ISNUMBER(W385),ISNUMBER($C$4),ABS(W385-$C$4)&lt;=$C$5,ABS(MOD(B385-$C$6+6,12)-6)&lt;=$C$7,OR($C$8="Any",P385=$C$8)),1,0)</f>
        <v/>
      </c>
      <c r="D385" s="29">
        <f>IF(C385=1,COUNTIF($C$16:C385,1),"")</f>
        <v/>
      </c>
      <c r="E385" s="18" t="n">
        <v>30.74</v>
      </c>
      <c r="F385" s="18" t="n">
        <v>25.49</v>
      </c>
      <c r="G385" s="18" t="n">
        <v>41.25</v>
      </c>
      <c r="H385" s="38" t="n">
        <v>24.6</v>
      </c>
      <c r="I385" s="38" t="n">
        <v>18.05</v>
      </c>
      <c r="J385" s="13" t="n">
        <v>11102</v>
      </c>
      <c r="K385" s="13" t="n">
        <v>10612.5</v>
      </c>
      <c r="L385" s="13" t="n">
        <v>898.8099999999999</v>
      </c>
      <c r="M385" s="13" t="n">
        <v>765.83</v>
      </c>
      <c r="N385" s="13" t="n">
        <v>4270</v>
      </c>
      <c r="O385" s="38" t="n">
        <v>17.94</v>
      </c>
      <c r="P385" s="39" t="inlineStr">
        <is>
          <t>Windy</t>
        </is>
      </c>
      <c r="Q385" s="13" t="n">
        <v>1510</v>
      </c>
      <c r="R385" s="13" t="n">
        <v>672.6799999999999</v>
      </c>
      <c r="S385" s="13" t="n">
        <v>-24.21</v>
      </c>
      <c r="T385" s="13" t="n">
        <v>9473.34</v>
      </c>
      <c r="U385" s="13" t="n">
        <v>618.38</v>
      </c>
      <c r="V385" s="13" t="n">
        <v>377.91</v>
      </c>
      <c r="W385" s="13" t="n">
        <v>1103.3</v>
      </c>
      <c r="X385" s="13" t="n">
        <v>1462.19</v>
      </c>
      <c r="Y385" s="13" t="n">
        <v>1342.18</v>
      </c>
      <c r="Z385" s="19" t="n"/>
      <c r="AA385" s="18" t="n"/>
      <c r="AB385" s="38" t="n">
        <v>11.55</v>
      </c>
      <c r="AC385" s="14">
        <f>IFERROR(AVERAGEIFS($E$16:$E$736,$W$16:$W$736,"&gt;="&amp;W385-$C$5,$W$16:$W$736,"&lt;="&amp;W385+$C$5,$B$16:$B$736,B385,$A$16:$A$736,"&lt;&gt;"&amp;A385),"")</f>
        <v/>
      </c>
      <c r="AD385" s="14">
        <f>IF(AND(ISNUMBER(E385),ISNUMBER(AC385)),E385-AC385,"")</f>
        <v/>
      </c>
    </row>
    <row r="386">
      <c r="A386" s="17" t="n">
        <v>45911</v>
      </c>
      <c r="B386" s="29">
        <f>MONTH(A386)</f>
        <v/>
      </c>
      <c r="C386" s="29">
        <f>IF(AND(ISNUMBER(W386),ISNUMBER($C$4),ABS(W386-$C$4)&lt;=$C$5,ABS(MOD(B386-$C$6+6,12)-6)&lt;=$C$7,OR($C$8="Any",P386=$C$8)),1,0)</f>
        <v/>
      </c>
      <c r="D386" s="29">
        <f>IF(C386=1,COUNTIF($C$16:C386,1),"")</f>
        <v/>
      </c>
      <c r="E386" s="18" t="n">
        <v>230.46</v>
      </c>
      <c r="F386" s="18" t="n">
        <v>312.83</v>
      </c>
      <c r="G386" s="18" t="n">
        <v>65.7</v>
      </c>
      <c r="H386" s="38" t="n">
        <v>24.47</v>
      </c>
      <c r="I386" s="38" t="n">
        <v>17.18</v>
      </c>
      <c r="J386" s="13" t="n">
        <v>11075</v>
      </c>
      <c r="K386" s="13" t="n">
        <v>10479.5</v>
      </c>
      <c r="L386" s="13" t="n">
        <v>122.19</v>
      </c>
      <c r="M386" s="13" t="n">
        <v>163.04</v>
      </c>
      <c r="N386" s="13" t="n">
        <v>4270</v>
      </c>
      <c r="O386" s="38" t="n">
        <v>3.82</v>
      </c>
      <c r="P386" s="39" t="inlineStr">
        <is>
          <t>Calm</t>
        </is>
      </c>
      <c r="Q386" s="13" t="n">
        <v>1577</v>
      </c>
      <c r="R386" s="13" t="n">
        <v>612.5599999999999</v>
      </c>
      <c r="S386" s="13" t="n">
        <v>-30.58</v>
      </c>
      <c r="T386" s="13" t="n">
        <v>9553.219999999999</v>
      </c>
      <c r="U386" s="13" t="n">
        <v>583.33</v>
      </c>
      <c r="V386" s="13" t="n">
        <v>79.58</v>
      </c>
      <c r="W386" s="13" t="n">
        <v>-199.92</v>
      </c>
      <c r="X386" s="13" t="n">
        <v>897.96</v>
      </c>
      <c r="Y386" s="13" t="n">
        <v>17.39</v>
      </c>
      <c r="Z386" s="19" t="n"/>
      <c r="AA386" s="18" t="n"/>
      <c r="AB386" s="38" t="n">
        <v>10.9</v>
      </c>
      <c r="AC386" s="14">
        <f>IFERROR(AVERAGEIFS($E$16:$E$736,$W$16:$W$736,"&gt;="&amp;W386-$C$5,$W$16:$W$736,"&lt;="&amp;W386+$C$5,$B$16:$B$736,B386,$A$16:$A$736,"&lt;&gt;"&amp;A386),"")</f>
        <v/>
      </c>
      <c r="AD386" s="14">
        <f>IF(AND(ISNUMBER(E386),ISNUMBER(AC386)),E386-AC386,"")</f>
        <v/>
      </c>
    </row>
    <row r="387">
      <c r="A387" s="17" t="n">
        <v>45908</v>
      </c>
      <c r="B387" s="29">
        <f>MONTH(A387)</f>
        <v/>
      </c>
      <c r="C387" s="29">
        <f>IF(AND(ISNUMBER(W387),ISNUMBER($C$4),ABS(W387-$C$4)&lt;=$C$5,ABS(MOD(B387-$C$6+6,12)-6)&lt;=$C$7,OR($C$8="Any",P387=$C$8)),1,0)</f>
        <v/>
      </c>
      <c r="D387" s="29">
        <f>IF(C387=1,COUNTIF($C$16:C387,1),"")</f>
        <v/>
      </c>
      <c r="E387" s="18" t="n">
        <v>409.93</v>
      </c>
      <c r="F387" s="18" t="n">
        <v>590.77</v>
      </c>
      <c r="G387" s="18" t="n">
        <v>48.26</v>
      </c>
      <c r="H387" s="38" t="n">
        <v>24.8</v>
      </c>
      <c r="I387" s="38" t="n">
        <v>18.55</v>
      </c>
      <c r="J387" s="13" t="n">
        <v>11017</v>
      </c>
      <c r="K387" s="13" t="n">
        <v>10470.19</v>
      </c>
      <c r="L387" s="13" t="n">
        <v>272.06</v>
      </c>
      <c r="M387" s="13" t="n">
        <v>560.04</v>
      </c>
      <c r="N387" s="13" t="n">
        <v>4270</v>
      </c>
      <c r="O387" s="38" t="n">
        <v>13.12</v>
      </c>
      <c r="P387" s="39" t="inlineStr">
        <is>
          <t>Calm</t>
        </is>
      </c>
      <c r="Q387" s="13" t="n">
        <v>1362</v>
      </c>
      <c r="R387" s="13" t="n">
        <v>654.92</v>
      </c>
      <c r="S387" s="13" t="n">
        <v>-64.67</v>
      </c>
      <c r="T387" s="13" t="n">
        <v>9183.799999999999</v>
      </c>
      <c r="U387" s="13" t="n">
        <v>619.92</v>
      </c>
      <c r="V387" s="13" t="n">
        <v>79.26000000000001</v>
      </c>
      <c r="W387" s="13" t="n">
        <v>-422.89</v>
      </c>
      <c r="X387" s="13" t="n">
        <v>541.38</v>
      </c>
      <c r="Y387" s="13" t="n">
        <v>-194.96</v>
      </c>
      <c r="Z387" s="19" t="n"/>
      <c r="AA387" s="18" t="n"/>
      <c r="AB387" s="38" t="n">
        <v>11.9</v>
      </c>
      <c r="AC387" s="14">
        <f>IFERROR(AVERAGEIFS($E$16:$E$736,$W$16:$W$736,"&gt;="&amp;W387-$C$5,$W$16:$W$736,"&lt;="&amp;W387+$C$5,$B$16:$B$736,B387,$A$16:$A$736,"&lt;&gt;"&amp;A387),"")</f>
        <v/>
      </c>
      <c r="AD387" s="14">
        <f>IF(AND(ISNUMBER(E387),ISNUMBER(AC387)),E387-AC387,"")</f>
        <v/>
      </c>
    </row>
    <row r="388">
      <c r="A388" s="17" t="n">
        <v>45907</v>
      </c>
      <c r="B388" s="29">
        <f>MONTH(A388)</f>
        <v/>
      </c>
      <c r="C388" s="29">
        <f>IF(AND(ISNUMBER(W388),ISNUMBER($C$4),ABS(W388-$C$4)&lt;=$C$5,ABS(MOD(B388-$C$6+6,12)-6)&lt;=$C$7,OR($C$8="Any",P388=$C$8)),1,0)</f>
        <v/>
      </c>
      <c r="D388" s="29">
        <f>IF(C388=1,COUNTIF($C$16:C388,1),"")</f>
        <v/>
      </c>
      <c r="E388" s="18" t="n">
        <v>36.77</v>
      </c>
      <c r="F388" s="18" t="n">
        <v>40.24</v>
      </c>
      <c r="G388" s="18" t="n">
        <v>29.84</v>
      </c>
      <c r="H388" s="38" t="n">
        <v>26.57</v>
      </c>
      <c r="I388" s="38" t="n">
        <v>19.18</v>
      </c>
      <c r="J388" s="13" t="n">
        <v>10711</v>
      </c>
      <c r="K388" s="13" t="n">
        <v>10120.31</v>
      </c>
      <c r="L388" s="13" t="n">
        <v>984.1900000000001</v>
      </c>
      <c r="M388" s="13" t="n">
        <v>1092.71</v>
      </c>
      <c r="N388" s="13" t="n">
        <v>4270</v>
      </c>
      <c r="O388" s="38" t="n">
        <v>25.59</v>
      </c>
      <c r="P388" s="39" t="inlineStr">
        <is>
          <t>Windy</t>
        </is>
      </c>
      <c r="Q388" s="13" t="n">
        <v>1297</v>
      </c>
      <c r="R388" s="13" t="n">
        <v>640.76</v>
      </c>
      <c r="S388" s="13" t="n">
        <v>-587.17</v>
      </c>
      <c r="T388" s="13" t="n">
        <v>9593.75</v>
      </c>
      <c r="U388" s="13" t="n">
        <v>635.73</v>
      </c>
      <c r="V388" s="13" t="n">
        <v>332.92</v>
      </c>
      <c r="W388" s="13" t="n">
        <v>895.6799999999999</v>
      </c>
      <c r="X388" s="13" t="n">
        <v>1571.87</v>
      </c>
      <c r="Y388" s="13" t="n">
        <v>1085.08</v>
      </c>
      <c r="Z388" s="19" t="n"/>
      <c r="AA388" s="18" t="n"/>
      <c r="AB388" s="38" t="n">
        <v>17.95</v>
      </c>
      <c r="AC388" s="14">
        <f>IFERROR(AVERAGEIFS($E$16:$E$736,$W$16:$W$736,"&gt;="&amp;W388-$C$5,$W$16:$W$736,"&lt;="&amp;W388+$C$5,$B$16:$B$736,B388,$A$16:$A$736,"&lt;&gt;"&amp;A388),"")</f>
        <v/>
      </c>
      <c r="AD388" s="14">
        <f>IF(AND(ISNUMBER(E388),ISNUMBER(AC388)),E388-AC388,"")</f>
        <v/>
      </c>
    </row>
    <row r="389">
      <c r="A389" s="17" t="n">
        <v>45906</v>
      </c>
      <c r="B389" s="29">
        <f>MONTH(A389)</f>
        <v/>
      </c>
      <c r="C389" s="29">
        <f>IF(AND(ISNUMBER(W389),ISNUMBER($C$4),ABS(W389-$C$4)&lt;=$C$5,ABS(MOD(B389-$C$6+6,12)-6)&lt;=$C$7,OR($C$8="Any",P389=$C$8)),1,0)</f>
        <v/>
      </c>
      <c r="D389" s="29">
        <f>IF(C389=1,COUNTIF($C$16:C389,1),"")</f>
        <v/>
      </c>
      <c r="E389" s="18" t="n">
        <v>22.2</v>
      </c>
      <c r="F389" s="18" t="n">
        <v>29.56</v>
      </c>
      <c r="G389" s="18" t="n">
        <v>7.49</v>
      </c>
      <c r="H389" s="38" t="n">
        <v>24.9</v>
      </c>
      <c r="I389" s="38" t="n">
        <v>17.01</v>
      </c>
      <c r="J389" s="13" t="n">
        <v>10604</v>
      </c>
      <c r="K389" s="13" t="n">
        <v>10075.06</v>
      </c>
      <c r="L389" s="13" t="n">
        <v>1230.44</v>
      </c>
      <c r="M389" s="13" t="n">
        <v>1531.71</v>
      </c>
      <c r="N389" s="13" t="n">
        <v>4270</v>
      </c>
      <c r="O389" s="38" t="n">
        <v>35.87</v>
      </c>
      <c r="P389" s="39" t="inlineStr">
        <is>
          <t>Windy</t>
        </is>
      </c>
      <c r="Q389" s="13" t="n">
        <v>1556</v>
      </c>
      <c r="R389" s="13" t="n">
        <v>642.9</v>
      </c>
      <c r="S389" s="13" t="n">
        <v>-730.21</v>
      </c>
      <c r="T389" s="13" t="n">
        <v>9608.08</v>
      </c>
      <c r="U389" s="13" t="n">
        <v>678.78</v>
      </c>
      <c r="V389" s="13" t="n">
        <v>108.96</v>
      </c>
      <c r="W389" s="13" t="n">
        <v>953.25</v>
      </c>
      <c r="X389" s="13" t="n">
        <v>1952.62</v>
      </c>
      <c r="Y389" s="13" t="n">
        <v>1107.14</v>
      </c>
      <c r="Z389" s="19" t="n"/>
      <c r="AA389" s="18" t="n"/>
      <c r="AB389" s="38" t="n">
        <v>10.46</v>
      </c>
      <c r="AC389" s="14">
        <f>IFERROR(AVERAGEIFS($E$16:$E$736,$W$16:$W$736,"&gt;="&amp;W389-$C$5,$W$16:$W$736,"&lt;="&amp;W389+$C$5,$B$16:$B$736,B389,$A$16:$A$736,"&lt;&gt;"&amp;A389),"")</f>
        <v/>
      </c>
      <c r="AD389" s="14">
        <f>IF(AND(ISNUMBER(E389),ISNUMBER(AC389)),E389-AC389,"")</f>
        <v/>
      </c>
    </row>
    <row r="390">
      <c r="A390" s="17" t="n">
        <v>45905</v>
      </c>
      <c r="B390" s="29">
        <f>MONTH(A390)</f>
        <v/>
      </c>
      <c r="C390" s="29">
        <f>IF(AND(ISNUMBER(W390),ISNUMBER($C$4),ABS(W390-$C$4)&lt;=$C$5,ABS(MOD(B390-$C$6+6,12)-6)&lt;=$C$7,OR($C$8="Any",P390=$C$8)),1,0)</f>
        <v/>
      </c>
      <c r="D390" s="29">
        <f>IF(C390=1,COUNTIF($C$16:C390,1),"")</f>
        <v/>
      </c>
      <c r="E390" s="18" t="n">
        <v>51.56</v>
      </c>
      <c r="F390" s="18" t="n">
        <v>46.66</v>
      </c>
      <c r="G390" s="18" t="n">
        <v>61.35</v>
      </c>
      <c r="H390" s="38" t="n">
        <v>20.97</v>
      </c>
      <c r="I390" s="38" t="n">
        <v>13.82</v>
      </c>
      <c r="J390" s="13" t="n">
        <v>10638</v>
      </c>
      <c r="K390" s="13" t="n">
        <v>10303.25</v>
      </c>
      <c r="L390" s="13" t="n">
        <v>498.88</v>
      </c>
      <c r="M390" s="13" t="n">
        <v>472.25</v>
      </c>
      <c r="N390" s="13" t="n">
        <v>4270</v>
      </c>
      <c r="O390" s="38" t="n">
        <v>11.06</v>
      </c>
      <c r="P390" s="39" t="inlineStr">
        <is>
          <t>Calm</t>
        </is>
      </c>
      <c r="Q390" s="13" t="n">
        <v>1671</v>
      </c>
      <c r="R390" s="13" t="n">
        <v>644.02</v>
      </c>
      <c r="S390" s="13" t="n">
        <v>-198.75</v>
      </c>
      <c r="T390" s="13" t="n">
        <v>9667.82</v>
      </c>
      <c r="U390" s="13" t="n">
        <v>679.27</v>
      </c>
      <c r="V390" s="13" t="n">
        <v>40.52</v>
      </c>
      <c r="W390" s="13" t="n">
        <v>964.39</v>
      </c>
      <c r="X390" s="13" t="n">
        <v>1624.98</v>
      </c>
      <c r="Y390" s="13" t="n">
        <v>1092.37</v>
      </c>
      <c r="Z390" s="19" t="n"/>
      <c r="AA390" s="18" t="n"/>
      <c r="AB390" s="38" t="n">
        <v>14.89</v>
      </c>
      <c r="AC390" s="14">
        <f>IFERROR(AVERAGEIFS($E$16:$E$736,$W$16:$W$736,"&gt;="&amp;W390-$C$5,$W$16:$W$736,"&lt;="&amp;W390+$C$5,$B$16:$B$736,B390,$A$16:$A$736,"&lt;&gt;"&amp;A390),"")</f>
        <v/>
      </c>
      <c r="AD390" s="14">
        <f>IF(AND(ISNUMBER(E390),ISNUMBER(AC390)),E390-AC390,"")</f>
        <v/>
      </c>
    </row>
    <row r="391">
      <c r="A391" s="17" t="n">
        <v>45904</v>
      </c>
      <c r="B391" s="29">
        <f>MONTH(A391)</f>
        <v/>
      </c>
      <c r="C391" s="29">
        <f>IF(AND(ISNUMBER(W391),ISNUMBER($C$4),ABS(W391-$C$4)&lt;=$C$5,ABS(MOD(B391-$C$6+6,12)-6)&lt;=$C$7,OR($C$8="Any",P391=$C$8)),1,0)</f>
        <v/>
      </c>
      <c r="D391" s="29">
        <f>IF(C391=1,COUNTIF($C$16:C391,1),"")</f>
        <v/>
      </c>
      <c r="E391" s="18" t="n">
        <v>19.84</v>
      </c>
      <c r="F391" s="18" t="n">
        <v>22.67</v>
      </c>
      <c r="G391" s="18" t="n">
        <v>14.18</v>
      </c>
      <c r="H391" s="38" t="n">
        <v>17.67</v>
      </c>
      <c r="I391" s="38" t="n">
        <v>14.97</v>
      </c>
      <c r="J391" s="13" t="n">
        <v>10753</v>
      </c>
      <c r="K391" s="13" t="n">
        <v>10405.44</v>
      </c>
      <c r="L391" s="13" t="n">
        <v>1662.88</v>
      </c>
      <c r="M391" s="13" t="n">
        <v>1893.25</v>
      </c>
      <c r="N391" s="13" t="n">
        <v>4270</v>
      </c>
      <c r="O391" s="38" t="n">
        <v>44.34</v>
      </c>
      <c r="P391" s="39" t="inlineStr">
        <is>
          <t>Windy</t>
        </is>
      </c>
      <c r="Q391" s="13" t="n">
        <v>1270</v>
      </c>
      <c r="R391" s="13" t="n">
        <v>657.17</v>
      </c>
      <c r="S391" s="13" t="n">
        <v>-412.96</v>
      </c>
      <c r="T391" s="13" t="n">
        <v>9280.99</v>
      </c>
      <c r="U391" s="13" t="n">
        <v>642.24</v>
      </c>
      <c r="V391" s="13" t="n">
        <v>164.62</v>
      </c>
      <c r="W391" s="13" t="n">
        <v>1219.88</v>
      </c>
      <c r="X391" s="13" t="n">
        <v>1660.68</v>
      </c>
      <c r="Y391" s="13" t="n">
        <v>1358.73</v>
      </c>
      <c r="Z391" s="19" t="n"/>
      <c r="AA391" s="18" t="n"/>
      <c r="AB391" s="38" t="n">
        <v>14.64</v>
      </c>
      <c r="AC391" s="14">
        <f>IFERROR(AVERAGEIFS($E$16:$E$736,$W$16:$W$736,"&gt;="&amp;W391-$C$5,$W$16:$W$736,"&lt;="&amp;W391+$C$5,$B$16:$B$736,B391,$A$16:$A$736,"&lt;&gt;"&amp;A391),"")</f>
        <v/>
      </c>
      <c r="AD391" s="14">
        <f>IF(AND(ISNUMBER(E391),ISNUMBER(AC391)),E391-AC391,"")</f>
        <v/>
      </c>
    </row>
    <row r="392">
      <c r="A392" s="17" t="n">
        <v>45903</v>
      </c>
      <c r="B392" s="29">
        <f>MONTH(A392)</f>
        <v/>
      </c>
      <c r="C392" s="29">
        <f>IF(AND(ISNUMBER(W392),ISNUMBER($C$4),ABS(W392-$C$4)&lt;=$C$5,ABS(MOD(B392-$C$6+6,12)-6)&lt;=$C$7,OR($C$8="Any",P392=$C$8)),1,0)</f>
        <v/>
      </c>
      <c r="D392" s="29">
        <f>IF(C392=1,COUNTIF($C$16:C392,1),"")</f>
        <v/>
      </c>
      <c r="E392" s="18" t="n">
        <v>40.15</v>
      </c>
      <c r="F392" s="18" t="n">
        <v>53.98</v>
      </c>
      <c r="G392" s="18" t="n">
        <v>12.5</v>
      </c>
      <c r="H392" s="38" t="n">
        <v>29.4</v>
      </c>
      <c r="I392" s="38" t="n">
        <v>19.84</v>
      </c>
      <c r="J392" s="13" t="n">
        <v>10960</v>
      </c>
      <c r="K392" s="13" t="n">
        <v>10578.56</v>
      </c>
      <c r="L392" s="13" t="n">
        <v>1158.94</v>
      </c>
      <c r="M392" s="13" t="n">
        <v>1445.21</v>
      </c>
      <c r="N392" s="13" t="n">
        <v>4270</v>
      </c>
      <c r="O392" s="38" t="n">
        <v>33.85</v>
      </c>
      <c r="P392" s="39" t="inlineStr">
        <is>
          <t>Windy</t>
        </is>
      </c>
      <c r="Q392" s="13" t="n">
        <v>905</v>
      </c>
      <c r="R392" s="13" t="n">
        <v>656.46</v>
      </c>
      <c r="S392" s="13" t="n">
        <v>-317.12</v>
      </c>
      <c r="T392" s="13" t="n">
        <v>9053.93</v>
      </c>
      <c r="U392" s="13" t="n">
        <v>651.96</v>
      </c>
      <c r="V392" s="13" t="n">
        <v>436.83</v>
      </c>
      <c r="W392" s="13" t="n">
        <v>216.38</v>
      </c>
      <c r="X392" s="13" t="n">
        <v>790.64</v>
      </c>
      <c r="Y392" s="13" t="n">
        <v>385.28</v>
      </c>
      <c r="Z392" s="19" t="n"/>
      <c r="AA392" s="18" t="n"/>
      <c r="AB392" s="38" t="n">
        <v>17.16</v>
      </c>
      <c r="AC392" s="14">
        <f>IFERROR(AVERAGEIFS($E$16:$E$736,$W$16:$W$736,"&gt;="&amp;W392-$C$5,$W$16:$W$736,"&lt;="&amp;W392+$C$5,$B$16:$B$736,B392,$A$16:$A$736,"&lt;&gt;"&amp;A392),"")</f>
        <v/>
      </c>
      <c r="AD392" s="14">
        <f>IF(AND(ISNUMBER(E392),ISNUMBER(AC392)),E392-AC392,"")</f>
        <v/>
      </c>
    </row>
    <row r="393">
      <c r="A393" s="17" t="n">
        <v>45902</v>
      </c>
      <c r="B393" s="29">
        <f>MONTH(A393)</f>
        <v/>
      </c>
      <c r="C393" s="29">
        <f>IF(AND(ISNUMBER(W393),ISNUMBER($C$4),ABS(W393-$C$4)&lt;=$C$5,ABS(MOD(B393-$C$6+6,12)-6)&lt;=$C$7,OR($C$8="Any",P393=$C$8)),1,0)</f>
        <v/>
      </c>
      <c r="D393" s="29">
        <f>IF(C393=1,COUNTIF($C$16:C393,1),"")</f>
        <v/>
      </c>
      <c r="E393" s="18" t="n">
        <v>134.34</v>
      </c>
      <c r="F393" s="18" t="n">
        <v>184.89</v>
      </c>
      <c r="G393" s="18" t="n">
        <v>33.23</v>
      </c>
      <c r="H393" s="38" t="n">
        <v>22.3</v>
      </c>
      <c r="I393" s="38" t="n">
        <v>17</v>
      </c>
      <c r="J393" s="13" t="n">
        <v>11172</v>
      </c>
      <c r="K393" s="13" t="n">
        <v>10629.12</v>
      </c>
      <c r="L393" s="13" t="n">
        <v>681.12</v>
      </c>
      <c r="M393" s="13" t="n">
        <v>851.25</v>
      </c>
      <c r="N393" s="13" t="n">
        <v>4270</v>
      </c>
      <c r="O393" s="38" t="n">
        <v>19.94</v>
      </c>
      <c r="P393" s="39" t="inlineStr">
        <is>
          <t>Windy</t>
        </is>
      </c>
      <c r="Q393" s="13" t="n">
        <v>1394</v>
      </c>
      <c r="R393" s="13" t="n">
        <v>657.84</v>
      </c>
      <c r="S393" s="13" t="n">
        <v>-90.92</v>
      </c>
      <c r="T393" s="13" t="n">
        <v>8914.16</v>
      </c>
      <c r="U393" s="13" t="n">
        <v>683.88</v>
      </c>
      <c r="V393" s="13" t="n">
        <v>26.18</v>
      </c>
      <c r="W393" s="13" t="n">
        <v>303.01</v>
      </c>
      <c r="X393" s="13" t="n">
        <v>645.4299999999999</v>
      </c>
      <c r="Y393" s="13" t="n">
        <v>463.41</v>
      </c>
      <c r="Z393" s="19" t="n"/>
      <c r="AA393" s="18" t="n"/>
      <c r="AB393" s="38" t="n">
        <v>11.14</v>
      </c>
      <c r="AC393" s="14">
        <f>IFERROR(AVERAGEIFS($E$16:$E$736,$W$16:$W$736,"&gt;="&amp;W393-$C$5,$W$16:$W$736,"&lt;="&amp;W393+$C$5,$B$16:$B$736,B393,$A$16:$A$736,"&lt;&gt;"&amp;A393),"")</f>
        <v/>
      </c>
      <c r="AD393" s="14">
        <f>IF(AND(ISNUMBER(E393),ISNUMBER(AC393)),E393-AC393,"")</f>
        <v/>
      </c>
    </row>
    <row r="394">
      <c r="A394" s="17" t="n">
        <v>45901</v>
      </c>
      <c r="B394" s="29">
        <f>MONTH(A394)</f>
        <v/>
      </c>
      <c r="C394" s="29">
        <f>IF(AND(ISNUMBER(W394),ISNUMBER($C$4),ABS(W394-$C$4)&lt;=$C$5,ABS(MOD(B394-$C$6+6,12)-6)&lt;=$C$7,OR($C$8="Any",P394=$C$8)),1,0)</f>
        <v/>
      </c>
      <c r="D394" s="29">
        <f>IF(C394=1,COUNTIF($C$16:C394,1),"")</f>
        <v/>
      </c>
      <c r="E394" s="18" t="n">
        <v>81.81</v>
      </c>
      <c r="F394" s="18" t="n">
        <v>108.8</v>
      </c>
      <c r="G394" s="18" t="n">
        <v>27.85</v>
      </c>
      <c r="H394" s="38" t="n">
        <v>26.17</v>
      </c>
      <c r="I394" s="38" t="n">
        <v>19.15</v>
      </c>
      <c r="J394" s="13" t="n">
        <v>11151</v>
      </c>
      <c r="K394" s="13" t="n">
        <v>10518.31</v>
      </c>
      <c r="L394" s="13" t="n">
        <v>264.12</v>
      </c>
      <c r="M394" s="13" t="n">
        <v>283.75</v>
      </c>
      <c r="N394" s="13" t="n">
        <v>4270</v>
      </c>
      <c r="O394" s="38" t="n">
        <v>6.65</v>
      </c>
      <c r="P394" s="39" t="inlineStr">
        <is>
          <t>Calm</t>
        </is>
      </c>
      <c r="Q394" s="13" t="n">
        <v>1585</v>
      </c>
      <c r="R394" s="13" t="n">
        <v>659.75</v>
      </c>
      <c r="S394" s="13" t="n">
        <v>-93.70999999999999</v>
      </c>
      <c r="T394" s="13" t="n">
        <v>9335.780000000001</v>
      </c>
      <c r="U394" s="13" t="n">
        <v>680.25</v>
      </c>
      <c r="V394" s="13" t="n">
        <v>455.12</v>
      </c>
      <c r="W394" s="13" t="n">
        <v>347.3</v>
      </c>
      <c r="X394" s="13" t="n">
        <v>854.61</v>
      </c>
      <c r="Y394" s="13" t="n">
        <v>494.3</v>
      </c>
      <c r="Z394" s="19" t="n"/>
      <c r="AA394" s="18" t="n"/>
      <c r="AB394" s="38" t="n">
        <v>10.05</v>
      </c>
      <c r="AC394" s="14">
        <f>IFERROR(AVERAGEIFS($E$16:$E$736,$W$16:$W$736,"&gt;="&amp;W394-$C$5,$W$16:$W$736,"&lt;="&amp;W394+$C$5,$B$16:$B$736,B394,$A$16:$A$736,"&lt;&gt;"&amp;A394),"")</f>
        <v/>
      </c>
      <c r="AD394" s="14">
        <f>IF(AND(ISNUMBER(E394),ISNUMBER(AC394)),E394-AC394,"")</f>
        <v/>
      </c>
    </row>
    <row r="395">
      <c r="A395" s="17" t="n">
        <v>45900</v>
      </c>
      <c r="B395" s="29">
        <f>MONTH(A395)</f>
        <v/>
      </c>
      <c r="C395" s="29">
        <f>IF(AND(ISNUMBER(W395),ISNUMBER($C$4),ABS(W395-$C$4)&lt;=$C$5,ABS(MOD(B395-$C$6+6,12)-6)&lt;=$C$7,OR($C$8="Any",P395=$C$8)),1,0)</f>
        <v/>
      </c>
      <c r="D395" s="29">
        <f>IF(C395=1,COUNTIF($C$16:C395,1),"")</f>
        <v/>
      </c>
      <c r="E395" s="18" t="n">
        <v>31.76</v>
      </c>
      <c r="F395" s="18" t="n">
        <v>29.11</v>
      </c>
      <c r="G395" s="18" t="n">
        <v>37.06</v>
      </c>
      <c r="H395" s="38" t="n">
        <v>27.9</v>
      </c>
      <c r="I395" s="38" t="n">
        <v>20.09</v>
      </c>
      <c r="J395" s="13" t="n">
        <v>11205</v>
      </c>
      <c r="K395" s="13" t="n">
        <v>10524.62</v>
      </c>
      <c r="L395" s="13" t="n">
        <v>555.8099999999999</v>
      </c>
      <c r="M395" s="13" t="n">
        <v>620.5</v>
      </c>
      <c r="N395" s="13" t="n">
        <v>4270</v>
      </c>
      <c r="O395" s="38" t="n">
        <v>14.53</v>
      </c>
      <c r="P395" s="39" t="inlineStr">
        <is>
          <t>Calm</t>
        </is>
      </c>
      <c r="Q395" s="13" t="n">
        <v>1628</v>
      </c>
      <c r="R395" s="13" t="n">
        <v>659.08</v>
      </c>
      <c r="S395" s="13" t="n">
        <v>-266.71</v>
      </c>
      <c r="T395" s="13" t="n">
        <v>9497.93</v>
      </c>
      <c r="U395" s="13" t="n">
        <v>679.7</v>
      </c>
      <c r="V395" s="13" t="n">
        <v>398.14</v>
      </c>
      <c r="W395" s="13" t="n">
        <v>567.87</v>
      </c>
      <c r="X395" s="13" t="n">
        <v>1317.31</v>
      </c>
      <c r="Y395" s="13" t="n">
        <v>738.01</v>
      </c>
      <c r="Z395" s="19" t="n"/>
      <c r="AA395" s="18" t="n"/>
      <c r="AB395" s="38" t="n">
        <v>16.06</v>
      </c>
      <c r="AC395" s="14">
        <f>IFERROR(AVERAGEIFS($E$16:$E$736,$W$16:$W$736,"&gt;="&amp;W395-$C$5,$W$16:$W$736,"&lt;="&amp;W395+$C$5,$B$16:$B$736,B395,$A$16:$A$736,"&lt;&gt;"&amp;A395),"")</f>
        <v/>
      </c>
      <c r="AD395" s="14">
        <f>IF(AND(ISNUMBER(E395),ISNUMBER(AC395)),E395-AC395,"")</f>
        <v/>
      </c>
    </row>
    <row r="396">
      <c r="A396" s="17" t="n">
        <v>45899</v>
      </c>
      <c r="B396" s="29">
        <f>MONTH(A396)</f>
        <v/>
      </c>
      <c r="C396" s="29">
        <f>IF(AND(ISNUMBER(W396),ISNUMBER($C$4),ABS(W396-$C$4)&lt;=$C$5,ABS(MOD(B396-$C$6+6,12)-6)&lt;=$C$7,OR($C$8="Any",P396=$C$8)),1,0)</f>
        <v/>
      </c>
      <c r="D396" s="29">
        <f>IF(C396=1,COUNTIF($C$16:C396,1),"")</f>
        <v/>
      </c>
      <c r="E396" s="18" t="n">
        <v>40.97</v>
      </c>
      <c r="F396" s="18" t="n">
        <v>41.28</v>
      </c>
      <c r="G396" s="18" t="n">
        <v>40.35</v>
      </c>
      <c r="H396" s="38" t="n">
        <v>27.07</v>
      </c>
      <c r="I396" s="38" t="n">
        <v>19.48</v>
      </c>
      <c r="J396" s="13" t="n">
        <v>11426</v>
      </c>
      <c r="K396" s="13" t="n">
        <v>10749.94</v>
      </c>
      <c r="L396" s="13" t="n">
        <v>776.88</v>
      </c>
      <c r="M396" s="13" t="n">
        <v>758.75</v>
      </c>
      <c r="N396" s="13" t="n">
        <v>4270</v>
      </c>
      <c r="O396" s="38" t="n">
        <v>17.77</v>
      </c>
      <c r="P396" s="39" t="inlineStr">
        <is>
          <t>Windy</t>
        </is>
      </c>
      <c r="Q396" s="13" t="n">
        <v>1616</v>
      </c>
      <c r="R396" s="13" t="n">
        <v>660.58</v>
      </c>
      <c r="S396" s="13" t="n">
        <v>-582</v>
      </c>
      <c r="T396" s="13" t="n">
        <v>9824.41</v>
      </c>
      <c r="U396" s="13" t="n">
        <v>666.54</v>
      </c>
      <c r="V396" s="13" t="n">
        <v>58.82</v>
      </c>
      <c r="W396" s="13" t="n">
        <v>460.12</v>
      </c>
      <c r="X396" s="13" t="n">
        <v>1192.08</v>
      </c>
      <c r="Y396" s="13" t="n">
        <v>651.23</v>
      </c>
      <c r="Z396" s="19" t="n"/>
      <c r="AA396" s="18" t="n"/>
      <c r="AB396" s="38" t="n">
        <v>17.61</v>
      </c>
      <c r="AC396" s="14">
        <f>IFERROR(AVERAGEIFS($E$16:$E$736,$W$16:$W$736,"&gt;="&amp;W396-$C$5,$W$16:$W$736,"&lt;="&amp;W396+$C$5,$B$16:$B$736,B396,$A$16:$A$736,"&lt;&gt;"&amp;A396),"")</f>
        <v/>
      </c>
      <c r="AD396" s="14">
        <f>IF(AND(ISNUMBER(E396),ISNUMBER(AC396)),E396-AC396,"")</f>
        <v/>
      </c>
    </row>
    <row r="397">
      <c r="A397" s="17" t="n">
        <v>45898</v>
      </c>
      <c r="B397" s="29">
        <f>MONTH(A397)</f>
        <v/>
      </c>
      <c r="C397" s="29">
        <f>IF(AND(ISNUMBER(W397),ISNUMBER($C$4),ABS(W397-$C$4)&lt;=$C$5,ABS(MOD(B397-$C$6+6,12)-6)&lt;=$C$7,OR($C$8="Any",P397=$C$8)),1,0)</f>
        <v/>
      </c>
      <c r="D397" s="29">
        <f>IF(C397=1,COUNTIF($C$16:C397,1),"")</f>
        <v/>
      </c>
      <c r="E397" s="18" t="n">
        <v>95.52</v>
      </c>
      <c r="F397" s="18" t="n">
        <v>126.3</v>
      </c>
      <c r="G397" s="18" t="n">
        <v>33.98</v>
      </c>
      <c r="H397" s="38" t="n">
        <v>26.57</v>
      </c>
      <c r="I397" s="38" t="n">
        <v>19.8</v>
      </c>
      <c r="J397" s="13" t="n">
        <v>11850</v>
      </c>
      <c r="K397" s="13" t="n">
        <v>11306.31</v>
      </c>
      <c r="L397" s="13" t="n">
        <v>500.81</v>
      </c>
      <c r="M397" s="13" t="n">
        <v>614.54</v>
      </c>
      <c r="N397" s="13" t="n">
        <v>4270</v>
      </c>
      <c r="O397" s="38" t="n">
        <v>14.39</v>
      </c>
      <c r="P397" s="39" t="inlineStr">
        <is>
          <t>Calm</t>
        </is>
      </c>
      <c r="Q397" s="13" t="n">
        <v>1579</v>
      </c>
      <c r="R397" s="13" t="n">
        <v>661.89</v>
      </c>
      <c r="S397" s="13" t="n">
        <v>-146.83</v>
      </c>
      <c r="T397" s="13" t="n">
        <v>9734.799999999999</v>
      </c>
      <c r="U397" s="13" t="n">
        <v>663.77</v>
      </c>
      <c r="V397" s="13" t="n">
        <v>85.36</v>
      </c>
      <c r="W397" s="13" t="n">
        <v>379.26</v>
      </c>
      <c r="X397" s="13" t="n">
        <v>882.6</v>
      </c>
      <c r="Y397" s="13" t="n">
        <v>571.36</v>
      </c>
      <c r="Z397" s="19" t="n"/>
      <c r="AA397" s="18" t="n"/>
      <c r="AB397" s="38" t="n">
        <v>8.390000000000001</v>
      </c>
      <c r="AC397" s="14">
        <f>IFERROR(AVERAGEIFS($E$16:$E$736,$W$16:$W$736,"&gt;="&amp;W397-$C$5,$W$16:$W$736,"&lt;="&amp;W397+$C$5,$B$16:$B$736,B397,$A$16:$A$736,"&lt;&gt;"&amp;A397),"")</f>
        <v/>
      </c>
      <c r="AD397" s="14">
        <f>IF(AND(ISNUMBER(E397),ISNUMBER(AC397)),E397-AC397,"")</f>
        <v/>
      </c>
    </row>
    <row r="398">
      <c r="A398" s="17" t="n">
        <v>45897</v>
      </c>
      <c r="B398" s="29">
        <f>MONTH(A398)</f>
        <v/>
      </c>
      <c r="C398" s="29">
        <f>IF(AND(ISNUMBER(W398),ISNUMBER($C$4),ABS(W398-$C$4)&lt;=$C$5,ABS(MOD(B398-$C$6+6,12)-6)&lt;=$C$7,OR($C$8="Any",P398=$C$8)),1,0)</f>
        <v/>
      </c>
      <c r="D398" s="29">
        <f>IF(C398=1,COUNTIF($C$16:C398,1),"")</f>
        <v/>
      </c>
      <c r="E398" s="18" t="n">
        <v>160.14</v>
      </c>
      <c r="F398" s="18" t="n">
        <v>229.83</v>
      </c>
      <c r="G398" s="18" t="n">
        <v>20.75</v>
      </c>
      <c r="H398" s="38" t="n">
        <v>25.9</v>
      </c>
      <c r="I398" s="38" t="n">
        <v>20.34</v>
      </c>
      <c r="J398" s="13" t="n">
        <v>11770</v>
      </c>
      <c r="K398" s="13" t="n">
        <v>11146.75</v>
      </c>
      <c r="L398" s="13" t="n">
        <v>689.12</v>
      </c>
      <c r="M398" s="13" t="n">
        <v>1065.71</v>
      </c>
      <c r="N398" s="13" t="n">
        <v>4270</v>
      </c>
      <c r="O398" s="38" t="n">
        <v>24.96</v>
      </c>
      <c r="P398" s="39" t="inlineStr">
        <is>
          <t>Windy</t>
        </is>
      </c>
      <c r="Q398" s="13" t="n">
        <v>1267</v>
      </c>
      <c r="R398" s="13" t="n">
        <v>657.88</v>
      </c>
      <c r="S398" s="13" t="n">
        <v>-189.12</v>
      </c>
      <c r="T398" s="13" t="n">
        <v>9486.85</v>
      </c>
      <c r="U398" s="13" t="n">
        <v>668.14</v>
      </c>
      <c r="V398" s="13" t="n">
        <v>248.35</v>
      </c>
      <c r="W398" s="13" t="n">
        <v>231.38</v>
      </c>
      <c r="X398" s="13" t="n">
        <v>710.8099999999999</v>
      </c>
      <c r="Y398" s="13" t="n">
        <v>409.06</v>
      </c>
      <c r="Z398" s="19" t="n"/>
      <c r="AA398" s="18" t="n"/>
      <c r="AB398" s="38" t="n">
        <v>12.36</v>
      </c>
      <c r="AC398" s="14">
        <f>IFERROR(AVERAGEIFS($E$16:$E$736,$W$16:$W$736,"&gt;="&amp;W398-$C$5,$W$16:$W$736,"&lt;="&amp;W398+$C$5,$B$16:$B$736,B398,$A$16:$A$736,"&lt;&gt;"&amp;A398),"")</f>
        <v/>
      </c>
      <c r="AD398" s="14">
        <f>IF(AND(ISNUMBER(E398),ISNUMBER(AC398)),E398-AC398,"")</f>
        <v/>
      </c>
    </row>
    <row r="399">
      <c r="A399" s="17" t="n">
        <v>45896</v>
      </c>
      <c r="B399" s="29">
        <f>MONTH(A399)</f>
        <v/>
      </c>
      <c r="C399" s="29">
        <f>IF(AND(ISNUMBER(W399),ISNUMBER($C$4),ABS(W399-$C$4)&lt;=$C$5,ABS(MOD(B399-$C$6+6,12)-6)&lt;=$C$7,OR($C$8="Any",P399=$C$8)),1,0)</f>
        <v/>
      </c>
      <c r="D399" s="29">
        <f>IF(C399=1,COUNTIF($C$16:C399,1),"")</f>
        <v/>
      </c>
      <c r="E399" s="18" t="n">
        <v>60.11</v>
      </c>
      <c r="F399" s="18" t="n">
        <v>83.18000000000001</v>
      </c>
      <c r="G399" s="18" t="n">
        <v>13.98</v>
      </c>
      <c r="H399" s="38" t="n">
        <v>28.47</v>
      </c>
      <c r="I399" s="38" t="n">
        <v>21.28</v>
      </c>
      <c r="J399" s="13" t="n">
        <v>11993</v>
      </c>
      <c r="K399" s="13" t="n">
        <v>11388.88</v>
      </c>
      <c r="L399" s="13" t="n">
        <v>725.5599999999999</v>
      </c>
      <c r="M399" s="13" t="n">
        <v>990.88</v>
      </c>
      <c r="N399" s="13" t="n">
        <v>4270</v>
      </c>
      <c r="O399" s="38" t="n">
        <v>23.21</v>
      </c>
      <c r="P399" s="39" t="inlineStr">
        <is>
          <t>Windy</t>
        </is>
      </c>
      <c r="Q399" s="13" t="n">
        <v>1652</v>
      </c>
      <c r="R399" s="13" t="n">
        <v>662.79</v>
      </c>
      <c r="S399" s="13" t="n">
        <v>-182.5</v>
      </c>
      <c r="T399" s="13" t="n">
        <v>9802.040000000001</v>
      </c>
      <c r="U399" s="13" t="n">
        <v>636.22</v>
      </c>
      <c r="V399" s="13" t="n">
        <v>447.6</v>
      </c>
      <c r="W399" s="13" t="n">
        <v>482.38</v>
      </c>
      <c r="X399" s="13" t="n">
        <v>1100.11</v>
      </c>
      <c r="Y399" s="13" t="n">
        <v>669.72</v>
      </c>
      <c r="Z399" s="19" t="n"/>
      <c r="AA399" s="18" t="n"/>
      <c r="AB399" s="38" t="n">
        <v>16.35</v>
      </c>
      <c r="AC399" s="14">
        <f>IFERROR(AVERAGEIFS($E$16:$E$736,$W$16:$W$736,"&gt;="&amp;W399-$C$5,$W$16:$W$736,"&lt;="&amp;W399+$C$5,$B$16:$B$736,B399,$A$16:$A$736,"&lt;&gt;"&amp;A399),"")</f>
        <v/>
      </c>
      <c r="AD399" s="14">
        <f>IF(AND(ISNUMBER(E399),ISNUMBER(AC399)),E399-AC399,"")</f>
        <v/>
      </c>
    </row>
    <row r="400">
      <c r="A400" s="17" t="n">
        <v>45895</v>
      </c>
      <c r="B400" s="29">
        <f>MONTH(A400)</f>
        <v/>
      </c>
      <c r="C400" s="29">
        <f>IF(AND(ISNUMBER(W400),ISNUMBER($C$4),ABS(W400-$C$4)&lt;=$C$5,ABS(MOD(B400-$C$6+6,12)-6)&lt;=$C$7,OR($C$8="Any",P400=$C$8)),1,0)</f>
        <v/>
      </c>
      <c r="D400" s="29">
        <f>IF(C400=1,COUNTIF($C$16:C400,1),"")</f>
        <v/>
      </c>
      <c r="E400" s="18" t="n">
        <v>142.08</v>
      </c>
      <c r="F400" s="18" t="n">
        <v>203.76</v>
      </c>
      <c r="G400" s="18" t="n">
        <v>18.71</v>
      </c>
      <c r="H400" s="38" t="n">
        <v>28.77</v>
      </c>
      <c r="I400" s="38" t="n">
        <v>20.66</v>
      </c>
      <c r="J400" s="13" t="n">
        <v>11857</v>
      </c>
      <c r="K400" s="13" t="n">
        <v>11280.25</v>
      </c>
      <c r="L400" s="13" t="n">
        <v>487.62</v>
      </c>
      <c r="M400" s="13" t="n">
        <v>722.75</v>
      </c>
      <c r="N400" s="13" t="n">
        <v>4270</v>
      </c>
      <c r="O400" s="38" t="n">
        <v>16.93</v>
      </c>
      <c r="P400" s="39" t="inlineStr">
        <is>
          <t>Windy</t>
        </is>
      </c>
      <c r="Q400" s="13" t="n">
        <v>1631</v>
      </c>
      <c r="R400" s="13" t="n">
        <v>655.8200000000001</v>
      </c>
      <c r="S400" s="13" t="n">
        <v>-151.96</v>
      </c>
      <c r="T400" s="13" t="n">
        <v>9819.780000000001</v>
      </c>
      <c r="U400" s="13" t="n">
        <v>620.1</v>
      </c>
      <c r="V400" s="13" t="n">
        <v>101.13</v>
      </c>
      <c r="W400" s="13" t="n">
        <v>159.34</v>
      </c>
      <c r="X400" s="13" t="n">
        <v>962.14</v>
      </c>
      <c r="Y400" s="13" t="n">
        <v>338.62</v>
      </c>
      <c r="Z400" s="19" t="n"/>
      <c r="AA400" s="18" t="n"/>
      <c r="AB400" s="38" t="n">
        <v>9.449999999999999</v>
      </c>
      <c r="AC400" s="14">
        <f>IFERROR(AVERAGEIFS($E$16:$E$736,$W$16:$W$736,"&gt;="&amp;W400-$C$5,$W$16:$W$736,"&lt;="&amp;W400+$C$5,$B$16:$B$736,B400,$A$16:$A$736,"&lt;&gt;"&amp;A400),"")</f>
        <v/>
      </c>
      <c r="AD400" s="14">
        <f>IF(AND(ISNUMBER(E400),ISNUMBER(AC400)),E400-AC400,"")</f>
        <v/>
      </c>
    </row>
    <row r="401">
      <c r="A401" s="17" t="n">
        <v>45894</v>
      </c>
      <c r="B401" s="29">
        <f>MONTH(A401)</f>
        <v/>
      </c>
      <c r="C401" s="29">
        <f>IF(AND(ISNUMBER(W401),ISNUMBER($C$4),ABS(W401-$C$4)&lt;=$C$5,ABS(MOD(B401-$C$6+6,12)-6)&lt;=$C$7,OR($C$8="Any",P401=$C$8)),1,0)</f>
        <v/>
      </c>
      <c r="D401" s="29">
        <f>IF(C401=1,COUNTIF($C$16:C401,1),"")</f>
        <v/>
      </c>
      <c r="E401" s="18" t="n">
        <v>140.57</v>
      </c>
      <c r="F401" s="18" t="n">
        <v>202.23</v>
      </c>
      <c r="G401" s="18" t="n">
        <v>17.24</v>
      </c>
      <c r="H401" s="38" t="n">
        <v>27.27</v>
      </c>
      <c r="I401" s="38" t="n">
        <v>19.65</v>
      </c>
      <c r="J401" s="13" t="n">
        <v>11843</v>
      </c>
      <c r="K401" s="13" t="n">
        <v>11130.75</v>
      </c>
      <c r="L401" s="13" t="n">
        <v>392.94</v>
      </c>
      <c r="M401" s="13" t="n">
        <v>795.92</v>
      </c>
      <c r="N401" s="13" t="n">
        <v>4270</v>
      </c>
      <c r="O401" s="38" t="n">
        <v>18.64</v>
      </c>
      <c r="P401" s="39" t="inlineStr">
        <is>
          <t>Windy</t>
        </is>
      </c>
      <c r="Q401" s="13" t="n">
        <v>1649</v>
      </c>
      <c r="R401" s="13" t="n">
        <v>621.92</v>
      </c>
      <c r="S401" s="13" t="n">
        <v>-240.25</v>
      </c>
      <c r="T401" s="13" t="n">
        <v>9822.48</v>
      </c>
      <c r="U401" s="13" t="n">
        <v>632.04</v>
      </c>
      <c r="V401" s="13" t="n">
        <v>107.22</v>
      </c>
      <c r="W401" s="13" t="n">
        <v>290.27</v>
      </c>
      <c r="X401" s="13" t="n">
        <v>1069.29</v>
      </c>
      <c r="Y401" s="13" t="n">
        <v>494.68</v>
      </c>
      <c r="Z401" s="19" t="n"/>
      <c r="AA401" s="18" t="n"/>
      <c r="AB401" s="38" t="n">
        <v>10.86</v>
      </c>
      <c r="AC401" s="14">
        <f>IFERROR(AVERAGEIFS($E$16:$E$736,$W$16:$W$736,"&gt;="&amp;W401-$C$5,$W$16:$W$736,"&lt;="&amp;W401+$C$5,$B$16:$B$736,B401,$A$16:$A$736,"&lt;&gt;"&amp;A401),"")</f>
        <v/>
      </c>
      <c r="AD401" s="14">
        <f>IF(AND(ISNUMBER(E401),ISNUMBER(AC401)),E401-AC401,"")</f>
        <v/>
      </c>
    </row>
    <row r="402">
      <c r="A402" s="17" t="n">
        <v>45893</v>
      </c>
      <c r="B402" s="29">
        <f>MONTH(A402)</f>
        <v/>
      </c>
      <c r="C402" s="29">
        <f>IF(AND(ISNUMBER(W402),ISNUMBER($C$4),ABS(W402-$C$4)&lt;=$C$5,ABS(MOD(B402-$C$6+6,12)-6)&lt;=$C$7,OR($C$8="Any",P402=$C$8)),1,0)</f>
        <v/>
      </c>
      <c r="D402" s="29">
        <f>IF(C402=1,COUNTIF($C$16:C402,1),"")</f>
        <v/>
      </c>
      <c r="E402" s="18" t="n">
        <v>61.11</v>
      </c>
      <c r="F402" s="18" t="n">
        <v>90.81</v>
      </c>
      <c r="G402" s="18" t="n">
        <v>1.7</v>
      </c>
      <c r="H402" s="38" t="n">
        <v>25.17</v>
      </c>
      <c r="I402" s="38" t="n">
        <v>17.88</v>
      </c>
      <c r="J402" s="13" t="n">
        <v>11075</v>
      </c>
      <c r="K402" s="13" t="n">
        <v>10335.12</v>
      </c>
      <c r="L402" s="13" t="n">
        <v>1110.5</v>
      </c>
      <c r="M402" s="13" t="n">
        <v>1569.08</v>
      </c>
      <c r="N402" s="13" t="n">
        <v>4270</v>
      </c>
      <c r="O402" s="38" t="n">
        <v>36.75</v>
      </c>
      <c r="P402" s="39" t="inlineStr">
        <is>
          <t>Windy</t>
        </is>
      </c>
      <c r="Q402" s="13" t="n">
        <v>1693</v>
      </c>
      <c r="R402" s="13" t="n">
        <v>600.98</v>
      </c>
      <c r="S402" s="13" t="n">
        <v>-669.88</v>
      </c>
      <c r="T402" s="13" t="n">
        <v>9871.219999999999</v>
      </c>
      <c r="U402" s="13" t="n">
        <v>615.0599999999999</v>
      </c>
      <c r="V402" s="13" t="n">
        <v>61.28</v>
      </c>
      <c r="W402" s="13" t="n">
        <v>872.15</v>
      </c>
      <c r="X402" s="13" t="n">
        <v>2048.81</v>
      </c>
      <c r="Y402" s="13" t="n">
        <v>1045.25</v>
      </c>
      <c r="Z402" s="19" t="n"/>
      <c r="AA402" s="18" t="n"/>
      <c r="AB402" s="38" t="n">
        <v>10.05</v>
      </c>
      <c r="AC402" s="14">
        <f>IFERROR(AVERAGEIFS($E$16:$E$736,$W$16:$W$736,"&gt;="&amp;W402-$C$5,$W$16:$W$736,"&lt;="&amp;W402+$C$5,$B$16:$B$736,B402,$A$16:$A$736,"&lt;&gt;"&amp;A402),"")</f>
        <v/>
      </c>
      <c r="AD402" s="14">
        <f>IF(AND(ISNUMBER(E402),ISNUMBER(AC402)),E402-AC402,"")</f>
        <v/>
      </c>
    </row>
    <row r="403">
      <c r="A403" s="17" t="n">
        <v>45892</v>
      </c>
      <c r="B403" s="29">
        <f>MONTH(A403)</f>
        <v/>
      </c>
      <c r="C403" s="29">
        <f>IF(AND(ISNUMBER(W403),ISNUMBER($C$4),ABS(W403-$C$4)&lt;=$C$5,ABS(MOD(B403-$C$6+6,12)-6)&lt;=$C$7,OR($C$8="Any",P403=$C$8)),1,0)</f>
        <v/>
      </c>
      <c r="D403" s="29">
        <f>IF(C403=1,COUNTIF($C$16:C403,1),"")</f>
        <v/>
      </c>
      <c r="E403" s="18" t="n">
        <v>20.33</v>
      </c>
      <c r="F403" s="18" t="n">
        <v>21.3</v>
      </c>
      <c r="G403" s="18" t="n">
        <v>18.4</v>
      </c>
      <c r="H403" s="38" t="n">
        <v>22.73</v>
      </c>
      <c r="I403" s="38" t="n">
        <v>15.97</v>
      </c>
      <c r="J403" s="13" t="n">
        <v>10680</v>
      </c>
      <c r="K403" s="13" t="n">
        <v>10159.31</v>
      </c>
      <c r="L403" s="13" t="n">
        <v>529.25</v>
      </c>
      <c r="M403" s="13" t="n">
        <v>658.42</v>
      </c>
      <c r="N403" s="13" t="n">
        <v>4270</v>
      </c>
      <c r="O403" s="38" t="n">
        <v>15.42</v>
      </c>
      <c r="P403" s="39" t="inlineStr">
        <is>
          <t>Calm</t>
        </is>
      </c>
      <c r="Q403" s="13" t="n">
        <v>1659</v>
      </c>
      <c r="R403" s="13" t="n">
        <v>602.63</v>
      </c>
      <c r="S403" s="13" t="n">
        <v>-557</v>
      </c>
      <c r="T403" s="13" t="n">
        <v>9971.09</v>
      </c>
      <c r="U403" s="13" t="n">
        <v>626.5599999999999</v>
      </c>
      <c r="V403" s="13" t="n">
        <v>127.93</v>
      </c>
      <c r="W403" s="13" t="n">
        <v>1034.17</v>
      </c>
      <c r="X403" s="13" t="n">
        <v>1791.36</v>
      </c>
      <c r="Y403" s="13" t="n">
        <v>1209.72</v>
      </c>
      <c r="Z403" s="19" t="n"/>
      <c r="AA403" s="18" t="n"/>
      <c r="AB403" s="38" t="n">
        <v>11.97</v>
      </c>
      <c r="AC403" s="14">
        <f>IFERROR(AVERAGEIFS($E$16:$E$736,$W$16:$W$736,"&gt;="&amp;W403-$C$5,$W$16:$W$736,"&lt;="&amp;W403+$C$5,$B$16:$B$736,B403,$A$16:$A$736,"&lt;&gt;"&amp;A403),"")</f>
        <v/>
      </c>
      <c r="AD403" s="14">
        <f>IF(AND(ISNUMBER(E403),ISNUMBER(AC403)),E403-AC403,"")</f>
        <v/>
      </c>
    </row>
    <row r="404">
      <c r="A404" s="17" t="n">
        <v>45891</v>
      </c>
      <c r="B404" s="29">
        <f>MONTH(A404)</f>
        <v/>
      </c>
      <c r="C404" s="29">
        <f>IF(AND(ISNUMBER(W404),ISNUMBER($C$4),ABS(W404-$C$4)&lt;=$C$5,ABS(MOD(B404-$C$6+6,12)-6)&lt;=$C$7,OR($C$8="Any",P404=$C$8)),1,0)</f>
        <v/>
      </c>
      <c r="D404" s="29">
        <f>IF(C404=1,COUNTIF($C$16:C404,1),"")</f>
        <v/>
      </c>
      <c r="E404" s="18" t="n">
        <v>21.7</v>
      </c>
      <c r="F404" s="18" t="n">
        <v>27.75</v>
      </c>
      <c r="G404" s="18" t="n">
        <v>9.609999999999999</v>
      </c>
      <c r="H404" s="38" t="n">
        <v>19.7</v>
      </c>
      <c r="I404" s="38" t="n">
        <v>14.66</v>
      </c>
      <c r="J404" s="13" t="n">
        <v>10729</v>
      </c>
      <c r="K404" s="13" t="n">
        <v>10358.12</v>
      </c>
      <c r="L404" s="13" t="n">
        <v>316.12</v>
      </c>
      <c r="M404" s="13" t="n">
        <v>858.62</v>
      </c>
      <c r="N404" s="13" t="n">
        <v>4270</v>
      </c>
      <c r="O404" s="38" t="n">
        <v>20.11</v>
      </c>
      <c r="P404" s="39" t="inlineStr">
        <is>
          <t>Windy</t>
        </is>
      </c>
      <c r="Q404" s="13" t="n">
        <v>1612</v>
      </c>
      <c r="R404" s="13" t="n">
        <v>593.3</v>
      </c>
      <c r="S404" s="13" t="n">
        <v>-481.67</v>
      </c>
      <c r="T404" s="13" t="n">
        <v>10019.16</v>
      </c>
      <c r="U404" s="13" t="n">
        <v>665.37</v>
      </c>
      <c r="V404" s="13" t="n">
        <v>73.16</v>
      </c>
      <c r="W404" s="13" t="n">
        <v>1155.11</v>
      </c>
      <c r="X404" s="13" t="n">
        <v>1644.12</v>
      </c>
      <c r="Y404" s="13" t="n">
        <v>1282.34</v>
      </c>
      <c r="Z404" s="19" t="n"/>
      <c r="AA404" s="18" t="n"/>
      <c r="AB404" s="38" t="n">
        <v>10.59</v>
      </c>
      <c r="AC404" s="14">
        <f>IFERROR(AVERAGEIFS($E$16:$E$736,$W$16:$W$736,"&gt;="&amp;W404-$C$5,$W$16:$W$736,"&lt;="&amp;W404+$C$5,$B$16:$B$736,B404,$A$16:$A$736,"&lt;&gt;"&amp;A404),"")</f>
        <v/>
      </c>
      <c r="AD404" s="14">
        <f>IF(AND(ISNUMBER(E404),ISNUMBER(AC404)),E404-AC404,"")</f>
        <v/>
      </c>
    </row>
    <row r="405">
      <c r="A405" s="17" t="n">
        <v>45890</v>
      </c>
      <c r="B405" s="29">
        <f>MONTH(A405)</f>
        <v/>
      </c>
      <c r="C405" s="29">
        <f>IF(AND(ISNUMBER(W405),ISNUMBER($C$4),ABS(W405-$C$4)&lt;=$C$5,ABS(MOD(B405-$C$6+6,12)-6)&lt;=$C$7,OR($C$8="Any",P405=$C$8)),1,0)</f>
        <v/>
      </c>
      <c r="D405" s="29">
        <f>IF(C405=1,COUNTIF($C$16:C405,1),"")</f>
        <v/>
      </c>
      <c r="E405" s="18" t="n">
        <v>14.05</v>
      </c>
      <c r="F405" s="18" t="n">
        <v>14.71</v>
      </c>
      <c r="G405" s="18" t="n">
        <v>12.74</v>
      </c>
      <c r="H405" s="38" t="n">
        <v>20</v>
      </c>
      <c r="I405" s="38" t="n">
        <v>14.33</v>
      </c>
      <c r="J405" s="13" t="n">
        <v>10495</v>
      </c>
      <c r="K405" s="13" t="n">
        <v>10259.31</v>
      </c>
      <c r="L405" s="13" t="n">
        <v>1230.56</v>
      </c>
      <c r="M405" s="13" t="n">
        <v>1341.25</v>
      </c>
      <c r="N405" s="13" t="n">
        <v>4270</v>
      </c>
      <c r="O405" s="38" t="n">
        <v>31.41</v>
      </c>
      <c r="P405" s="39" t="inlineStr">
        <is>
          <t>Windy</t>
        </is>
      </c>
      <c r="Q405" s="13" t="n">
        <v>1650</v>
      </c>
      <c r="R405" s="13" t="n">
        <v>539.1</v>
      </c>
      <c r="S405" s="13" t="n">
        <v>-562.17</v>
      </c>
      <c r="T405" s="13" t="n">
        <v>9998.33</v>
      </c>
      <c r="U405" s="13" t="n">
        <v>658.91</v>
      </c>
      <c r="V405" s="13" t="n">
        <v>211.24</v>
      </c>
      <c r="W405" s="13" t="n">
        <v>1763.73</v>
      </c>
      <c r="X405" s="13" t="n">
        <v>2313.76</v>
      </c>
      <c r="Y405" s="13" t="n">
        <v>1937.38</v>
      </c>
      <c r="Z405" s="19" t="n"/>
      <c r="AA405" s="18" t="n"/>
      <c r="AB405" s="38" t="n">
        <v>19.37</v>
      </c>
      <c r="AC405" s="14">
        <f>IFERROR(AVERAGEIFS($E$16:$E$736,$W$16:$W$736,"&gt;="&amp;W405-$C$5,$W$16:$W$736,"&lt;="&amp;W405+$C$5,$B$16:$B$736,B405,$A$16:$A$736,"&lt;&gt;"&amp;A405),"")</f>
        <v/>
      </c>
      <c r="AD405" s="14">
        <f>IF(AND(ISNUMBER(E405),ISNUMBER(AC405)),E405-AC405,"")</f>
        <v/>
      </c>
    </row>
    <row r="406">
      <c r="A406" s="17" t="n">
        <v>45889</v>
      </c>
      <c r="B406" s="29">
        <f>MONTH(A406)</f>
        <v/>
      </c>
      <c r="C406" s="29">
        <f>IF(AND(ISNUMBER(W406),ISNUMBER($C$4),ABS(W406-$C$4)&lt;=$C$5,ABS(MOD(B406-$C$6+6,12)-6)&lt;=$C$7,OR($C$8="Any",P406=$C$8)),1,0)</f>
        <v/>
      </c>
      <c r="D406" s="29">
        <f>IF(C406=1,COUNTIF($C$16:C406,1),"")</f>
        <v/>
      </c>
      <c r="E406" s="18" t="n">
        <v>15.97</v>
      </c>
      <c r="F406" s="18" t="n">
        <v>14.74</v>
      </c>
      <c r="G406" s="18" t="n">
        <v>18.44</v>
      </c>
      <c r="H406" s="38" t="n">
        <v>21.6</v>
      </c>
      <c r="I406" s="38" t="n">
        <v>17.13</v>
      </c>
      <c r="J406" s="13" t="n">
        <v>10906</v>
      </c>
      <c r="K406" s="13" t="n">
        <v>10483.31</v>
      </c>
      <c r="L406" s="13" t="n">
        <v>1613.88</v>
      </c>
      <c r="M406" s="13" t="n">
        <v>1594.67</v>
      </c>
      <c r="N406" s="13" t="n">
        <v>4270</v>
      </c>
      <c r="O406" s="38" t="n">
        <v>37.35</v>
      </c>
      <c r="P406" s="39" t="inlineStr">
        <is>
          <t>Windy</t>
        </is>
      </c>
      <c r="Q406" s="13" t="n">
        <v>1598</v>
      </c>
      <c r="R406" s="13" t="n">
        <v>597.72</v>
      </c>
      <c r="S406" s="13" t="n">
        <v>-470.04</v>
      </c>
      <c r="T406" s="13" t="n">
        <v>9943.99</v>
      </c>
      <c r="U406" s="13" t="n">
        <v>657.13</v>
      </c>
      <c r="V406" s="13" t="n">
        <v>24.39</v>
      </c>
      <c r="W406" s="13" t="n">
        <v>1560.31</v>
      </c>
      <c r="X406" s="13" t="n">
        <v>2410.93</v>
      </c>
      <c r="Y406" s="13" t="n">
        <v>1696.78</v>
      </c>
      <c r="Z406" s="19" t="n"/>
      <c r="AA406" s="18" t="n"/>
      <c r="AB406" s="38" t="n">
        <v>21.89</v>
      </c>
      <c r="AC406" s="14">
        <f>IFERROR(AVERAGEIFS($E$16:$E$736,$W$16:$W$736,"&gt;="&amp;W406-$C$5,$W$16:$W$736,"&lt;="&amp;W406+$C$5,$B$16:$B$736,B406,$A$16:$A$736,"&lt;&gt;"&amp;A406),"")</f>
        <v/>
      </c>
      <c r="AD406" s="14">
        <f>IF(AND(ISNUMBER(E406),ISNUMBER(AC406)),E406-AC406,"")</f>
        <v/>
      </c>
    </row>
    <row r="407">
      <c r="A407" s="17" t="n">
        <v>45888</v>
      </c>
      <c r="B407" s="29">
        <f>MONTH(A407)</f>
        <v/>
      </c>
      <c r="C407" s="29">
        <f>IF(AND(ISNUMBER(W407),ISNUMBER($C$4),ABS(W407-$C$4)&lt;=$C$5,ABS(MOD(B407-$C$6+6,12)-6)&lt;=$C$7,OR($C$8="Any",P407=$C$8)),1,0)</f>
        <v/>
      </c>
      <c r="D407" s="29">
        <f>IF(C407=1,COUNTIF($C$16:C407,1),"")</f>
        <v/>
      </c>
      <c r="E407" s="18" t="n">
        <v>95.39</v>
      </c>
      <c r="F407" s="18" t="n">
        <v>131.12</v>
      </c>
      <c r="G407" s="18" t="n">
        <v>23.91</v>
      </c>
      <c r="H407" s="38" t="n">
        <v>25.7</v>
      </c>
      <c r="I407" s="38" t="n">
        <v>18.14</v>
      </c>
      <c r="J407" s="13" t="n">
        <v>11346</v>
      </c>
      <c r="K407" s="13" t="n">
        <v>10715.44</v>
      </c>
      <c r="L407" s="13" t="n">
        <v>316.25</v>
      </c>
      <c r="M407" s="13" t="n">
        <v>437.83</v>
      </c>
      <c r="N407" s="13" t="n">
        <v>4270</v>
      </c>
      <c r="O407" s="38" t="n">
        <v>10.25</v>
      </c>
      <c r="P407" s="39" t="inlineStr">
        <is>
          <t>Calm</t>
        </is>
      </c>
      <c r="Q407" s="13" t="n">
        <v>1631</v>
      </c>
      <c r="R407" s="13" t="n">
        <v>600.61</v>
      </c>
      <c r="S407" s="13" t="n">
        <v>-77.58</v>
      </c>
      <c r="T407" s="13" t="n">
        <v>9972.01</v>
      </c>
      <c r="U407" s="13" t="n">
        <v>676.87</v>
      </c>
      <c r="V407" s="13" t="n">
        <v>75.31999999999999</v>
      </c>
      <c r="W407" s="13" t="n">
        <v>1084.87</v>
      </c>
      <c r="X407" s="13" t="n">
        <v>1509.1</v>
      </c>
      <c r="Y407" s="13" t="n">
        <v>1163.96</v>
      </c>
      <c r="Z407" s="19" t="n"/>
      <c r="AA407" s="18" t="n"/>
      <c r="AB407" s="38" t="n">
        <v>12.51</v>
      </c>
      <c r="AC407" s="14">
        <f>IFERROR(AVERAGEIFS($E$16:$E$736,$W$16:$W$736,"&gt;="&amp;W407-$C$5,$W$16:$W$736,"&lt;="&amp;W407+$C$5,$B$16:$B$736,B407,$A$16:$A$736,"&lt;&gt;"&amp;A407),"")</f>
        <v/>
      </c>
      <c r="AD407" s="14">
        <f>IF(AND(ISNUMBER(E407),ISNUMBER(AC407)),E407-AC407,"")</f>
        <v/>
      </c>
    </row>
    <row r="408">
      <c r="A408" s="17" t="n">
        <v>45887</v>
      </c>
      <c r="B408" s="29">
        <f>MONTH(A408)</f>
        <v/>
      </c>
      <c r="C408" s="29">
        <f>IF(AND(ISNUMBER(W408),ISNUMBER($C$4),ABS(W408-$C$4)&lt;=$C$5,ABS(MOD(B408-$C$6+6,12)-6)&lt;=$C$7,OR($C$8="Any",P408=$C$8)),1,0)</f>
        <v/>
      </c>
      <c r="D408" s="29">
        <f>IF(C408=1,COUNTIF($C$16:C408,1),"")</f>
        <v/>
      </c>
      <c r="E408" s="18" t="n">
        <v>43.35</v>
      </c>
      <c r="F408" s="18" t="n">
        <v>53.82</v>
      </c>
      <c r="G408" s="18" t="n">
        <v>22.41</v>
      </c>
      <c r="H408" s="38" t="n">
        <v>23.5</v>
      </c>
      <c r="I408" s="38" t="n">
        <v>17.37</v>
      </c>
      <c r="J408" s="13" t="n">
        <v>11347</v>
      </c>
      <c r="K408" s="13" t="n">
        <v>10707.56</v>
      </c>
      <c r="L408" s="13" t="n">
        <v>735.25</v>
      </c>
      <c r="M408" s="13" t="n">
        <v>836.46</v>
      </c>
      <c r="N408" s="13" t="n">
        <v>4270</v>
      </c>
      <c r="O408" s="38" t="n">
        <v>19.59</v>
      </c>
      <c r="P408" s="39" t="inlineStr">
        <is>
          <t>Windy</t>
        </is>
      </c>
      <c r="Q408" s="13" t="n">
        <v>1606</v>
      </c>
      <c r="R408" s="13" t="n">
        <v>596.79</v>
      </c>
      <c r="S408" s="13" t="n">
        <v>-214.62</v>
      </c>
      <c r="T408" s="13" t="n">
        <v>9840.469999999999</v>
      </c>
      <c r="U408" s="13" t="n">
        <v>704.17</v>
      </c>
      <c r="V408" s="13" t="n">
        <v>214.29</v>
      </c>
      <c r="W408" s="13" t="n">
        <v>1136.08</v>
      </c>
      <c r="X408" s="13" t="n">
        <v>1732.19</v>
      </c>
      <c r="Y408" s="13" t="n">
        <v>1218.04</v>
      </c>
      <c r="Z408" s="19" t="n"/>
      <c r="AA408" s="18" t="n"/>
      <c r="AB408" s="38" t="n">
        <v>14.61</v>
      </c>
      <c r="AC408" s="14">
        <f>IFERROR(AVERAGEIFS($E$16:$E$736,$W$16:$W$736,"&gt;="&amp;W408-$C$5,$W$16:$W$736,"&lt;="&amp;W408+$C$5,$B$16:$B$736,B408,$A$16:$A$736,"&lt;&gt;"&amp;A408),"")</f>
        <v/>
      </c>
      <c r="AD408" s="14">
        <f>IF(AND(ISNUMBER(E408),ISNUMBER(AC408)),E408-AC408,"")</f>
        <v/>
      </c>
    </row>
    <row r="409">
      <c r="A409" s="17" t="n">
        <v>45886</v>
      </c>
      <c r="B409" s="29">
        <f>MONTH(A409)</f>
        <v/>
      </c>
      <c r="C409" s="29">
        <f>IF(AND(ISNUMBER(W409),ISNUMBER($C$4),ABS(W409-$C$4)&lt;=$C$5,ABS(MOD(B409-$C$6+6,12)-6)&lt;=$C$7,OR($C$8="Any",P409=$C$8)),1,0)</f>
        <v/>
      </c>
      <c r="D409" s="29">
        <f>IF(C409=1,COUNTIF($C$16:C409,1),"")</f>
        <v/>
      </c>
      <c r="E409" s="18" t="n">
        <v>50.31</v>
      </c>
      <c r="F409" s="18" t="n">
        <v>73.81</v>
      </c>
      <c r="G409" s="18" t="n">
        <v>3.29</v>
      </c>
      <c r="H409" s="38" t="n">
        <v>23.63</v>
      </c>
      <c r="I409" s="38" t="n">
        <v>17.49</v>
      </c>
      <c r="J409" s="13" t="n">
        <v>10889</v>
      </c>
      <c r="K409" s="13" t="n">
        <v>10214.19</v>
      </c>
      <c r="L409" s="13" t="n">
        <v>878.88</v>
      </c>
      <c r="M409" s="13" t="n">
        <v>1292.88</v>
      </c>
      <c r="N409" s="13" t="n">
        <v>4270</v>
      </c>
      <c r="O409" s="38" t="n">
        <v>30.28</v>
      </c>
      <c r="P409" s="39" t="inlineStr">
        <is>
          <t>Windy</t>
        </is>
      </c>
      <c r="Q409" s="13" t="n">
        <v>1586</v>
      </c>
      <c r="R409" s="13" t="n">
        <v>594.35</v>
      </c>
      <c r="S409" s="13" t="n">
        <v>-380.29</v>
      </c>
      <c r="T409" s="13" t="n">
        <v>9922.25</v>
      </c>
      <c r="U409" s="13" t="n">
        <v>684.62</v>
      </c>
      <c r="V409" s="13" t="n">
        <v>129.82</v>
      </c>
      <c r="W409" s="13" t="n">
        <v>1160.61</v>
      </c>
      <c r="X409" s="13" t="n">
        <v>2248.59</v>
      </c>
      <c r="Y409" s="13" t="n">
        <v>1243.85</v>
      </c>
      <c r="Z409" s="19" t="n"/>
      <c r="AA409" s="18" t="n"/>
      <c r="AB409" s="38" t="n">
        <v>14.7</v>
      </c>
      <c r="AC409" s="14">
        <f>IFERROR(AVERAGEIFS($E$16:$E$736,$W$16:$W$736,"&gt;="&amp;W409-$C$5,$W$16:$W$736,"&lt;="&amp;W409+$C$5,$B$16:$B$736,B409,$A$16:$A$736,"&lt;&gt;"&amp;A409),"")</f>
        <v/>
      </c>
      <c r="AD409" s="14">
        <f>IF(AND(ISNUMBER(E409),ISNUMBER(AC409)),E409-AC409,"")</f>
        <v/>
      </c>
    </row>
    <row r="410">
      <c r="A410" s="17" t="n">
        <v>45885</v>
      </c>
      <c r="B410" s="29">
        <f>MONTH(A410)</f>
        <v/>
      </c>
      <c r="C410" s="29">
        <f>IF(AND(ISNUMBER(W410),ISNUMBER($C$4),ABS(W410-$C$4)&lt;=$C$5,ABS(MOD(B410-$C$6+6,12)-6)&lt;=$C$7,OR($C$8="Any",P410=$C$8)),1,0)</f>
        <v/>
      </c>
      <c r="D410" s="29">
        <f>IF(C410=1,COUNTIF($C$16:C410,1),"")</f>
        <v/>
      </c>
      <c r="E410" s="18" t="n">
        <v>5.19</v>
      </c>
      <c r="F410" s="18" t="n">
        <v>2.98</v>
      </c>
      <c r="G410" s="18" t="n">
        <v>9.59</v>
      </c>
      <c r="H410" s="38" t="n">
        <v>22.33</v>
      </c>
      <c r="I410" s="38" t="n">
        <v>17.09</v>
      </c>
      <c r="J410" s="13" t="n">
        <v>10262</v>
      </c>
      <c r="K410" s="13" t="n">
        <v>9996.059999999999</v>
      </c>
      <c r="L410" s="13" t="n">
        <v>2494.38</v>
      </c>
      <c r="M410" s="13" t="n">
        <v>2273.5</v>
      </c>
      <c r="N410" s="13" t="n">
        <v>4270</v>
      </c>
      <c r="O410" s="38" t="n">
        <v>53.24</v>
      </c>
      <c r="P410" s="39" t="inlineStr">
        <is>
          <t>Windy</t>
        </is>
      </c>
      <c r="Q410" s="13" t="n">
        <v>1386</v>
      </c>
      <c r="R410" s="13" t="n">
        <v>596.37</v>
      </c>
      <c r="S410" s="13" t="n">
        <v>-566.33</v>
      </c>
      <c r="T410" s="13" t="n">
        <v>10052.82</v>
      </c>
      <c r="U410" s="13" t="n">
        <v>710.9400000000001</v>
      </c>
      <c r="V410" s="13" t="n">
        <v>24.39</v>
      </c>
      <c r="W410" s="13" t="n">
        <v>3176.46</v>
      </c>
      <c r="X410" s="13" t="n">
        <v>3676.99</v>
      </c>
      <c r="Y410" s="13" t="n">
        <v>3246.23</v>
      </c>
      <c r="Z410" s="19" t="n"/>
      <c r="AA410" s="18" t="n"/>
      <c r="AB410" s="38" t="n">
        <v>19.32</v>
      </c>
      <c r="AC410" s="14">
        <f>IFERROR(AVERAGEIFS($E$16:$E$736,$W$16:$W$736,"&gt;="&amp;W410-$C$5,$W$16:$W$736,"&lt;="&amp;W410+$C$5,$B$16:$B$736,B410,$A$16:$A$736,"&lt;&gt;"&amp;A410),"")</f>
        <v/>
      </c>
      <c r="AD410" s="14">
        <f>IF(AND(ISNUMBER(E410),ISNUMBER(AC410)),E410-AC410,"")</f>
        <v/>
      </c>
    </row>
    <row r="411">
      <c r="A411" s="17" t="n">
        <v>45884</v>
      </c>
      <c r="B411" s="29">
        <f>MONTH(A411)</f>
        <v/>
      </c>
      <c r="C411" s="29">
        <f>IF(AND(ISNUMBER(W411),ISNUMBER($C$4),ABS(W411-$C$4)&lt;=$C$5,ABS(MOD(B411-$C$6+6,12)-6)&lt;=$C$7,OR($C$8="Any",P411=$C$8)),1,0)</f>
        <v/>
      </c>
      <c r="D411" s="29">
        <f>IF(C411=1,COUNTIF($C$16:C411,1),"")</f>
        <v/>
      </c>
      <c r="E411" s="18" t="n">
        <v>10.04</v>
      </c>
      <c r="F411" s="18" t="n">
        <v>7.1</v>
      </c>
      <c r="G411" s="18" t="n">
        <v>15.91</v>
      </c>
      <c r="H411" s="38" t="n">
        <v>18.67</v>
      </c>
      <c r="I411" s="38" t="n">
        <v>13.92</v>
      </c>
      <c r="J411" s="13" t="n">
        <v>10519</v>
      </c>
      <c r="K411" s="13" t="n">
        <v>10233.44</v>
      </c>
      <c r="L411" s="13" t="n">
        <v>2158.12</v>
      </c>
      <c r="M411" s="13" t="n">
        <v>1770.92</v>
      </c>
      <c r="N411" s="13" t="n">
        <v>4270</v>
      </c>
      <c r="O411" s="38" t="n">
        <v>41.47</v>
      </c>
      <c r="P411" s="39" t="inlineStr">
        <is>
          <t>Windy</t>
        </is>
      </c>
      <c r="Q411" s="13" t="n">
        <v>1305</v>
      </c>
      <c r="R411" s="13" t="n">
        <v>594.3099999999999</v>
      </c>
      <c r="S411" s="13" t="n">
        <v>-508</v>
      </c>
      <c r="T411" s="13" t="n">
        <v>9970.469999999999</v>
      </c>
      <c r="U411" s="13" t="n">
        <v>714.2</v>
      </c>
      <c r="V411" s="13" t="n">
        <v>170.45</v>
      </c>
      <c r="W411" s="13" t="n">
        <v>2302.49</v>
      </c>
      <c r="X411" s="13" t="n">
        <v>2967.14</v>
      </c>
      <c r="Y411" s="13" t="n">
        <v>2370.55</v>
      </c>
      <c r="Z411" s="19" t="n"/>
      <c r="AA411" s="18" t="n"/>
      <c r="AB411" s="38" t="n">
        <v>18.44</v>
      </c>
      <c r="AC411" s="14">
        <f>IFERROR(AVERAGEIFS($E$16:$E$736,$W$16:$W$736,"&gt;="&amp;W411-$C$5,$W$16:$W$736,"&lt;="&amp;W411+$C$5,$B$16:$B$736,B411,$A$16:$A$736,"&lt;&gt;"&amp;A411),"")</f>
        <v/>
      </c>
      <c r="AD411" s="14">
        <f>IF(AND(ISNUMBER(E411),ISNUMBER(AC411)),E411-AC411,"")</f>
        <v/>
      </c>
    </row>
    <row r="412">
      <c r="A412" s="17" t="n">
        <v>45883</v>
      </c>
      <c r="B412" s="29">
        <f>MONTH(A412)</f>
        <v/>
      </c>
      <c r="C412" s="29">
        <f>IF(AND(ISNUMBER(W412),ISNUMBER($C$4),ABS(W412-$C$4)&lt;=$C$5,ABS(MOD(B412-$C$6+6,12)-6)&lt;=$C$7,OR($C$8="Any",P412=$C$8)),1,0)</f>
        <v/>
      </c>
      <c r="D412" s="29">
        <f>IF(C412=1,COUNTIF($C$16:C412,1),"")</f>
        <v/>
      </c>
      <c r="E412" s="18" t="n">
        <v>13.92</v>
      </c>
      <c r="F412" s="18" t="n">
        <v>15.36</v>
      </c>
      <c r="G412" s="18" t="n">
        <v>11.05</v>
      </c>
      <c r="H412" s="38" t="n">
        <v>18.37</v>
      </c>
      <c r="I412" s="38" t="n">
        <v>13.49</v>
      </c>
      <c r="J412" s="13" t="n">
        <v>10353</v>
      </c>
      <c r="K412" s="13" t="n">
        <v>10109.25</v>
      </c>
      <c r="L412" s="13" t="n">
        <v>873</v>
      </c>
      <c r="M412" s="13" t="n">
        <v>1065.58</v>
      </c>
      <c r="N412" s="13" t="n">
        <v>4270</v>
      </c>
      <c r="O412" s="38" t="n">
        <v>24.96</v>
      </c>
      <c r="P412" s="39" t="inlineStr">
        <is>
          <t>Windy</t>
        </is>
      </c>
      <c r="Q412" s="13" t="n">
        <v>1301</v>
      </c>
      <c r="R412" s="13" t="n">
        <v>596.04</v>
      </c>
      <c r="S412" s="13" t="n">
        <v>-301.88</v>
      </c>
      <c r="T412" s="13" t="n">
        <v>9891.32</v>
      </c>
      <c r="U412" s="13" t="n">
        <v>708.85</v>
      </c>
      <c r="V412" s="13" t="n">
        <v>211.52</v>
      </c>
      <c r="W412" s="13" t="n">
        <v>1356.97</v>
      </c>
      <c r="X412" s="13" t="n">
        <v>2148.29</v>
      </c>
      <c r="Y412" s="13" t="n">
        <v>1482.06</v>
      </c>
      <c r="Z412" s="19" t="n"/>
      <c r="AA412" s="18" t="n"/>
      <c r="AB412" s="38" t="n">
        <v>13.9</v>
      </c>
      <c r="AC412" s="14">
        <f>IFERROR(AVERAGEIFS($E$16:$E$736,$W$16:$W$736,"&gt;="&amp;W412-$C$5,$W$16:$W$736,"&lt;="&amp;W412+$C$5,$B$16:$B$736,B412,$A$16:$A$736,"&lt;&gt;"&amp;A412),"")</f>
        <v/>
      </c>
      <c r="AD412" s="14">
        <f>IF(AND(ISNUMBER(E412),ISNUMBER(AC412)),E412-AC412,"")</f>
        <v/>
      </c>
    </row>
    <row r="413">
      <c r="A413" s="17" t="n">
        <v>45882</v>
      </c>
      <c r="B413" s="29">
        <f>MONTH(A413)</f>
        <v/>
      </c>
      <c r="C413" s="29">
        <f>IF(AND(ISNUMBER(W413),ISNUMBER($C$4),ABS(W413-$C$4)&lt;=$C$5,ABS(MOD(B413-$C$6+6,12)-6)&lt;=$C$7,OR($C$8="Any",P413=$C$8)),1,0)</f>
        <v/>
      </c>
      <c r="D413" s="29">
        <f>IF(C413=1,COUNTIF($C$16:C413,1),"")</f>
        <v/>
      </c>
      <c r="E413" s="18" t="n">
        <v>8.25</v>
      </c>
      <c r="F413" s="18" t="n">
        <v>5.95</v>
      </c>
      <c r="G413" s="18" t="n">
        <v>12.84</v>
      </c>
      <c r="H413" s="38" t="n">
        <v>22.43</v>
      </c>
      <c r="I413" s="38" t="n">
        <v>17.46</v>
      </c>
      <c r="J413" s="13" t="n">
        <v>11220</v>
      </c>
      <c r="K413" s="13" t="n">
        <v>10687.81</v>
      </c>
      <c r="L413" s="13" t="n">
        <v>2369.12</v>
      </c>
      <c r="M413" s="13" t="n">
        <v>2068.71</v>
      </c>
      <c r="N413" s="13" t="n">
        <v>4270</v>
      </c>
      <c r="O413" s="38" t="n">
        <v>48.45</v>
      </c>
      <c r="P413" s="39" t="inlineStr">
        <is>
          <t>Windy</t>
        </is>
      </c>
      <c r="Q413" s="13" t="n">
        <v>1548</v>
      </c>
      <c r="R413" s="13" t="n">
        <v>596.04</v>
      </c>
      <c r="S413" s="13" t="n">
        <v>-414.08</v>
      </c>
      <c r="T413" s="13" t="n">
        <v>9867.360000000001</v>
      </c>
      <c r="U413" s="13" t="n">
        <v>694.4</v>
      </c>
      <c r="V413" s="13" t="n">
        <v>112.9</v>
      </c>
      <c r="W413" s="13" t="n">
        <v>2037.25</v>
      </c>
      <c r="X413" s="13" t="n">
        <v>2960.07</v>
      </c>
      <c r="Y413" s="13" t="n">
        <v>2120.8</v>
      </c>
      <c r="Z413" s="19" t="n"/>
      <c r="AA413" s="18" t="n"/>
      <c r="AB413" s="38" t="n">
        <v>22.85</v>
      </c>
      <c r="AC413" s="14">
        <f>IFERROR(AVERAGEIFS($E$16:$E$736,$W$16:$W$736,"&gt;="&amp;W413-$C$5,$W$16:$W$736,"&lt;="&amp;W413+$C$5,$B$16:$B$736,B413,$A$16:$A$736,"&lt;&gt;"&amp;A413),"")</f>
        <v/>
      </c>
      <c r="AD413" s="14">
        <f>IF(AND(ISNUMBER(E413),ISNUMBER(AC413)),E413-AC413,"")</f>
        <v/>
      </c>
    </row>
    <row r="414">
      <c r="A414" s="17" t="n">
        <v>45881</v>
      </c>
      <c r="B414" s="29">
        <f>MONTH(A414)</f>
        <v/>
      </c>
      <c r="C414" s="29">
        <f>IF(AND(ISNUMBER(W414),ISNUMBER($C$4),ABS(W414-$C$4)&lt;=$C$5,ABS(MOD(B414-$C$6+6,12)-6)&lt;=$C$7,OR($C$8="Any",P414=$C$8)),1,0)</f>
        <v/>
      </c>
      <c r="D414" s="29">
        <f>IF(C414=1,COUNTIF($C$16:C414,1),"")</f>
        <v/>
      </c>
      <c r="E414" s="18" t="n">
        <v>36.73</v>
      </c>
      <c r="F414" s="18" t="n">
        <v>41.98</v>
      </c>
      <c r="G414" s="18" t="n">
        <v>26.24</v>
      </c>
      <c r="H414" s="38" t="n">
        <v>26.67</v>
      </c>
      <c r="I414" s="38" t="n">
        <v>19.84</v>
      </c>
      <c r="J414" s="13" t="n">
        <v>11303</v>
      </c>
      <c r="K414" s="13" t="n">
        <v>10793.94</v>
      </c>
      <c r="L414" s="13" t="n">
        <v>1043.44</v>
      </c>
      <c r="M414" s="13" t="n">
        <v>860.96</v>
      </c>
      <c r="N414" s="13" t="n">
        <v>4270</v>
      </c>
      <c r="O414" s="38" t="n">
        <v>20.16</v>
      </c>
      <c r="P414" s="39" t="inlineStr">
        <is>
          <t>Windy</t>
        </is>
      </c>
      <c r="Q414" s="13" t="n">
        <v>1604</v>
      </c>
      <c r="R414" s="13" t="n">
        <v>597.83</v>
      </c>
      <c r="S414" s="13" t="n">
        <v>-152.04</v>
      </c>
      <c r="T414" s="13" t="n">
        <v>9852.48</v>
      </c>
      <c r="U414" s="13" t="n">
        <v>667.46</v>
      </c>
      <c r="V414" s="13" t="n">
        <v>381.85</v>
      </c>
      <c r="W414" s="13" t="n">
        <v>1127.05</v>
      </c>
      <c r="X414" s="13" t="n">
        <v>1870.22</v>
      </c>
      <c r="Y414" s="13" t="n">
        <v>1244.48</v>
      </c>
      <c r="Z414" s="19" t="n"/>
      <c r="AA414" s="18" t="n"/>
      <c r="AB414" s="38" t="n">
        <v>13.96</v>
      </c>
      <c r="AC414" s="14">
        <f>IFERROR(AVERAGEIFS($E$16:$E$736,$W$16:$W$736,"&gt;="&amp;W414-$C$5,$W$16:$W$736,"&lt;="&amp;W414+$C$5,$B$16:$B$736,B414,$A$16:$A$736,"&lt;&gt;"&amp;A414),"")</f>
        <v/>
      </c>
      <c r="AD414" s="14">
        <f>IF(AND(ISNUMBER(E414),ISNUMBER(AC414)),E414-AC414,"")</f>
        <v/>
      </c>
    </row>
    <row r="415">
      <c r="A415" s="17" t="n">
        <v>45880</v>
      </c>
      <c r="B415" s="29">
        <f>MONTH(A415)</f>
        <v/>
      </c>
      <c r="C415" s="29">
        <f>IF(AND(ISNUMBER(W415),ISNUMBER($C$4),ABS(W415-$C$4)&lt;=$C$5,ABS(MOD(B415-$C$6+6,12)-6)&lt;=$C$7,OR($C$8="Any",P415=$C$8)),1,0)</f>
        <v/>
      </c>
      <c r="D415" s="29">
        <f>IF(C415=1,COUNTIF($C$16:C415,1),"")</f>
        <v/>
      </c>
      <c r="E415" s="18" t="n">
        <v>57.84</v>
      </c>
      <c r="F415" s="18" t="n">
        <v>76.34999999999999</v>
      </c>
      <c r="G415" s="18" t="n">
        <v>20.82</v>
      </c>
      <c r="H415" s="38" t="n">
        <v>22.57</v>
      </c>
      <c r="I415" s="38" t="n">
        <v>18.47</v>
      </c>
      <c r="J415" s="13" t="n">
        <v>11227</v>
      </c>
      <c r="K415" s="13" t="n">
        <v>10693.56</v>
      </c>
      <c r="L415" s="13" t="n">
        <v>1277.81</v>
      </c>
      <c r="M415" s="13" t="n">
        <v>1461.29</v>
      </c>
      <c r="N415" s="13" t="n">
        <v>4270</v>
      </c>
      <c r="O415" s="38" t="n">
        <v>34.22</v>
      </c>
      <c r="P415" s="39" t="inlineStr">
        <is>
          <t>Windy</t>
        </is>
      </c>
      <c r="Q415" s="13" t="n">
        <v>1408</v>
      </c>
      <c r="R415" s="13" t="n">
        <v>609.41</v>
      </c>
      <c r="S415" s="13" t="n">
        <v>-383.71</v>
      </c>
      <c r="T415" s="13" t="n">
        <v>9786.700000000001</v>
      </c>
      <c r="U415" s="13" t="n">
        <v>679.64</v>
      </c>
      <c r="V415" s="13" t="n">
        <v>72.43000000000001</v>
      </c>
      <c r="W415" s="13" t="n">
        <v>971.88</v>
      </c>
      <c r="X415" s="13" t="n">
        <v>1840.97</v>
      </c>
      <c r="Y415" s="13" t="n">
        <v>1083.11</v>
      </c>
      <c r="Z415" s="19" t="n"/>
      <c r="AA415" s="18" t="n"/>
      <c r="AB415" s="38" t="n">
        <v>13.95</v>
      </c>
      <c r="AC415" s="14">
        <f>IFERROR(AVERAGEIFS($E$16:$E$736,$W$16:$W$736,"&gt;="&amp;W415-$C$5,$W$16:$W$736,"&lt;="&amp;W415+$C$5,$B$16:$B$736,B415,$A$16:$A$736,"&lt;&gt;"&amp;A415),"")</f>
        <v/>
      </c>
      <c r="AD415" s="14">
        <f>IF(AND(ISNUMBER(E415),ISNUMBER(AC415)),E415-AC415,"")</f>
        <v/>
      </c>
    </row>
    <row r="416">
      <c r="A416" s="17" t="n">
        <v>45879</v>
      </c>
      <c r="B416" s="29">
        <f>MONTH(A416)</f>
        <v/>
      </c>
      <c r="C416" s="29">
        <f>IF(AND(ISNUMBER(W416),ISNUMBER($C$4),ABS(W416-$C$4)&lt;=$C$5,ABS(MOD(B416-$C$6+6,12)-6)&lt;=$C$7,OR($C$8="Any",P416=$C$8)),1,0)</f>
        <v/>
      </c>
      <c r="D416" s="29">
        <f>IF(C416=1,COUNTIF($C$16:C416,1),"")</f>
        <v/>
      </c>
      <c r="E416" s="18" t="n">
        <v>21.51</v>
      </c>
      <c r="F416" s="18" t="n">
        <v>20.91</v>
      </c>
      <c r="G416" s="18" t="n">
        <v>22.71</v>
      </c>
      <c r="H416" s="38" t="n">
        <v>26.17</v>
      </c>
      <c r="I416" s="38" t="n">
        <v>19.93</v>
      </c>
      <c r="J416" s="13" t="n">
        <v>11055</v>
      </c>
      <c r="K416" s="13" t="n">
        <v>10336.38</v>
      </c>
      <c r="L416" s="13" t="n">
        <v>1251.31</v>
      </c>
      <c r="M416" s="13" t="n">
        <v>1188.38</v>
      </c>
      <c r="N416" s="13" t="n">
        <v>4270</v>
      </c>
      <c r="O416" s="38" t="n">
        <v>27.83</v>
      </c>
      <c r="P416" s="39" t="inlineStr">
        <is>
          <t>Windy</t>
        </is>
      </c>
      <c r="Q416" s="13" t="n">
        <v>1596</v>
      </c>
      <c r="R416" s="13" t="n">
        <v>622</v>
      </c>
      <c r="S416" s="13" t="n">
        <v>-744.92</v>
      </c>
      <c r="T416" s="13" t="n">
        <v>9818.32</v>
      </c>
      <c r="U416" s="13" t="n">
        <v>665.37</v>
      </c>
      <c r="V416" s="13" t="n">
        <v>80.98999999999999</v>
      </c>
      <c r="W416" s="13" t="n">
        <v>1011.96</v>
      </c>
      <c r="X416" s="13" t="n">
        <v>1816.79</v>
      </c>
      <c r="Y416" s="13" t="n">
        <v>1151.61</v>
      </c>
      <c r="Z416" s="19" t="n"/>
      <c r="AA416" s="18" t="n"/>
      <c r="AB416" s="38" t="n">
        <v>21.83</v>
      </c>
      <c r="AC416" s="14">
        <f>IFERROR(AVERAGEIFS($E$16:$E$736,$W$16:$W$736,"&gt;="&amp;W416-$C$5,$W$16:$W$736,"&lt;="&amp;W416+$C$5,$B$16:$B$736,B416,$A$16:$A$736,"&lt;&gt;"&amp;A416),"")</f>
        <v/>
      </c>
      <c r="AD416" s="14">
        <f>IF(AND(ISNUMBER(E416),ISNUMBER(AC416)),E416-AC416,"")</f>
        <v/>
      </c>
    </row>
    <row r="417">
      <c r="A417" s="17" t="n">
        <v>45878</v>
      </c>
      <c r="B417" s="29">
        <f>MONTH(A417)</f>
        <v/>
      </c>
      <c r="C417" s="29">
        <f>IF(AND(ISNUMBER(W417),ISNUMBER($C$4),ABS(W417-$C$4)&lt;=$C$5,ABS(MOD(B417-$C$6+6,12)-6)&lt;=$C$7,OR($C$8="Any",P417=$C$8)),1,0)</f>
        <v/>
      </c>
      <c r="D417" s="29">
        <f>IF(C417=1,COUNTIF($C$16:C417,1),"")</f>
        <v/>
      </c>
      <c r="E417" s="18" t="n">
        <v>37.28</v>
      </c>
      <c r="F417" s="18" t="n">
        <v>54.04</v>
      </c>
      <c r="G417" s="18" t="n">
        <v>3.77</v>
      </c>
      <c r="H417" s="38" t="n">
        <v>21.4</v>
      </c>
      <c r="I417" s="38" t="n">
        <v>16.88</v>
      </c>
      <c r="J417" s="13" t="n">
        <v>10590</v>
      </c>
      <c r="K417" s="13" t="n">
        <v>10106.75</v>
      </c>
      <c r="L417" s="13" t="n">
        <v>886.5</v>
      </c>
      <c r="M417" s="13" t="n">
        <v>1351.71</v>
      </c>
      <c r="N417" s="13" t="n">
        <v>4270</v>
      </c>
      <c r="O417" s="38" t="n">
        <v>31.66</v>
      </c>
      <c r="P417" s="39" t="inlineStr">
        <is>
          <t>Windy</t>
        </is>
      </c>
      <c r="Q417" s="13" t="n">
        <v>1507</v>
      </c>
      <c r="R417" s="13" t="n">
        <v>625.7</v>
      </c>
      <c r="S417" s="13" t="n">
        <v>-647.25</v>
      </c>
      <c r="T417" s="13" t="n">
        <v>9638.309999999999</v>
      </c>
      <c r="U417" s="13" t="n">
        <v>684.8</v>
      </c>
      <c r="V417" s="13" t="n">
        <v>430.73</v>
      </c>
      <c r="W417" s="13" t="n">
        <v>1042.29</v>
      </c>
      <c r="X417" s="13" t="n">
        <v>1728.86</v>
      </c>
      <c r="Y417" s="13" t="n">
        <v>1190.85</v>
      </c>
      <c r="Z417" s="19" t="n"/>
      <c r="AA417" s="18" t="n"/>
      <c r="AB417" s="38" t="n">
        <v>15.65</v>
      </c>
      <c r="AC417" s="14">
        <f>IFERROR(AVERAGEIFS($E$16:$E$736,$W$16:$W$736,"&gt;="&amp;W417-$C$5,$W$16:$W$736,"&lt;="&amp;W417+$C$5,$B$16:$B$736,B417,$A$16:$A$736,"&lt;&gt;"&amp;A417),"")</f>
        <v/>
      </c>
      <c r="AD417" s="14">
        <f>IF(AND(ISNUMBER(E417),ISNUMBER(AC417)),E417-AC417,"")</f>
        <v/>
      </c>
    </row>
    <row r="418">
      <c r="A418" s="17" t="n">
        <v>45877</v>
      </c>
      <c r="B418" s="29">
        <f>MONTH(A418)</f>
        <v/>
      </c>
      <c r="C418" s="29">
        <f>IF(AND(ISNUMBER(W418),ISNUMBER($C$4),ABS(W418-$C$4)&lt;=$C$5,ABS(MOD(B418-$C$6+6,12)-6)&lt;=$C$7,OR($C$8="Any",P418=$C$8)),1,0)</f>
        <v/>
      </c>
      <c r="D418" s="29">
        <f>IF(C418=1,COUNTIF($C$16:C418,1),"")</f>
        <v/>
      </c>
      <c r="E418" s="18" t="n">
        <v>5.84</v>
      </c>
      <c r="F418" s="18" t="n">
        <v>4.07</v>
      </c>
      <c r="G418" s="18" t="n">
        <v>9.369999999999999</v>
      </c>
      <c r="H418" s="38" t="n">
        <v>18.5</v>
      </c>
      <c r="I418" s="38" t="n">
        <v>14.72</v>
      </c>
      <c r="J418" s="13" t="n">
        <v>10669</v>
      </c>
      <c r="K418" s="13" t="n">
        <v>10361.56</v>
      </c>
      <c r="L418" s="13" t="n">
        <v>2508.56</v>
      </c>
      <c r="M418" s="13" t="n">
        <v>2188.29</v>
      </c>
      <c r="N418" s="13" t="n">
        <v>4270</v>
      </c>
      <c r="O418" s="38" t="n">
        <v>51.25</v>
      </c>
      <c r="P418" s="39" t="inlineStr">
        <is>
          <t>Windy</t>
        </is>
      </c>
      <c r="Q418" s="13" t="n">
        <v>797</v>
      </c>
      <c r="R418" s="13" t="n">
        <v>609.1799999999999</v>
      </c>
      <c r="S418" s="13" t="n">
        <v>-504</v>
      </c>
      <c r="T418" s="13" t="n">
        <v>9846.299999999999</v>
      </c>
      <c r="U418" s="13" t="n">
        <v>685.36</v>
      </c>
      <c r="V418" s="13" t="n">
        <v>65.23</v>
      </c>
      <c r="W418" s="13" t="n">
        <v>2070.5</v>
      </c>
      <c r="X418" s="13" t="n">
        <v>2703.41</v>
      </c>
      <c r="Y418" s="13" t="n">
        <v>2192.65</v>
      </c>
      <c r="Z418" s="19" t="n"/>
      <c r="AA418" s="18" t="n"/>
      <c r="AB418" s="38" t="n">
        <v>25.55</v>
      </c>
      <c r="AC418" s="14">
        <f>IFERROR(AVERAGEIFS($E$16:$E$736,$W$16:$W$736,"&gt;="&amp;W418-$C$5,$W$16:$W$736,"&lt;="&amp;W418+$C$5,$B$16:$B$736,B418,$A$16:$A$736,"&lt;&gt;"&amp;A418),"")</f>
        <v/>
      </c>
      <c r="AD418" s="14">
        <f>IF(AND(ISNUMBER(E418),ISNUMBER(AC418)),E418-AC418,"")</f>
        <v/>
      </c>
    </row>
    <row r="419">
      <c r="A419" s="17" t="n">
        <v>45874</v>
      </c>
      <c r="B419" s="29">
        <f>MONTH(A419)</f>
        <v/>
      </c>
      <c r="C419" s="29">
        <f>IF(AND(ISNUMBER(W419),ISNUMBER($C$4),ABS(W419-$C$4)&lt;=$C$5,ABS(MOD(B419-$C$6+6,12)-6)&lt;=$C$7,OR($C$8="Any",P419=$C$8)),1,0)</f>
        <v/>
      </c>
      <c r="D419" s="29">
        <f>IF(C419=1,COUNTIF($C$16:C419,1),"")</f>
        <v/>
      </c>
      <c r="E419" s="18" t="n">
        <v>153.48</v>
      </c>
      <c r="F419" s="18" t="n">
        <v>215.36</v>
      </c>
      <c r="G419" s="18" t="n">
        <v>29.73</v>
      </c>
      <c r="H419" s="38" t="n">
        <v>24.13</v>
      </c>
      <c r="I419" s="38" t="n">
        <v>18.14</v>
      </c>
      <c r="J419" s="13" t="n">
        <v>11083</v>
      </c>
      <c r="K419" s="13" t="n">
        <v>10592.19</v>
      </c>
      <c r="L419" s="13" t="n">
        <v>369.12</v>
      </c>
      <c r="M419" s="13" t="n">
        <v>384.79</v>
      </c>
      <c r="N419" s="13" t="n">
        <v>4270</v>
      </c>
      <c r="O419" s="38" t="n">
        <v>9.01</v>
      </c>
      <c r="P419" s="39" t="inlineStr">
        <is>
          <t>Calm</t>
        </is>
      </c>
      <c r="Q419" s="13" t="n">
        <v>1527</v>
      </c>
      <c r="R419" s="13" t="n">
        <v>614.5</v>
      </c>
      <c r="S419" s="13" t="n">
        <v>-145.54</v>
      </c>
      <c r="T419" s="13" t="n">
        <v>9787.77</v>
      </c>
      <c r="U419" s="13" t="n">
        <v>656.14</v>
      </c>
      <c r="V419" s="13" t="n">
        <v>103.77</v>
      </c>
      <c r="W419" s="13" t="n">
        <v>910.97</v>
      </c>
      <c r="X419" s="13" t="n">
        <v>1318.12</v>
      </c>
      <c r="Y419" s="13" t="n">
        <v>1057.89</v>
      </c>
      <c r="Z419" s="19" t="n"/>
      <c r="AA419" s="18" t="n"/>
      <c r="AB419" s="38" t="n">
        <v>14.05</v>
      </c>
      <c r="AC419" s="14">
        <f>IFERROR(AVERAGEIFS($E$16:$E$736,$W$16:$W$736,"&gt;="&amp;W419-$C$5,$W$16:$W$736,"&lt;="&amp;W419+$C$5,$B$16:$B$736,B419,$A$16:$A$736,"&lt;&gt;"&amp;A419),"")</f>
        <v/>
      </c>
      <c r="AD419" s="14">
        <f>IF(AND(ISNUMBER(E419),ISNUMBER(AC419)),E419-AC419,"")</f>
        <v/>
      </c>
    </row>
    <row r="420">
      <c r="A420" s="17" t="n">
        <v>45873</v>
      </c>
      <c r="B420" s="29">
        <f>MONTH(A420)</f>
        <v/>
      </c>
      <c r="C420" s="29">
        <f>IF(AND(ISNUMBER(W420),ISNUMBER($C$4),ABS(W420-$C$4)&lt;=$C$5,ABS(MOD(B420-$C$6+6,12)-6)&lt;=$C$7,OR($C$8="Any",P420=$C$8)),1,0)</f>
        <v/>
      </c>
      <c r="D420" s="29">
        <f>IF(C420=1,COUNTIF($C$16:C420,1),"")</f>
        <v/>
      </c>
      <c r="E420" s="18" t="n">
        <v>19.32</v>
      </c>
      <c r="F420" s="18" t="n">
        <v>12.75</v>
      </c>
      <c r="G420" s="18" t="n">
        <v>32.46</v>
      </c>
      <c r="H420" s="38" t="n">
        <v>21.93</v>
      </c>
      <c r="I420" s="38" t="n">
        <v>17.56</v>
      </c>
      <c r="J420" s="13" t="n">
        <v>10460</v>
      </c>
      <c r="K420" s="13" t="n">
        <v>10060.56</v>
      </c>
      <c r="L420" s="13" t="n">
        <v>794.3099999999999</v>
      </c>
      <c r="M420" s="13" t="n">
        <v>740.96</v>
      </c>
      <c r="N420" s="13" t="n">
        <v>4270</v>
      </c>
      <c r="O420" s="38" t="n">
        <v>17.35</v>
      </c>
      <c r="P420" s="39" t="inlineStr">
        <is>
          <t>Windy</t>
        </is>
      </c>
      <c r="Q420" s="13" t="n">
        <v>1681</v>
      </c>
      <c r="R420" s="13" t="n">
        <v>607.5</v>
      </c>
      <c r="S420" s="13" t="n">
        <v>-382.62</v>
      </c>
      <c r="T420" s="13" t="n">
        <v>9905.950000000001</v>
      </c>
      <c r="U420" s="13" t="n">
        <v>677.42</v>
      </c>
      <c r="V420" s="13" t="n">
        <v>64.91</v>
      </c>
      <c r="W420" s="13" t="n">
        <v>1721.1</v>
      </c>
      <c r="X420" s="13" t="n">
        <v>2140.27</v>
      </c>
      <c r="Y420" s="13" t="n">
        <v>1825.51</v>
      </c>
      <c r="Z420" s="19" t="n"/>
      <c r="AA420" s="18" t="n"/>
      <c r="AB420" s="38" t="n">
        <v>10.68</v>
      </c>
      <c r="AC420" s="14">
        <f>IFERROR(AVERAGEIFS($E$16:$E$736,$W$16:$W$736,"&gt;="&amp;W420-$C$5,$W$16:$W$736,"&lt;="&amp;W420+$C$5,$B$16:$B$736,B420,$A$16:$A$736,"&lt;&gt;"&amp;A420),"")</f>
        <v/>
      </c>
      <c r="AD420" s="14">
        <f>IF(AND(ISNUMBER(E420),ISNUMBER(AC420)),E420-AC420,"")</f>
        <v/>
      </c>
    </row>
    <row r="421">
      <c r="A421" s="17" t="n">
        <v>45872</v>
      </c>
      <c r="B421" s="29">
        <f>MONTH(A421)</f>
        <v/>
      </c>
      <c r="C421" s="29">
        <f>IF(AND(ISNUMBER(W421),ISNUMBER($C$4),ABS(W421-$C$4)&lt;=$C$5,ABS(MOD(B421-$C$6+6,12)-6)&lt;=$C$7,OR($C$8="Any",P421=$C$8)),1,0)</f>
        <v/>
      </c>
      <c r="D421" s="29">
        <f>IF(C421=1,COUNTIF($C$16:C421,1),"")</f>
        <v/>
      </c>
      <c r="E421" s="18" t="n">
        <v>22.18</v>
      </c>
      <c r="F421" s="18" t="n">
        <v>17.58</v>
      </c>
      <c r="G421" s="18" t="n">
        <v>31.39</v>
      </c>
      <c r="H421" s="38" t="n">
        <v>21.67</v>
      </c>
      <c r="I421" s="38" t="n">
        <v>18.13</v>
      </c>
      <c r="J421" s="13" t="n">
        <v>10435</v>
      </c>
      <c r="K421" s="13" t="n">
        <v>10103.81</v>
      </c>
      <c r="L421" s="13" t="n">
        <v>1073.62</v>
      </c>
      <c r="M421" s="13" t="n">
        <v>1001.38</v>
      </c>
      <c r="N421" s="13" t="n">
        <v>4270</v>
      </c>
      <c r="O421" s="38" t="n">
        <v>23.45</v>
      </c>
      <c r="P421" s="39" t="inlineStr">
        <is>
          <t>Windy</t>
        </is>
      </c>
      <c r="Q421" s="13" t="n">
        <v>979</v>
      </c>
      <c r="R421" s="13" t="n">
        <v>605.33</v>
      </c>
      <c r="S421" s="13" t="n">
        <v>-187.42</v>
      </c>
      <c r="T421" s="13" t="n">
        <v>9722.110000000001</v>
      </c>
      <c r="U421" s="13" t="n">
        <v>662.42</v>
      </c>
      <c r="V421" s="13" t="n">
        <v>469.1</v>
      </c>
      <c r="W421" s="13" t="n">
        <v>1432.95</v>
      </c>
      <c r="X421" s="13" t="n">
        <v>2000.75</v>
      </c>
      <c r="Y421" s="13" t="n">
        <v>1619.36</v>
      </c>
      <c r="Z421" s="19" t="n"/>
      <c r="AA421" s="18" t="n"/>
      <c r="AB421" s="38" t="n">
        <v>10.84</v>
      </c>
      <c r="AC421" s="14">
        <f>IFERROR(AVERAGEIFS($E$16:$E$736,$W$16:$W$736,"&gt;="&amp;W421-$C$5,$W$16:$W$736,"&lt;="&amp;W421+$C$5,$B$16:$B$736,B421,$A$16:$A$736,"&lt;&gt;"&amp;A421),"")</f>
        <v/>
      </c>
      <c r="AD421" s="14">
        <f>IF(AND(ISNUMBER(E421),ISNUMBER(AC421)),E421-AC421,"")</f>
        <v/>
      </c>
    </row>
    <row r="422">
      <c r="A422" s="17" t="n">
        <v>45871</v>
      </c>
      <c r="B422" s="29">
        <f>MONTH(A422)</f>
        <v/>
      </c>
      <c r="C422" s="29">
        <f>IF(AND(ISNUMBER(W422),ISNUMBER($C$4),ABS(W422-$C$4)&lt;=$C$5,ABS(MOD(B422-$C$6+6,12)-6)&lt;=$C$7,OR($C$8="Any",P422=$C$8)),1,0)</f>
        <v/>
      </c>
      <c r="D422" s="29">
        <f>IF(C422=1,COUNTIF($C$16:C422,1),"")</f>
        <v/>
      </c>
      <c r="E422" s="18" t="n">
        <v>55.7</v>
      </c>
      <c r="F422" s="18" t="n">
        <v>39.7</v>
      </c>
      <c r="G422" s="18" t="n">
        <v>87.72</v>
      </c>
      <c r="H422" s="38" t="n">
        <v>25.63</v>
      </c>
      <c r="I422" s="38" t="n">
        <v>20.59</v>
      </c>
      <c r="J422" s="13" t="n">
        <v>10982</v>
      </c>
      <c r="K422" s="13" t="n">
        <v>10552.19</v>
      </c>
      <c r="L422" s="13" t="n">
        <v>709.9400000000001</v>
      </c>
      <c r="M422" s="13" t="n">
        <v>593.79</v>
      </c>
      <c r="N422" s="13" t="n">
        <v>4270</v>
      </c>
      <c r="O422" s="38" t="n">
        <v>13.91</v>
      </c>
      <c r="P422" s="39" t="inlineStr">
        <is>
          <t>Calm</t>
        </is>
      </c>
      <c r="Q422" s="13" t="n">
        <v>1428</v>
      </c>
      <c r="R422" s="13" t="n">
        <v>605.03</v>
      </c>
      <c r="S422" s="13" t="n">
        <v>-282.88</v>
      </c>
      <c r="T422" s="13" t="n">
        <v>10157.54</v>
      </c>
      <c r="U422" s="13" t="n">
        <v>641.9400000000001</v>
      </c>
      <c r="V422" s="13" t="n">
        <v>46.99</v>
      </c>
      <c r="W422" s="13" t="n">
        <v>1353.75</v>
      </c>
      <c r="X422" s="13" t="n">
        <v>1860.49</v>
      </c>
      <c r="Y422" s="13" t="n">
        <v>1472.45</v>
      </c>
      <c r="Z422" s="19" t="n"/>
      <c r="AA422" s="18" t="n"/>
      <c r="AB422" s="38" t="n">
        <v>12.66</v>
      </c>
      <c r="AC422" s="14">
        <f>IFERROR(AVERAGEIFS($E$16:$E$736,$W$16:$W$736,"&gt;="&amp;W422-$C$5,$W$16:$W$736,"&lt;="&amp;W422+$C$5,$B$16:$B$736,B422,$A$16:$A$736,"&lt;&gt;"&amp;A422),"")</f>
        <v/>
      </c>
      <c r="AD422" s="14">
        <f>IF(AND(ISNUMBER(E422),ISNUMBER(AC422)),E422-AC422,"")</f>
        <v/>
      </c>
    </row>
    <row r="423">
      <c r="A423" s="17" t="n">
        <v>45870</v>
      </c>
      <c r="B423" s="29">
        <f>MONTH(A423)</f>
        <v/>
      </c>
      <c r="C423" s="29">
        <f>IF(AND(ISNUMBER(W423),ISNUMBER($C$4),ABS(W423-$C$4)&lt;=$C$5,ABS(MOD(B423-$C$6+6,12)-6)&lt;=$C$7,OR($C$8="Any",P423=$C$8)),1,0)</f>
        <v/>
      </c>
      <c r="D423" s="29">
        <f>IF(C423=1,COUNTIF($C$16:C423,1),"")</f>
        <v/>
      </c>
      <c r="E423" s="18" t="n">
        <v>92.76000000000001</v>
      </c>
      <c r="F423" s="18" t="n">
        <v>128.39</v>
      </c>
      <c r="G423" s="18" t="n">
        <v>21.5</v>
      </c>
      <c r="H423" s="38" t="n">
        <v>26.7</v>
      </c>
      <c r="I423" s="38" t="n">
        <v>20.85</v>
      </c>
      <c r="J423" s="13" t="n">
        <v>11427</v>
      </c>
      <c r="K423" s="13" t="n">
        <v>10916.31</v>
      </c>
      <c r="L423" s="13" t="n">
        <v>500.88</v>
      </c>
      <c r="M423" s="13" t="n">
        <v>796.21</v>
      </c>
      <c r="N423" s="13" t="n">
        <v>4270</v>
      </c>
      <c r="O423" s="38" t="n">
        <v>18.65</v>
      </c>
      <c r="P423" s="39" t="inlineStr">
        <is>
          <t>Windy</t>
        </is>
      </c>
      <c r="Q423" s="13" t="n">
        <v>1624</v>
      </c>
      <c r="R423" s="13" t="n">
        <v>604.3200000000001</v>
      </c>
      <c r="S423" s="13" t="n">
        <v>-389.04</v>
      </c>
      <c r="T423" s="13" t="n">
        <v>10165.44</v>
      </c>
      <c r="U423" s="13" t="n">
        <v>629.33</v>
      </c>
      <c r="V423" s="13" t="n">
        <v>138.08</v>
      </c>
      <c r="W423" s="13" t="n">
        <v>1039.53</v>
      </c>
      <c r="X423" s="13" t="n">
        <v>1549.33</v>
      </c>
      <c r="Y423" s="13" t="n">
        <v>1195.94</v>
      </c>
      <c r="Z423" s="19" t="n"/>
      <c r="AA423" s="18" t="n"/>
      <c r="AB423" s="38" t="n">
        <v>12.84</v>
      </c>
      <c r="AC423" s="14">
        <f>IFERROR(AVERAGEIFS($E$16:$E$736,$W$16:$W$736,"&gt;="&amp;W423-$C$5,$W$16:$W$736,"&lt;="&amp;W423+$C$5,$B$16:$B$736,B423,$A$16:$A$736,"&lt;&gt;"&amp;A423),"")</f>
        <v/>
      </c>
      <c r="AD423" s="14">
        <f>IF(AND(ISNUMBER(E423),ISNUMBER(AC423)),E423-AC423,"")</f>
        <v/>
      </c>
    </row>
    <row r="424">
      <c r="A424" s="17" t="n">
        <v>45869</v>
      </c>
      <c r="B424" s="29">
        <f>MONTH(A424)</f>
        <v/>
      </c>
      <c r="C424" s="29">
        <f>IF(AND(ISNUMBER(W424),ISNUMBER($C$4),ABS(W424-$C$4)&lt;=$C$5,ABS(MOD(B424-$C$6+6,12)-6)&lt;=$C$7,OR($C$8="Any",P424=$C$8)),1,0)</f>
        <v/>
      </c>
      <c r="D424" s="29">
        <f>IF(C424=1,COUNTIF($C$16:C424,1),"")</f>
        <v/>
      </c>
      <c r="E424" s="18" t="n">
        <v>46.53</v>
      </c>
      <c r="F424" s="18" t="n">
        <v>68.97</v>
      </c>
      <c r="G424" s="18" t="n">
        <v>1.66</v>
      </c>
      <c r="H424" s="38" t="n">
        <v>26.37</v>
      </c>
      <c r="I424" s="38" t="n">
        <v>20.54</v>
      </c>
      <c r="J424" s="13" t="n">
        <v>11574</v>
      </c>
      <c r="K424" s="13" t="n">
        <v>11096.12</v>
      </c>
      <c r="L424" s="13" t="n">
        <v>1100.25</v>
      </c>
      <c r="M424" s="13" t="n">
        <v>1480.04</v>
      </c>
      <c r="N424" s="13" t="n">
        <v>4270</v>
      </c>
      <c r="O424" s="38" t="n">
        <v>34.66</v>
      </c>
      <c r="P424" s="39" t="inlineStr">
        <is>
          <t>Windy</t>
        </is>
      </c>
      <c r="Q424" s="13" t="n">
        <v>1655</v>
      </c>
      <c r="R424" s="13" t="n">
        <v>596.9400000000001</v>
      </c>
      <c r="S424" s="13" t="n">
        <v>-268.71</v>
      </c>
      <c r="T424" s="13" t="n">
        <v>9638.27</v>
      </c>
      <c r="U424" s="13" t="n">
        <v>546.8</v>
      </c>
      <c r="V424" s="13" t="n">
        <v>544.05</v>
      </c>
      <c r="W424" s="13" t="n">
        <v>872.0599999999999</v>
      </c>
      <c r="X424" s="13" t="n">
        <v>1468.44</v>
      </c>
      <c r="Y424" s="13" t="n">
        <v>1085.77</v>
      </c>
      <c r="Z424" s="19" t="n"/>
      <c r="AA424" s="18" t="n"/>
      <c r="AB424" s="38" t="n">
        <v>17.96</v>
      </c>
      <c r="AC424" s="14">
        <f>IFERROR(AVERAGEIFS($E$16:$E$736,$W$16:$W$736,"&gt;="&amp;W424-$C$5,$W$16:$W$736,"&lt;="&amp;W424+$C$5,$B$16:$B$736,B424,$A$16:$A$736,"&lt;&gt;"&amp;A424),"")</f>
        <v/>
      </c>
      <c r="AD424" s="14">
        <f>IF(AND(ISNUMBER(E424),ISNUMBER(AC424)),E424-AC424,"")</f>
        <v/>
      </c>
    </row>
    <row r="425">
      <c r="A425" s="17" t="n">
        <v>45868</v>
      </c>
      <c r="B425" s="29">
        <f>MONTH(A425)</f>
        <v/>
      </c>
      <c r="C425" s="29">
        <f>IF(AND(ISNUMBER(W425),ISNUMBER($C$4),ABS(W425-$C$4)&lt;=$C$5,ABS(MOD(B425-$C$6+6,12)-6)&lt;=$C$7,OR($C$8="Any",P425=$C$8)),1,0)</f>
        <v/>
      </c>
      <c r="D425" s="29">
        <f>IF(C425=1,COUNTIF($C$16:C425,1),"")</f>
        <v/>
      </c>
      <c r="E425" s="18" t="n">
        <v>86.43000000000001</v>
      </c>
      <c r="F425" s="18" t="n">
        <v>128.39</v>
      </c>
      <c r="G425" s="18" t="n">
        <v>2.5</v>
      </c>
      <c r="H425" s="38" t="n">
        <v>25.57</v>
      </c>
      <c r="I425" s="38" t="n">
        <v>19.3</v>
      </c>
      <c r="J425" s="13" t="n">
        <v>11484</v>
      </c>
      <c r="K425" s="13" t="n">
        <v>10972.44</v>
      </c>
      <c r="L425" s="13" t="n">
        <v>1020.69</v>
      </c>
      <c r="M425" s="13" t="n">
        <v>1373.83</v>
      </c>
      <c r="N425" s="13" t="n">
        <v>4270</v>
      </c>
      <c r="O425" s="38" t="n">
        <v>32.17</v>
      </c>
      <c r="P425" s="39" t="inlineStr">
        <is>
          <t>Windy</t>
        </is>
      </c>
      <c r="Q425" s="13" t="n">
        <v>1672</v>
      </c>
      <c r="R425" s="13" t="n">
        <v>603.38</v>
      </c>
      <c r="S425" s="13" t="n">
        <v>-341.5</v>
      </c>
      <c r="T425" s="13" t="n">
        <v>9938.879999999999</v>
      </c>
      <c r="U425" s="13" t="n">
        <v>544.09</v>
      </c>
      <c r="V425" s="13" t="n">
        <v>267.43</v>
      </c>
      <c r="W425" s="13" t="n">
        <v>544.72</v>
      </c>
      <c r="X425" s="13" t="n">
        <v>1684.2</v>
      </c>
      <c r="Y425" s="13" t="n">
        <v>826.86</v>
      </c>
      <c r="Z425" s="19" t="n"/>
      <c r="AA425" s="18" t="n"/>
      <c r="AB425" s="38" t="n">
        <v>15.42</v>
      </c>
      <c r="AC425" s="14">
        <f>IFERROR(AVERAGEIFS($E$16:$E$736,$W$16:$W$736,"&gt;="&amp;W425-$C$5,$W$16:$W$736,"&lt;="&amp;W425+$C$5,$B$16:$B$736,B425,$A$16:$A$736,"&lt;&gt;"&amp;A425),"")</f>
        <v/>
      </c>
      <c r="AD425" s="14">
        <f>IF(AND(ISNUMBER(E425),ISNUMBER(AC425)),E425-AC425,"")</f>
        <v/>
      </c>
    </row>
    <row r="426">
      <c r="A426" s="17" t="n">
        <v>45865</v>
      </c>
      <c r="B426" s="29">
        <f>MONTH(A426)</f>
        <v/>
      </c>
      <c r="C426" s="29">
        <f>IF(AND(ISNUMBER(W426),ISNUMBER($C$4),ABS(W426-$C$4)&lt;=$C$5,ABS(MOD(B426-$C$6+6,12)-6)&lt;=$C$7,OR($C$8="Any",P426=$C$8)),1,0)</f>
        <v/>
      </c>
      <c r="D426" s="29">
        <f>IF(C426=1,COUNTIF($C$16:C426,1),"")</f>
        <v/>
      </c>
      <c r="E426" s="18" t="n">
        <v>11.74</v>
      </c>
      <c r="F426" s="18" t="n">
        <v>12.75</v>
      </c>
      <c r="G426" s="18" t="n">
        <v>9.710000000000001</v>
      </c>
      <c r="H426" s="38" t="n">
        <v>18.47</v>
      </c>
      <c r="I426" s="38" t="n">
        <v>14.69</v>
      </c>
      <c r="J426" s="13" t="n">
        <v>10215</v>
      </c>
      <c r="K426" s="13" t="n">
        <v>9880.5</v>
      </c>
      <c r="L426" s="13" t="n">
        <v>473.56</v>
      </c>
      <c r="M426" s="13" t="n">
        <v>517</v>
      </c>
      <c r="N426" s="13" t="n">
        <v>4270</v>
      </c>
      <c r="O426" s="38" t="n">
        <v>12.11</v>
      </c>
      <c r="P426" s="39" t="inlineStr">
        <is>
          <t>Calm</t>
        </is>
      </c>
      <c r="Q426" s="13" t="n">
        <v>1323</v>
      </c>
      <c r="R426" s="13" t="n">
        <v>820.04</v>
      </c>
      <c r="S426" s="13" t="n">
        <v>-568.38</v>
      </c>
      <c r="T426" s="13" t="n">
        <v>10513.06</v>
      </c>
      <c r="U426" s="13" t="n">
        <v>702.7</v>
      </c>
      <c r="V426" s="13" t="n">
        <v>109.75</v>
      </c>
      <c r="W426" s="13" t="n">
        <v>1229.64</v>
      </c>
      <c r="X426" s="13" t="n">
        <v>2138.55</v>
      </c>
      <c r="Y426" s="13" t="n">
        <v>1544.28</v>
      </c>
      <c r="Z426" s="19" t="n"/>
      <c r="AA426" s="18" t="n"/>
      <c r="AB426" s="38" t="n">
        <v>9.84</v>
      </c>
      <c r="AC426" s="14">
        <f>IFERROR(AVERAGEIFS($E$16:$E$736,$W$16:$W$736,"&gt;="&amp;W426-$C$5,$W$16:$W$736,"&lt;="&amp;W426+$C$5,$B$16:$B$736,B426,$A$16:$A$736,"&lt;&gt;"&amp;A426),"")</f>
        <v/>
      </c>
      <c r="AD426" s="14">
        <f>IF(AND(ISNUMBER(E426),ISNUMBER(AC426)),E426-AC426,"")</f>
        <v/>
      </c>
    </row>
    <row r="427">
      <c r="A427" s="17" t="n">
        <v>45864</v>
      </c>
      <c r="B427" s="29">
        <f>MONTH(A427)</f>
        <v/>
      </c>
      <c r="C427" s="29">
        <f>IF(AND(ISNUMBER(W427),ISNUMBER($C$4),ABS(W427-$C$4)&lt;=$C$5,ABS(MOD(B427-$C$6+6,12)-6)&lt;=$C$7,OR($C$8="Any",P427=$C$8)),1,0)</f>
        <v/>
      </c>
      <c r="D427" s="29">
        <f>IF(C427=1,COUNTIF($C$16:C427,1),"")</f>
        <v/>
      </c>
      <c r="E427" s="18" t="n">
        <v>9.210000000000001</v>
      </c>
      <c r="F427" s="18" t="n">
        <v>10.59</v>
      </c>
      <c r="G427" s="18" t="n">
        <v>6.46</v>
      </c>
      <c r="H427" s="38" t="n">
        <v>19.2</v>
      </c>
      <c r="I427" s="38" t="n">
        <v>14.98</v>
      </c>
      <c r="J427" s="13" t="n">
        <v>10162</v>
      </c>
      <c r="K427" s="13" t="n">
        <v>9821.440000000001</v>
      </c>
      <c r="L427" s="13" t="n">
        <v>506.69</v>
      </c>
      <c r="M427" s="13" t="n">
        <v>722.46</v>
      </c>
      <c r="N427" s="13" t="n">
        <v>4270</v>
      </c>
      <c r="O427" s="38" t="n">
        <v>16.92</v>
      </c>
      <c r="P427" s="39" t="inlineStr">
        <is>
          <t>Windy</t>
        </is>
      </c>
      <c r="Q427" s="13" t="n">
        <v>1396</v>
      </c>
      <c r="R427" s="13" t="n">
        <v>822.36</v>
      </c>
      <c r="S427" s="13" t="n">
        <v>-524.92</v>
      </c>
      <c r="T427" s="13" t="n">
        <v>10504.65</v>
      </c>
      <c r="U427" s="13" t="n">
        <v>712.48</v>
      </c>
      <c r="V427" s="13" t="n">
        <v>28.33</v>
      </c>
      <c r="W427" s="13" t="n">
        <v>2189.02</v>
      </c>
      <c r="X427" s="13" t="n">
        <v>2474.64</v>
      </c>
      <c r="Y427" s="13" t="n">
        <v>2494.92</v>
      </c>
      <c r="Z427" s="19" t="n"/>
      <c r="AA427" s="18" t="n"/>
      <c r="AB427" s="38" t="n">
        <v>10.53</v>
      </c>
      <c r="AC427" s="14">
        <f>IFERROR(AVERAGEIFS($E$16:$E$736,$W$16:$W$736,"&gt;="&amp;W427-$C$5,$W$16:$W$736,"&lt;="&amp;W427+$C$5,$B$16:$B$736,B427,$A$16:$A$736,"&lt;&gt;"&amp;A427),"")</f>
        <v/>
      </c>
      <c r="AD427" s="14">
        <f>IF(AND(ISNUMBER(E427),ISNUMBER(AC427)),E427-AC427,"")</f>
        <v/>
      </c>
    </row>
    <row r="428">
      <c r="A428" s="17" t="n">
        <v>45863</v>
      </c>
      <c r="B428" s="29">
        <f>MONTH(A428)</f>
        <v/>
      </c>
      <c r="C428" s="29">
        <f>IF(AND(ISNUMBER(W428),ISNUMBER($C$4),ABS(W428-$C$4)&lt;=$C$5,ABS(MOD(B428-$C$6+6,12)-6)&lt;=$C$7,OR($C$8="Any",P428=$C$8)),1,0)</f>
        <v/>
      </c>
      <c r="D428" s="29">
        <f>IF(C428=1,COUNTIF($C$16:C428,1),"")</f>
        <v/>
      </c>
      <c r="E428" s="18" t="n">
        <v>6.71</v>
      </c>
      <c r="F428" s="18" t="n">
        <v>9.43</v>
      </c>
      <c r="G428" s="18" t="n">
        <v>1.26</v>
      </c>
      <c r="H428" s="38" t="n">
        <v>21.47</v>
      </c>
      <c r="I428" s="38" t="n">
        <v>17.55</v>
      </c>
      <c r="J428" s="13" t="n">
        <v>10579</v>
      </c>
      <c r="K428" s="13" t="n">
        <v>10244.75</v>
      </c>
      <c r="L428" s="13" t="n">
        <v>1064.38</v>
      </c>
      <c r="M428" s="13" t="n">
        <v>1444.96</v>
      </c>
      <c r="N428" s="13" t="n">
        <v>4270</v>
      </c>
      <c r="O428" s="38" t="n">
        <v>33.84</v>
      </c>
      <c r="P428" s="39" t="inlineStr">
        <is>
          <t>Windy</t>
        </is>
      </c>
      <c r="Q428" s="13" t="n">
        <v>1618</v>
      </c>
      <c r="R428" s="13" t="n">
        <v>832.92</v>
      </c>
      <c r="S428" s="13" t="n">
        <v>-512</v>
      </c>
      <c r="T428" s="13" t="n">
        <v>10169.24</v>
      </c>
      <c r="U428" s="13" t="n">
        <v>712.42</v>
      </c>
      <c r="V428" s="13" t="n">
        <v>189.32</v>
      </c>
      <c r="W428" s="13" t="n">
        <v>1796.59</v>
      </c>
      <c r="X428" s="13" t="n">
        <v>2402.36</v>
      </c>
      <c r="Y428" s="13" t="n">
        <v>2100.27</v>
      </c>
      <c r="Z428" s="19" t="n"/>
      <c r="AA428" s="18" t="n"/>
      <c r="AB428" s="38" t="n">
        <v>16.55</v>
      </c>
      <c r="AC428" s="14">
        <f>IFERROR(AVERAGEIFS($E$16:$E$736,$W$16:$W$736,"&gt;="&amp;W428-$C$5,$W$16:$W$736,"&lt;="&amp;W428+$C$5,$B$16:$B$736,B428,$A$16:$A$736,"&lt;&gt;"&amp;A428),"")</f>
        <v/>
      </c>
      <c r="AD428" s="14">
        <f>IF(AND(ISNUMBER(E428),ISNUMBER(AC428)),E428-AC428,"")</f>
        <v/>
      </c>
    </row>
    <row r="429">
      <c r="A429" s="17" t="n">
        <v>45862</v>
      </c>
      <c r="B429" s="29">
        <f>MONTH(A429)</f>
        <v/>
      </c>
      <c r="C429" s="29">
        <f>IF(AND(ISNUMBER(W429),ISNUMBER($C$4),ABS(W429-$C$4)&lt;=$C$5,ABS(MOD(B429-$C$6+6,12)-6)&lt;=$C$7,OR($C$8="Any",P429=$C$8)),1,0)</f>
        <v/>
      </c>
      <c r="D429" s="29">
        <f>IF(C429=1,COUNTIF($C$16:C429,1),"")</f>
        <v/>
      </c>
      <c r="E429" s="18" t="n">
        <v>9.82</v>
      </c>
      <c r="F429" s="18" t="n">
        <v>13.4</v>
      </c>
      <c r="G429" s="18" t="n">
        <v>2.67</v>
      </c>
      <c r="H429" s="38" t="n">
        <v>25.27</v>
      </c>
      <c r="I429" s="38" t="n">
        <v>18.66</v>
      </c>
      <c r="J429" s="13" t="n">
        <v>11237</v>
      </c>
      <c r="K429" s="13" t="n">
        <v>10782.19</v>
      </c>
      <c r="L429" s="13" t="n">
        <v>1618.75</v>
      </c>
      <c r="M429" s="13" t="n">
        <v>1856.5</v>
      </c>
      <c r="N429" s="13" t="n">
        <v>4270</v>
      </c>
      <c r="O429" s="38" t="n">
        <v>43.48</v>
      </c>
      <c r="P429" s="39" t="inlineStr">
        <is>
          <t>Windy</t>
        </is>
      </c>
      <c r="Q429" s="13" t="n">
        <v>1615</v>
      </c>
      <c r="R429" s="13" t="n">
        <v>845.62</v>
      </c>
      <c r="S429" s="13" t="n">
        <v>-587.92</v>
      </c>
      <c r="T429" s="13" t="n">
        <v>10220.58</v>
      </c>
      <c r="U429" s="13" t="n">
        <v>690.58</v>
      </c>
      <c r="V429" s="13" t="n">
        <v>196.52</v>
      </c>
      <c r="W429" s="13" t="n">
        <v>1574.79</v>
      </c>
      <c r="X429" s="13" t="n">
        <v>2493.58</v>
      </c>
      <c r="Y429" s="13" t="n">
        <v>1915.14</v>
      </c>
      <c r="Z429" s="19" t="n"/>
      <c r="AA429" s="18" t="n"/>
      <c r="AB429" s="38" t="n">
        <v>18.18</v>
      </c>
      <c r="AC429" s="14">
        <f>IFERROR(AVERAGEIFS($E$16:$E$736,$W$16:$W$736,"&gt;="&amp;W429-$C$5,$W$16:$W$736,"&lt;="&amp;W429+$C$5,$B$16:$B$736,B429,$A$16:$A$736,"&lt;&gt;"&amp;A429),"")</f>
        <v/>
      </c>
      <c r="AD429" s="14">
        <f>IF(AND(ISNUMBER(E429),ISNUMBER(AC429)),E429-AC429,"")</f>
        <v/>
      </c>
    </row>
    <row r="430">
      <c r="A430" s="17" t="n">
        <v>45861</v>
      </c>
      <c r="B430" s="29">
        <f>MONTH(A430)</f>
        <v/>
      </c>
      <c r="C430" s="29">
        <f>IF(AND(ISNUMBER(W430),ISNUMBER($C$4),ABS(W430-$C$4)&lt;=$C$5,ABS(MOD(B430-$C$6+6,12)-6)&lt;=$C$7,OR($C$8="Any",P430=$C$8)),1,0)</f>
        <v/>
      </c>
      <c r="D430" s="29">
        <f>IF(C430=1,COUNTIF($C$16:C430,1),"")</f>
        <v/>
      </c>
      <c r="E430" s="18" t="n">
        <v>23.14</v>
      </c>
      <c r="F430" s="18" t="n">
        <v>23.94</v>
      </c>
      <c r="G430" s="18" t="n">
        <v>21.52</v>
      </c>
      <c r="H430" s="38" t="n">
        <v>20.63</v>
      </c>
      <c r="I430" s="38" t="n">
        <v>14.22</v>
      </c>
      <c r="J430" s="13" t="n">
        <v>10635</v>
      </c>
      <c r="K430" s="13" t="n">
        <v>10263.94</v>
      </c>
      <c r="L430" s="13" t="n">
        <v>571.25</v>
      </c>
      <c r="M430" s="13" t="n">
        <v>521.25</v>
      </c>
      <c r="N430" s="13" t="n">
        <v>4270</v>
      </c>
      <c r="O430" s="38" t="n">
        <v>12.21</v>
      </c>
      <c r="P430" s="39" t="inlineStr">
        <is>
          <t>Calm</t>
        </is>
      </c>
      <c r="Q430" s="13" t="n">
        <v>1627</v>
      </c>
      <c r="R430" s="13" t="n">
        <v>850.6</v>
      </c>
      <c r="S430" s="13" t="n">
        <v>-556.88</v>
      </c>
      <c r="T430" s="13" t="n">
        <v>10416.31</v>
      </c>
      <c r="U430" s="13" t="n">
        <v>678.65</v>
      </c>
      <c r="V430" s="13" t="n">
        <v>117.94</v>
      </c>
      <c r="W430" s="13" t="n">
        <v>1055.64</v>
      </c>
      <c r="X430" s="13" t="n">
        <v>2033.46</v>
      </c>
      <c r="Y430" s="13" t="n">
        <v>1429.76</v>
      </c>
      <c r="Z430" s="19" t="n"/>
      <c r="AA430" s="18" t="n"/>
      <c r="AB430" s="38" t="n">
        <v>15.19</v>
      </c>
      <c r="AC430" s="14">
        <f>IFERROR(AVERAGEIFS($E$16:$E$736,$W$16:$W$736,"&gt;="&amp;W430-$C$5,$W$16:$W$736,"&lt;="&amp;W430+$C$5,$B$16:$B$736,B430,$A$16:$A$736,"&lt;&gt;"&amp;A430),"")</f>
        <v/>
      </c>
      <c r="AD430" s="14">
        <f>IF(AND(ISNUMBER(E430),ISNUMBER(AC430)),E430-AC430,"")</f>
        <v/>
      </c>
    </row>
    <row r="431">
      <c r="A431" s="17" t="n">
        <v>45860</v>
      </c>
      <c r="B431" s="29">
        <f>MONTH(A431)</f>
        <v/>
      </c>
      <c r="C431" s="29">
        <f>IF(AND(ISNUMBER(W431),ISNUMBER($C$4),ABS(W431-$C$4)&lt;=$C$5,ABS(MOD(B431-$C$6+6,12)-6)&lt;=$C$7,OR($C$8="Any",P431=$C$8)),1,0)</f>
        <v/>
      </c>
      <c r="D431" s="29">
        <f>IF(C431=1,COUNTIF($C$16:C431,1),"")</f>
        <v/>
      </c>
      <c r="E431" s="18" t="n">
        <v>21.21</v>
      </c>
      <c r="F431" s="18" t="n">
        <v>21.96</v>
      </c>
      <c r="G431" s="18" t="n">
        <v>19.7</v>
      </c>
      <c r="H431" s="38" t="n">
        <v>13.63</v>
      </c>
      <c r="I431" s="38" t="n">
        <v>11.26</v>
      </c>
      <c r="J431" s="13" t="n">
        <v>10403</v>
      </c>
      <c r="K431" s="13" t="n">
        <v>10237</v>
      </c>
      <c r="L431" s="13" t="n">
        <v>1082.75</v>
      </c>
      <c r="M431" s="13" t="n">
        <v>1076</v>
      </c>
      <c r="N431" s="13" t="n">
        <v>4270</v>
      </c>
      <c r="O431" s="38" t="n">
        <v>25.2</v>
      </c>
      <c r="P431" s="39" t="inlineStr">
        <is>
          <t>Windy</t>
        </is>
      </c>
      <c r="Q431" s="13" t="n">
        <v>342</v>
      </c>
      <c r="R431" s="13" t="n">
        <v>844.5700000000001</v>
      </c>
      <c r="S431" s="13" t="n">
        <v>-444.38</v>
      </c>
      <c r="T431" s="13" t="n">
        <v>10371.48</v>
      </c>
      <c r="U431" s="13" t="n">
        <v>684.13</v>
      </c>
      <c r="V431" s="13" t="n">
        <v>489.54</v>
      </c>
      <c r="W431" s="13" t="n">
        <v>1351.2</v>
      </c>
      <c r="X431" s="13" t="n">
        <v>1927.37</v>
      </c>
      <c r="Y431" s="13" t="n">
        <v>1718.33</v>
      </c>
      <c r="Z431" s="19" t="n"/>
      <c r="AA431" s="18" t="n"/>
      <c r="AB431" s="38" t="n">
        <v>11.45</v>
      </c>
      <c r="AC431" s="14">
        <f>IFERROR(AVERAGEIFS($E$16:$E$736,$W$16:$W$736,"&gt;="&amp;W431-$C$5,$W$16:$W$736,"&lt;="&amp;W431+$C$5,$B$16:$B$736,B431,$A$16:$A$736,"&lt;&gt;"&amp;A431),"")</f>
        <v/>
      </c>
      <c r="AD431" s="14">
        <f>IF(AND(ISNUMBER(E431),ISNUMBER(AC431)),E431-AC431,"")</f>
        <v/>
      </c>
    </row>
    <row r="432">
      <c r="A432" s="17" t="n">
        <v>45859</v>
      </c>
      <c r="B432" s="29">
        <f>MONTH(A432)</f>
        <v/>
      </c>
      <c r="C432" s="29">
        <f>IF(AND(ISNUMBER(W432),ISNUMBER($C$4),ABS(W432-$C$4)&lt;=$C$5,ABS(MOD(B432-$C$6+6,12)-6)&lt;=$C$7,OR($C$8="Any",P432=$C$8)),1,0)</f>
        <v/>
      </c>
      <c r="D432" s="29">
        <f>IF(C432=1,COUNTIF($C$16:C432,1),"")</f>
        <v/>
      </c>
      <c r="E432" s="18" t="n">
        <v>35.13</v>
      </c>
      <c r="F432" s="18" t="n">
        <v>37.09</v>
      </c>
      <c r="G432" s="18" t="n">
        <v>31.2</v>
      </c>
      <c r="H432" s="38" t="n">
        <v>16.23</v>
      </c>
      <c r="I432" s="38" t="n">
        <v>13.64</v>
      </c>
      <c r="J432" s="13" t="n">
        <v>10635</v>
      </c>
      <c r="K432" s="13" t="n">
        <v>10360.88</v>
      </c>
      <c r="L432" s="13" t="n">
        <v>481.88</v>
      </c>
      <c r="M432" s="13" t="n">
        <v>537.08</v>
      </c>
      <c r="N432" s="13" t="n">
        <v>4270</v>
      </c>
      <c r="O432" s="38" t="n">
        <v>12.58</v>
      </c>
      <c r="P432" s="39" t="inlineStr">
        <is>
          <t>Calm</t>
        </is>
      </c>
      <c r="Q432" s="13" t="n">
        <v>1200</v>
      </c>
      <c r="R432" s="13" t="n">
        <v>837.42</v>
      </c>
      <c r="S432" s="13" t="n">
        <v>-256.46</v>
      </c>
      <c r="T432" s="13" t="n">
        <v>10030.26</v>
      </c>
      <c r="U432" s="13" t="n">
        <v>680.0700000000001</v>
      </c>
      <c r="V432" s="13" t="n">
        <v>12.19</v>
      </c>
      <c r="W432" s="13" t="n">
        <v>1284.78</v>
      </c>
      <c r="X432" s="13" t="n">
        <v>1512.62</v>
      </c>
      <c r="Y432" s="13" t="n">
        <v>1594.19</v>
      </c>
      <c r="Z432" s="19" t="n"/>
      <c r="AA432" s="18" t="n"/>
      <c r="AB432" s="38" t="n">
        <v>12.54</v>
      </c>
      <c r="AC432" s="14">
        <f>IFERROR(AVERAGEIFS($E$16:$E$736,$W$16:$W$736,"&gt;="&amp;W432-$C$5,$W$16:$W$736,"&lt;="&amp;W432+$C$5,$B$16:$B$736,B432,$A$16:$A$736,"&lt;&gt;"&amp;A432),"")</f>
        <v/>
      </c>
      <c r="AD432" s="14">
        <f>IF(AND(ISNUMBER(E432),ISNUMBER(AC432)),E432-AC432,"")</f>
        <v/>
      </c>
    </row>
    <row r="433">
      <c r="A433" s="17" t="n">
        <v>45858</v>
      </c>
      <c r="B433" s="29">
        <f>MONTH(A433)</f>
        <v/>
      </c>
      <c r="C433" s="29">
        <f>IF(AND(ISNUMBER(W433),ISNUMBER($C$4),ABS(W433-$C$4)&lt;=$C$5,ABS(MOD(B433-$C$6+6,12)-6)&lt;=$C$7,OR($C$8="Any",P433=$C$8)),1,0)</f>
        <v/>
      </c>
      <c r="D433" s="29">
        <f>IF(C433=1,COUNTIF($C$16:C433,1),"")</f>
        <v/>
      </c>
      <c r="E433" s="18" t="n">
        <v>25.61</v>
      </c>
      <c r="F433" s="18" t="n">
        <v>24.81</v>
      </c>
      <c r="G433" s="18" t="n">
        <v>27.2</v>
      </c>
      <c r="H433" s="38" t="n">
        <v>19.13</v>
      </c>
      <c r="I433" s="38" t="n">
        <v>15.12</v>
      </c>
      <c r="J433" s="13" t="n">
        <v>10241</v>
      </c>
      <c r="K433" s="13" t="n">
        <v>9897.940000000001</v>
      </c>
      <c r="L433" s="13" t="n">
        <v>606.5</v>
      </c>
      <c r="M433" s="13" t="n">
        <v>648.67</v>
      </c>
      <c r="N433" s="13" t="n">
        <v>4270</v>
      </c>
      <c r="O433" s="38" t="n">
        <v>15.19</v>
      </c>
      <c r="P433" s="39" t="inlineStr">
        <is>
          <t>Calm</t>
        </is>
      </c>
      <c r="Q433" s="13" t="n">
        <v>1413</v>
      </c>
      <c r="R433" s="13" t="n">
        <v>841.46</v>
      </c>
      <c r="S433" s="13" t="n">
        <v>-434.17</v>
      </c>
      <c r="T433" s="13" t="n">
        <v>9912.379999999999</v>
      </c>
      <c r="U433" s="13" t="n">
        <v>696.98</v>
      </c>
      <c r="V433" s="13" t="n">
        <v>24.39</v>
      </c>
      <c r="W433" s="13" t="n">
        <v>1415.99</v>
      </c>
      <c r="X433" s="13" t="n">
        <v>1965.1</v>
      </c>
      <c r="Y433" s="13" t="n">
        <v>1743.08</v>
      </c>
      <c r="Z433" s="19" t="n"/>
      <c r="AA433" s="18" t="n"/>
      <c r="AB433" s="38" t="n">
        <v>11.59</v>
      </c>
      <c r="AC433" s="14">
        <f>IFERROR(AVERAGEIFS($E$16:$E$736,$W$16:$W$736,"&gt;="&amp;W433-$C$5,$W$16:$W$736,"&lt;="&amp;W433+$C$5,$B$16:$B$736,B433,$A$16:$A$736,"&lt;&gt;"&amp;A433),"")</f>
        <v/>
      </c>
      <c r="AD433" s="14">
        <f>IF(AND(ISNUMBER(E433),ISNUMBER(AC433)),E433-AC433,"")</f>
        <v/>
      </c>
    </row>
    <row r="434">
      <c r="A434" s="17" t="n">
        <v>45857</v>
      </c>
      <c r="B434" s="29">
        <f>MONTH(A434)</f>
        <v/>
      </c>
      <c r="C434" s="29">
        <f>IF(AND(ISNUMBER(W434),ISNUMBER($C$4),ABS(W434-$C$4)&lt;=$C$5,ABS(MOD(B434-$C$6+6,12)-6)&lt;=$C$7,OR($C$8="Any",P434=$C$8)),1,0)</f>
        <v/>
      </c>
      <c r="D434" s="29">
        <f>IF(C434=1,COUNTIF($C$16:C434,1),"")</f>
        <v/>
      </c>
      <c r="E434" s="18" t="n">
        <v>18.89</v>
      </c>
      <c r="F434" s="18" t="n">
        <v>21.95</v>
      </c>
      <c r="G434" s="18" t="n">
        <v>12.76</v>
      </c>
      <c r="H434" s="38" t="n">
        <v>18.07</v>
      </c>
      <c r="I434" s="38" t="n">
        <v>15.83</v>
      </c>
      <c r="J434" s="13" t="n">
        <v>10216</v>
      </c>
      <c r="K434" s="13" t="n">
        <v>9943.5</v>
      </c>
      <c r="L434" s="13" t="n">
        <v>779.1900000000001</v>
      </c>
      <c r="M434" s="13" t="n">
        <v>1122.71</v>
      </c>
      <c r="N434" s="13" t="n">
        <v>4270</v>
      </c>
      <c r="O434" s="38" t="n">
        <v>26.29</v>
      </c>
      <c r="P434" s="39" t="inlineStr">
        <is>
          <t>Windy</t>
        </is>
      </c>
      <c r="Q434" s="13" t="n">
        <v>1406</v>
      </c>
      <c r="R434" s="13" t="n">
        <v>842.36</v>
      </c>
      <c r="S434" s="13" t="n">
        <v>-595</v>
      </c>
      <c r="T434" s="13" t="n">
        <v>10003.96</v>
      </c>
      <c r="U434" s="13" t="n">
        <v>703.99</v>
      </c>
      <c r="V434" s="13" t="n">
        <v>469.1</v>
      </c>
      <c r="W434" s="13" t="n">
        <v>1443.44</v>
      </c>
      <c r="X434" s="13" t="n">
        <v>2089.94</v>
      </c>
      <c r="Y434" s="13" t="n">
        <v>1763.24</v>
      </c>
      <c r="Z434" s="19" t="n"/>
      <c r="AA434" s="18" t="n"/>
      <c r="AB434" s="38" t="n">
        <v>18.02</v>
      </c>
      <c r="AC434" s="14">
        <f>IFERROR(AVERAGEIFS($E$16:$E$736,$W$16:$W$736,"&gt;="&amp;W434-$C$5,$W$16:$W$736,"&lt;="&amp;W434+$C$5,$B$16:$B$736,B434,$A$16:$A$736,"&lt;&gt;"&amp;A434),"")</f>
        <v/>
      </c>
      <c r="AD434" s="14">
        <f>IF(AND(ISNUMBER(E434),ISNUMBER(AC434)),E434-AC434,"")</f>
        <v/>
      </c>
    </row>
    <row r="435">
      <c r="A435" s="17" t="n">
        <v>45856</v>
      </c>
      <c r="B435" s="29">
        <f>MONTH(A435)</f>
        <v/>
      </c>
      <c r="C435" s="29">
        <f>IF(AND(ISNUMBER(W435),ISNUMBER($C$4),ABS(W435-$C$4)&lt;=$C$5,ABS(MOD(B435-$C$6+6,12)-6)&lt;=$C$7,OR($C$8="Any",P435=$C$8)),1,0)</f>
        <v/>
      </c>
      <c r="D435" s="29">
        <f>IF(C435=1,COUNTIF($C$16:C435,1),"")</f>
        <v/>
      </c>
      <c r="E435" s="18" t="n">
        <v>20.99</v>
      </c>
      <c r="F435" s="18" t="n">
        <v>20.11</v>
      </c>
      <c r="G435" s="18" t="n">
        <v>22.75</v>
      </c>
      <c r="H435" s="38" t="n">
        <v>21.97</v>
      </c>
      <c r="I435" s="38" t="n">
        <v>16.41</v>
      </c>
      <c r="J435" s="13" t="n">
        <v>10585</v>
      </c>
      <c r="K435" s="13" t="n">
        <v>10224.69</v>
      </c>
      <c r="L435" s="13" t="n">
        <v>922.5</v>
      </c>
      <c r="M435" s="13" t="n">
        <v>796.04</v>
      </c>
      <c r="N435" s="13" t="n">
        <v>4270</v>
      </c>
      <c r="O435" s="38" t="n">
        <v>18.64</v>
      </c>
      <c r="P435" s="39" t="inlineStr">
        <is>
          <t>Windy</t>
        </is>
      </c>
      <c r="Q435" s="13" t="n">
        <v>1604</v>
      </c>
      <c r="R435" s="13" t="n">
        <v>843.37</v>
      </c>
      <c r="S435" s="13" t="n">
        <v>-451.25</v>
      </c>
      <c r="T435" s="13" t="n">
        <v>10089.17</v>
      </c>
      <c r="U435" s="13" t="n">
        <v>691.14</v>
      </c>
      <c r="V435" s="13" t="n">
        <v>455.49</v>
      </c>
      <c r="W435" s="13" t="n">
        <v>1730.72</v>
      </c>
      <c r="X435" s="13" t="n">
        <v>2331.51</v>
      </c>
      <c r="Y435" s="13" t="n">
        <v>2102.83</v>
      </c>
      <c r="Z435" s="19" t="n"/>
      <c r="AA435" s="18" t="n"/>
      <c r="AB435" s="38" t="n">
        <v>15.91</v>
      </c>
      <c r="AC435" s="14">
        <f>IFERROR(AVERAGEIFS($E$16:$E$736,$W$16:$W$736,"&gt;="&amp;W435-$C$5,$W$16:$W$736,"&lt;="&amp;W435+$C$5,$B$16:$B$736,B435,$A$16:$A$736,"&lt;&gt;"&amp;A435),"")</f>
        <v/>
      </c>
      <c r="AD435" s="14">
        <f>IF(AND(ISNUMBER(E435),ISNUMBER(AC435)),E435-AC435,"")</f>
        <v/>
      </c>
    </row>
    <row r="436">
      <c r="A436" s="17" t="n">
        <v>45855</v>
      </c>
      <c r="B436" s="29">
        <f>MONTH(A436)</f>
        <v/>
      </c>
      <c r="C436" s="29">
        <f>IF(AND(ISNUMBER(W436),ISNUMBER($C$4),ABS(W436-$C$4)&lt;=$C$5,ABS(MOD(B436-$C$6+6,12)-6)&lt;=$C$7,OR($C$8="Any",P436=$C$8)),1,0)</f>
        <v/>
      </c>
      <c r="D436" s="29">
        <f>IF(C436=1,COUNTIF($C$16:C436,1),"")</f>
        <v/>
      </c>
      <c r="E436" s="18" t="n">
        <v>32.71</v>
      </c>
      <c r="F436" s="18" t="n">
        <v>43.38</v>
      </c>
      <c r="G436" s="18" t="n">
        <v>11.39</v>
      </c>
      <c r="H436" s="38" t="n">
        <v>18.9</v>
      </c>
      <c r="I436" s="38" t="n">
        <v>14.98</v>
      </c>
      <c r="J436" s="13" t="n">
        <v>10595</v>
      </c>
      <c r="K436" s="13" t="n">
        <v>10253.31</v>
      </c>
      <c r="L436" s="13" t="n">
        <v>481.88</v>
      </c>
      <c r="M436" s="13" t="n">
        <v>859.04</v>
      </c>
      <c r="N436" s="13" t="n">
        <v>4270</v>
      </c>
      <c r="O436" s="38" t="n">
        <v>20.12</v>
      </c>
      <c r="P436" s="39" t="inlineStr">
        <is>
          <t>Windy</t>
        </is>
      </c>
      <c r="Q436" s="13" t="n">
        <v>929</v>
      </c>
      <c r="R436" s="13" t="n">
        <v>828.58</v>
      </c>
      <c r="S436" s="13" t="n">
        <v>-267</v>
      </c>
      <c r="T436" s="13" t="n">
        <v>9690.84</v>
      </c>
      <c r="U436" s="13" t="n">
        <v>672.2</v>
      </c>
      <c r="V436" s="13" t="n">
        <v>446.86</v>
      </c>
      <c r="W436" s="13" t="n">
        <v>806.51</v>
      </c>
      <c r="X436" s="13" t="n">
        <v>1160.71</v>
      </c>
      <c r="Y436" s="13" t="n">
        <v>1185.04</v>
      </c>
      <c r="Z436" s="19" t="n"/>
      <c r="AA436" s="18" t="n"/>
      <c r="AB436" s="38" t="n">
        <v>11.62</v>
      </c>
      <c r="AC436" s="14">
        <f>IFERROR(AVERAGEIFS($E$16:$E$736,$W$16:$W$736,"&gt;="&amp;W436-$C$5,$W$16:$W$736,"&lt;="&amp;W436+$C$5,$B$16:$B$736,B436,$A$16:$A$736,"&lt;&gt;"&amp;A436),"")</f>
        <v/>
      </c>
      <c r="AD436" s="14">
        <f>IF(AND(ISNUMBER(E436),ISNUMBER(AC436)),E436-AC436,"")</f>
        <v/>
      </c>
    </row>
    <row r="437">
      <c r="A437" s="17" t="n">
        <v>45854</v>
      </c>
      <c r="B437" s="29">
        <f>MONTH(A437)</f>
        <v/>
      </c>
      <c r="C437" s="29">
        <f>IF(AND(ISNUMBER(W437),ISNUMBER($C$4),ABS(W437-$C$4)&lt;=$C$5,ABS(MOD(B437-$C$6+6,12)-6)&lt;=$C$7,OR($C$8="Any",P437=$C$8)),1,0)</f>
        <v/>
      </c>
      <c r="D437" s="29">
        <f>IF(C437=1,COUNTIF($C$16:C437,1),"")</f>
        <v/>
      </c>
      <c r="E437" s="18" t="n">
        <v>18.16</v>
      </c>
      <c r="F437" s="18" t="n">
        <v>15.65</v>
      </c>
      <c r="G437" s="18" t="n">
        <v>23.18</v>
      </c>
      <c r="H437" s="38" t="n">
        <v>20.1</v>
      </c>
      <c r="I437" s="38" t="n">
        <v>14.3</v>
      </c>
      <c r="J437" s="13" t="n">
        <v>10646</v>
      </c>
      <c r="K437" s="13" t="n">
        <v>10268.75</v>
      </c>
      <c r="L437" s="13" t="n">
        <v>1659</v>
      </c>
      <c r="M437" s="13" t="n">
        <v>1493.5</v>
      </c>
      <c r="N437" s="13" t="n">
        <v>4270</v>
      </c>
      <c r="O437" s="38" t="n">
        <v>34.98</v>
      </c>
      <c r="P437" s="39" t="inlineStr">
        <is>
          <t>Windy</t>
        </is>
      </c>
      <c r="Q437" s="13" t="n">
        <v>1664</v>
      </c>
      <c r="R437" s="13" t="n">
        <v>823.15</v>
      </c>
      <c r="S437" s="13" t="n">
        <v>-500.62</v>
      </c>
      <c r="T437" s="13" t="n">
        <v>9786.65</v>
      </c>
      <c r="U437" s="13" t="n">
        <v>694.52</v>
      </c>
      <c r="V437" s="13" t="n">
        <v>107.85</v>
      </c>
      <c r="W437" s="13" t="n">
        <v>1711.77</v>
      </c>
      <c r="X437" s="13" t="n">
        <v>2694.7</v>
      </c>
      <c r="Y437" s="13" t="n">
        <v>2048.44</v>
      </c>
      <c r="Z437" s="19" t="n"/>
      <c r="AA437" s="18" t="n"/>
      <c r="AB437" s="38" t="n">
        <v>19.79</v>
      </c>
      <c r="AC437" s="14">
        <f>IFERROR(AVERAGEIFS($E$16:$E$736,$W$16:$W$736,"&gt;="&amp;W437-$C$5,$W$16:$W$736,"&lt;="&amp;W437+$C$5,$B$16:$B$736,B437,$A$16:$A$736,"&lt;&gt;"&amp;A437),"")</f>
        <v/>
      </c>
      <c r="AD437" s="14">
        <f>IF(AND(ISNUMBER(E437),ISNUMBER(AC437)),E437-AC437,"")</f>
        <v/>
      </c>
    </row>
    <row r="438">
      <c r="A438" s="17" t="n">
        <v>45853</v>
      </c>
      <c r="B438" s="29">
        <f>MONTH(A438)</f>
        <v/>
      </c>
      <c r="C438" s="29">
        <f>IF(AND(ISNUMBER(W438),ISNUMBER($C$4),ABS(W438-$C$4)&lt;=$C$5,ABS(MOD(B438-$C$6+6,12)-6)&lt;=$C$7,OR($C$8="Any",P438=$C$8)),1,0)</f>
        <v/>
      </c>
      <c r="D438" s="29">
        <f>IF(C438=1,COUNTIF($C$16:C438,1),"")</f>
        <v/>
      </c>
      <c r="E438" s="18" t="n">
        <v>25.19</v>
      </c>
      <c r="F438" s="18" t="n">
        <v>28.56</v>
      </c>
      <c r="G438" s="18" t="n">
        <v>18.45</v>
      </c>
      <c r="H438" s="38" t="n">
        <v>16.83</v>
      </c>
      <c r="I438" s="38" t="n">
        <v>13.3</v>
      </c>
      <c r="J438" s="13" t="n">
        <v>10503</v>
      </c>
      <c r="K438" s="13" t="n">
        <v>10129.25</v>
      </c>
      <c r="L438" s="13" t="n">
        <v>203.56</v>
      </c>
      <c r="M438" s="13" t="n">
        <v>474.12</v>
      </c>
      <c r="N438" s="13" t="n">
        <v>4270</v>
      </c>
      <c r="O438" s="38" t="n">
        <v>11.1</v>
      </c>
      <c r="P438" s="39" t="inlineStr">
        <is>
          <t>Calm</t>
        </is>
      </c>
      <c r="Q438" s="13" t="n">
        <v>1393</v>
      </c>
      <c r="R438" s="13" t="n">
        <v>856.9299999999999</v>
      </c>
      <c r="S438" s="13" t="n">
        <v>-353.71</v>
      </c>
      <c r="T438" s="13" t="n">
        <v>9913.950000000001</v>
      </c>
      <c r="U438" s="13" t="n">
        <v>691.2</v>
      </c>
      <c r="V438" s="13" t="n">
        <v>215.55</v>
      </c>
      <c r="W438" s="13" t="n">
        <v>753.5599999999999</v>
      </c>
      <c r="X438" s="13" t="n">
        <v>1368.53</v>
      </c>
      <c r="Y438" s="13" t="n">
        <v>1104.7</v>
      </c>
      <c r="Z438" s="19" t="n"/>
      <c r="AA438" s="18" t="n"/>
      <c r="AB438" s="38" t="n">
        <v>10.68</v>
      </c>
      <c r="AC438" s="14">
        <f>IFERROR(AVERAGEIFS($E$16:$E$736,$W$16:$W$736,"&gt;="&amp;W438-$C$5,$W$16:$W$736,"&lt;="&amp;W438+$C$5,$B$16:$B$736,B438,$A$16:$A$736,"&lt;&gt;"&amp;A438),"")</f>
        <v/>
      </c>
      <c r="AD438" s="14">
        <f>IF(AND(ISNUMBER(E438),ISNUMBER(AC438)),E438-AC438,"")</f>
        <v/>
      </c>
    </row>
    <row r="439">
      <c r="A439" s="17" t="n">
        <v>45852</v>
      </c>
      <c r="B439" s="29">
        <f>MONTH(A439)</f>
        <v/>
      </c>
      <c r="C439" s="29">
        <f>IF(AND(ISNUMBER(W439),ISNUMBER($C$4),ABS(W439-$C$4)&lt;=$C$5,ABS(MOD(B439-$C$6+6,12)-6)&lt;=$C$7,OR($C$8="Any",P439=$C$8)),1,0)</f>
        <v/>
      </c>
      <c r="D439" s="29">
        <f>IF(C439=1,COUNTIF($C$16:C439,1),"")</f>
        <v/>
      </c>
      <c r="E439" s="18" t="n">
        <v>22.62</v>
      </c>
      <c r="F439" s="18" t="n">
        <v>23.77</v>
      </c>
      <c r="G439" s="18" t="n">
        <v>20.32</v>
      </c>
      <c r="H439" s="38" t="n">
        <v>17</v>
      </c>
      <c r="I439" s="38" t="n">
        <v>14.53</v>
      </c>
      <c r="J439" s="13" t="n">
        <v>10570</v>
      </c>
      <c r="K439" s="13" t="n">
        <v>10280.62</v>
      </c>
      <c r="L439" s="13" t="n">
        <v>1563.06</v>
      </c>
      <c r="M439" s="13" t="n">
        <v>1484.96</v>
      </c>
      <c r="N439" s="13" t="n">
        <v>4270</v>
      </c>
      <c r="O439" s="38" t="n">
        <v>34.78</v>
      </c>
      <c r="P439" s="39" t="inlineStr">
        <is>
          <t>Windy</t>
        </is>
      </c>
      <c r="Q439" s="13" t="n">
        <v>373</v>
      </c>
      <c r="R439" s="13" t="n">
        <v>849.74</v>
      </c>
      <c r="S439" s="13" t="n">
        <v>-563.71</v>
      </c>
      <c r="T439" s="13" t="n">
        <v>10183.26</v>
      </c>
      <c r="U439" s="13" t="n">
        <v>702.15</v>
      </c>
      <c r="V439" s="13" t="n">
        <v>48.78</v>
      </c>
      <c r="W439" s="13" t="n">
        <v>1701.29</v>
      </c>
      <c r="X439" s="13" t="n">
        <v>2107.47</v>
      </c>
      <c r="Y439" s="13" t="n">
        <v>2088.79</v>
      </c>
      <c r="Z439" s="19" t="n"/>
      <c r="AA439" s="18" t="n"/>
      <c r="AB439" s="38" t="n">
        <v>18.72</v>
      </c>
      <c r="AC439" s="14">
        <f>IFERROR(AVERAGEIFS($E$16:$E$736,$W$16:$W$736,"&gt;="&amp;W439-$C$5,$W$16:$W$736,"&lt;="&amp;W439+$C$5,$B$16:$B$736,B439,$A$16:$A$736,"&lt;&gt;"&amp;A439),"")</f>
        <v/>
      </c>
      <c r="AD439" s="14">
        <f>IF(AND(ISNUMBER(E439),ISNUMBER(AC439)),E439-AC439,"")</f>
        <v/>
      </c>
    </row>
    <row r="440">
      <c r="A440" s="17" t="n">
        <v>45851</v>
      </c>
      <c r="B440" s="29">
        <f>MONTH(A440)</f>
        <v/>
      </c>
      <c r="C440" s="29">
        <f>IF(AND(ISNUMBER(W440),ISNUMBER($C$4),ABS(W440-$C$4)&lt;=$C$5,ABS(MOD(B440-$C$6+6,12)-6)&lt;=$C$7,OR($C$8="Any",P440=$C$8)),1,0)</f>
        <v/>
      </c>
      <c r="D440" s="29">
        <f>IF(C440=1,COUNTIF($C$16:C440,1),"")</f>
        <v/>
      </c>
      <c r="E440" s="18" t="n">
        <v>60.7</v>
      </c>
      <c r="F440" s="18" t="n">
        <v>72.52</v>
      </c>
      <c r="G440" s="18" t="n">
        <v>37.05</v>
      </c>
      <c r="H440" s="38" t="n">
        <v>25.43</v>
      </c>
      <c r="I440" s="38" t="n">
        <v>20</v>
      </c>
      <c r="J440" s="13" t="n">
        <v>10685</v>
      </c>
      <c r="K440" s="13" t="n">
        <v>10166.44</v>
      </c>
      <c r="L440" s="13" t="n">
        <v>880.25</v>
      </c>
      <c r="M440" s="13" t="n">
        <v>928.38</v>
      </c>
      <c r="N440" s="13" t="n">
        <v>4270</v>
      </c>
      <c r="O440" s="38" t="n">
        <v>21.74</v>
      </c>
      <c r="P440" s="39" t="inlineStr">
        <is>
          <t>Windy</t>
        </is>
      </c>
      <c r="Q440" s="13" t="n">
        <v>1661</v>
      </c>
      <c r="R440" s="13" t="n">
        <v>840.27</v>
      </c>
      <c r="S440" s="13" t="n">
        <v>-379.5</v>
      </c>
      <c r="T440" s="13" t="n">
        <v>9668.67</v>
      </c>
      <c r="U440" s="13" t="n">
        <v>668.63</v>
      </c>
      <c r="V440" s="13" t="n">
        <v>34.43</v>
      </c>
      <c r="W440" s="13" t="n">
        <v>909.91</v>
      </c>
      <c r="X440" s="13" t="n">
        <v>1904.5</v>
      </c>
      <c r="Y440" s="13" t="n">
        <v>1242.98</v>
      </c>
      <c r="Z440" s="19" t="n"/>
      <c r="AA440" s="18" t="n"/>
      <c r="AB440" s="38" t="n">
        <v>17.77</v>
      </c>
      <c r="AC440" s="14">
        <f>IFERROR(AVERAGEIFS($E$16:$E$736,$W$16:$W$736,"&gt;="&amp;W440-$C$5,$W$16:$W$736,"&lt;="&amp;W440+$C$5,$B$16:$B$736,B440,$A$16:$A$736,"&lt;&gt;"&amp;A440),"")</f>
        <v/>
      </c>
      <c r="AD440" s="14">
        <f>IF(AND(ISNUMBER(E440),ISNUMBER(AC440)),E440-AC440,"")</f>
        <v/>
      </c>
    </row>
    <row r="441">
      <c r="A441" s="17" t="n">
        <v>45850</v>
      </c>
      <c r="B441" s="29">
        <f>MONTH(A441)</f>
        <v/>
      </c>
      <c r="C441" s="29">
        <f>IF(AND(ISNUMBER(W441),ISNUMBER($C$4),ABS(W441-$C$4)&lt;=$C$5,ABS(MOD(B441-$C$6+6,12)-6)&lt;=$C$7,OR($C$8="Any",P441=$C$8)),1,0)</f>
        <v/>
      </c>
      <c r="D441" s="29">
        <f>IF(C441=1,COUNTIF($C$16:C441,1),"")</f>
        <v/>
      </c>
      <c r="E441" s="18" t="n">
        <v>150.7</v>
      </c>
      <c r="F441" s="18" t="n">
        <v>161.12</v>
      </c>
      <c r="G441" s="18" t="n">
        <v>129.85</v>
      </c>
      <c r="H441" s="38" t="n">
        <v>27.4</v>
      </c>
      <c r="I441" s="38" t="n">
        <v>21.73</v>
      </c>
      <c r="J441" s="13" t="n">
        <v>11014</v>
      </c>
      <c r="K441" s="13" t="n">
        <v>10397.25</v>
      </c>
      <c r="L441" s="13" t="n">
        <v>904.9400000000001</v>
      </c>
      <c r="M441" s="13" t="n">
        <v>1334.08</v>
      </c>
      <c r="N441" s="13" t="n">
        <v>4270</v>
      </c>
      <c r="O441" s="38" t="n">
        <v>31.24</v>
      </c>
      <c r="P441" s="39" t="inlineStr">
        <is>
          <t>Windy</t>
        </is>
      </c>
      <c r="Q441" s="13" t="n">
        <v>1649</v>
      </c>
      <c r="R441" s="13" t="n">
        <v>844.5700000000001</v>
      </c>
      <c r="S441" s="13" t="n">
        <v>-540.67</v>
      </c>
      <c r="T441" s="13" t="n">
        <v>9464.82</v>
      </c>
      <c r="U441" s="13" t="n">
        <v>683.51</v>
      </c>
      <c r="V441" s="13" t="n">
        <v>176.81</v>
      </c>
      <c r="W441" s="13" t="n">
        <v>820.7</v>
      </c>
      <c r="X441" s="13" t="n">
        <v>1593.62</v>
      </c>
      <c r="Y441" s="13" t="n">
        <v>1181.72</v>
      </c>
      <c r="Z441" s="19" t="n"/>
      <c r="AA441" s="18" t="n"/>
      <c r="AB441" s="38" t="n">
        <v>23.46</v>
      </c>
      <c r="AC441" s="14">
        <f>IFERROR(AVERAGEIFS($E$16:$E$736,$W$16:$W$736,"&gt;="&amp;W441-$C$5,$W$16:$W$736,"&lt;="&amp;W441+$C$5,$B$16:$B$736,B441,$A$16:$A$736,"&lt;&gt;"&amp;A441),"")</f>
        <v/>
      </c>
      <c r="AD441" s="14">
        <f>IF(AND(ISNUMBER(E441),ISNUMBER(AC441)),E441-AC441,"")</f>
        <v/>
      </c>
    </row>
    <row r="442">
      <c r="A442" s="17" t="n">
        <v>45849</v>
      </c>
      <c r="B442" s="29">
        <f>MONTH(A442)</f>
        <v/>
      </c>
      <c r="C442" s="29">
        <f>IF(AND(ISNUMBER(W442),ISNUMBER($C$4),ABS(W442-$C$4)&lt;=$C$5,ABS(MOD(B442-$C$6+6,12)-6)&lt;=$C$7,OR($C$8="Any",P442=$C$8)),1,0)</f>
        <v/>
      </c>
      <c r="D442" s="29">
        <f>IF(C442=1,COUNTIF($C$16:C442,1),"")</f>
        <v/>
      </c>
      <c r="E442" s="18" t="n">
        <v>25.67</v>
      </c>
      <c r="F442" s="18" t="n">
        <v>27.64</v>
      </c>
      <c r="G442" s="18" t="n">
        <v>21.73</v>
      </c>
      <c r="H442" s="38" t="n">
        <v>24.67</v>
      </c>
      <c r="I442" s="38" t="n">
        <v>17.36</v>
      </c>
      <c r="J442" s="13" t="n">
        <v>11002</v>
      </c>
      <c r="K442" s="13" t="n">
        <v>10502.25</v>
      </c>
      <c r="L442" s="13" t="n">
        <v>877</v>
      </c>
      <c r="M442" s="13" t="n">
        <v>1141.21</v>
      </c>
      <c r="N442" s="13" t="n">
        <v>4270</v>
      </c>
      <c r="O442" s="38" t="n">
        <v>26.73</v>
      </c>
      <c r="P442" s="39" t="inlineStr">
        <is>
          <t>Windy</t>
        </is>
      </c>
      <c r="Q442" s="13" t="n">
        <v>1705</v>
      </c>
      <c r="R442" s="13" t="n">
        <v>831.35</v>
      </c>
      <c r="S442" s="13" t="n">
        <v>-450.29</v>
      </c>
      <c r="T442" s="13" t="n">
        <v>9344.76</v>
      </c>
      <c r="U442" s="13" t="n">
        <v>672.6900000000001</v>
      </c>
      <c r="V442" s="13" t="n">
        <v>397.77</v>
      </c>
      <c r="W442" s="13" t="n">
        <v>888.65</v>
      </c>
      <c r="X442" s="13" t="n">
        <v>1481.23</v>
      </c>
      <c r="Y442" s="13" t="n">
        <v>1303.06</v>
      </c>
      <c r="Z442" s="19" t="n"/>
      <c r="AA442" s="18" t="n"/>
      <c r="AB442" s="38" t="n">
        <v>17.03</v>
      </c>
      <c r="AC442" s="14">
        <f>IFERROR(AVERAGEIFS($E$16:$E$736,$W$16:$W$736,"&gt;="&amp;W442-$C$5,$W$16:$W$736,"&lt;="&amp;W442+$C$5,$B$16:$B$736,B442,$A$16:$A$736,"&lt;&gt;"&amp;A442),"")</f>
        <v/>
      </c>
      <c r="AD442" s="14">
        <f>IF(AND(ISNUMBER(E442),ISNUMBER(AC442)),E442-AC442,"")</f>
        <v/>
      </c>
    </row>
    <row r="443">
      <c r="A443" s="17" t="n">
        <v>45848</v>
      </c>
      <c r="B443" s="29">
        <f>MONTH(A443)</f>
        <v/>
      </c>
      <c r="C443" s="29">
        <f>IF(AND(ISNUMBER(W443),ISNUMBER($C$4),ABS(W443-$C$4)&lt;=$C$5,ABS(MOD(B443-$C$6+6,12)-6)&lt;=$C$7,OR($C$8="Any",P443=$C$8)),1,0)</f>
        <v/>
      </c>
      <c r="D443" s="29">
        <f>IF(C443=1,COUNTIF($C$16:C443,1),"")</f>
        <v/>
      </c>
      <c r="E443" s="18" t="n">
        <v>25.47</v>
      </c>
      <c r="F443" s="18" t="n">
        <v>25.28</v>
      </c>
      <c r="G443" s="18" t="n">
        <v>25.85</v>
      </c>
      <c r="H443" s="38" t="n">
        <v>17.2</v>
      </c>
      <c r="I443" s="38" t="n">
        <v>15.5</v>
      </c>
      <c r="J443" s="13" t="n">
        <v>10565</v>
      </c>
      <c r="K443" s="13" t="n">
        <v>10293</v>
      </c>
      <c r="L443" s="13" t="n">
        <v>1697.38</v>
      </c>
      <c r="M443" s="13" t="n">
        <v>1484.21</v>
      </c>
      <c r="N443" s="13" t="n">
        <v>4270</v>
      </c>
      <c r="O443" s="38" t="n">
        <v>34.76</v>
      </c>
      <c r="P443" s="39" t="inlineStr">
        <is>
          <t>Windy</t>
        </is>
      </c>
      <c r="Q443" s="13" t="n">
        <v>1126</v>
      </c>
      <c r="R443" s="13" t="n">
        <v>826.41</v>
      </c>
      <c r="S443" s="13" t="n">
        <v>-450.25</v>
      </c>
      <c r="T443" s="13" t="n">
        <v>9413.469999999999</v>
      </c>
      <c r="U443" s="13" t="n">
        <v>694.58</v>
      </c>
      <c r="V443" s="13" t="n">
        <v>451.18</v>
      </c>
      <c r="W443" s="13" t="n">
        <v>1130.23</v>
      </c>
      <c r="X443" s="13" t="n">
        <v>1859.53</v>
      </c>
      <c r="Y443" s="13" t="n">
        <v>1441.7</v>
      </c>
      <c r="Z443" s="19" t="n"/>
      <c r="AA443" s="18" t="n"/>
      <c r="AB443" s="38" t="n">
        <v>22.86</v>
      </c>
      <c r="AC443" s="14">
        <f>IFERROR(AVERAGEIFS($E$16:$E$736,$W$16:$W$736,"&gt;="&amp;W443-$C$5,$W$16:$W$736,"&lt;="&amp;W443+$C$5,$B$16:$B$736,B443,$A$16:$A$736,"&lt;&gt;"&amp;A443),"")</f>
        <v/>
      </c>
      <c r="AD443" s="14">
        <f>IF(AND(ISNUMBER(E443),ISNUMBER(AC443)),E443-AC443,"")</f>
        <v/>
      </c>
    </row>
    <row r="444">
      <c r="A444" s="17" t="n">
        <v>45847</v>
      </c>
      <c r="B444" s="29">
        <f>MONTH(A444)</f>
        <v/>
      </c>
      <c r="C444" s="29">
        <f>IF(AND(ISNUMBER(W444),ISNUMBER($C$4),ABS(W444-$C$4)&lt;=$C$5,ABS(MOD(B444-$C$6+6,12)-6)&lt;=$C$7,OR($C$8="Any",P444=$C$8)),1,0)</f>
        <v/>
      </c>
      <c r="D444" s="29">
        <f>IF(C444=1,COUNTIF($C$16:C444,1),"")</f>
        <v/>
      </c>
      <c r="E444" s="18" t="n">
        <v>18.3</v>
      </c>
      <c r="F444" s="18" t="n">
        <v>20.25</v>
      </c>
      <c r="G444" s="18" t="n">
        <v>14.4</v>
      </c>
      <c r="H444" s="38" t="n">
        <v>24.77</v>
      </c>
      <c r="I444" s="38" t="n">
        <v>20.46</v>
      </c>
      <c r="J444" s="13" t="n">
        <v>11264</v>
      </c>
      <c r="K444" s="13" t="n">
        <v>10794.5</v>
      </c>
      <c r="L444" s="13" t="n">
        <v>1964.44</v>
      </c>
      <c r="M444" s="13" t="n">
        <v>2222.21</v>
      </c>
      <c r="N444" s="13" t="n">
        <v>4270</v>
      </c>
      <c r="O444" s="38" t="n">
        <v>52.04</v>
      </c>
      <c r="P444" s="39" t="inlineStr">
        <is>
          <t>Windy</t>
        </is>
      </c>
      <c r="Q444" s="13" t="n">
        <v>1515</v>
      </c>
      <c r="R444" s="13" t="n">
        <v>812.1</v>
      </c>
      <c r="S444" s="13" t="n">
        <v>-591.08</v>
      </c>
      <c r="T444" s="13" t="n">
        <v>9490.559999999999</v>
      </c>
      <c r="U444" s="13" t="n">
        <v>692.55</v>
      </c>
      <c r="V444" s="13" t="n">
        <v>440.77</v>
      </c>
      <c r="W444" s="13" t="n">
        <v>884.0599999999999</v>
      </c>
      <c r="X444" s="13" t="n">
        <v>1987.02</v>
      </c>
      <c r="Y444" s="13" t="n">
        <v>1171.41</v>
      </c>
      <c r="Z444" s="19" t="n"/>
      <c r="AA444" s="18" t="n"/>
      <c r="AB444" s="38" t="n">
        <v>20.92</v>
      </c>
      <c r="AC444" s="14">
        <f>IFERROR(AVERAGEIFS($E$16:$E$736,$W$16:$W$736,"&gt;="&amp;W444-$C$5,$W$16:$W$736,"&lt;="&amp;W444+$C$5,$B$16:$B$736,B444,$A$16:$A$736,"&lt;&gt;"&amp;A444),"")</f>
        <v/>
      </c>
      <c r="AD444" s="14">
        <f>IF(AND(ISNUMBER(E444),ISNUMBER(AC444)),E444-AC444,"")</f>
        <v/>
      </c>
    </row>
    <row r="445">
      <c r="A445" s="17" t="n">
        <v>45846</v>
      </c>
      <c r="B445" s="29">
        <f>MONTH(A445)</f>
        <v/>
      </c>
      <c r="C445" s="29">
        <f>IF(AND(ISNUMBER(W445),ISNUMBER($C$4),ABS(W445-$C$4)&lt;=$C$5,ABS(MOD(B445-$C$6+6,12)-6)&lt;=$C$7,OR($C$8="Any",P445=$C$8)),1,0)</f>
        <v/>
      </c>
      <c r="D445" s="29">
        <f>IF(C445=1,COUNTIF($C$16:C445,1),"")</f>
        <v/>
      </c>
      <c r="E445" s="18" t="n">
        <v>22.88</v>
      </c>
      <c r="F445" s="18" t="n">
        <v>28.83</v>
      </c>
      <c r="G445" s="18" t="n">
        <v>10.96</v>
      </c>
      <c r="H445" s="38" t="n">
        <v>30.1</v>
      </c>
      <c r="I445" s="38" t="n">
        <v>22.15</v>
      </c>
      <c r="J445" s="13" t="n">
        <v>11848</v>
      </c>
      <c r="K445" s="13" t="n">
        <v>11209.69</v>
      </c>
      <c r="L445" s="13" t="n">
        <v>1994.06</v>
      </c>
      <c r="M445" s="13" t="n">
        <v>2216.17</v>
      </c>
      <c r="N445" s="13" t="n">
        <v>4270</v>
      </c>
      <c r="O445" s="38" t="n">
        <v>51.9</v>
      </c>
      <c r="P445" s="39" t="inlineStr">
        <is>
          <t>Windy</t>
        </is>
      </c>
      <c r="Q445" s="13" t="n">
        <v>1663</v>
      </c>
      <c r="R445" s="13" t="n">
        <v>836.63</v>
      </c>
      <c r="S445" s="13" t="n">
        <v>-748.04</v>
      </c>
      <c r="T445" s="13" t="n">
        <v>9456.6</v>
      </c>
      <c r="U445" s="13" t="n">
        <v>669</v>
      </c>
      <c r="V445" s="13" t="n">
        <v>437.59</v>
      </c>
      <c r="W445" s="13" t="n">
        <v>1151.62</v>
      </c>
      <c r="X445" s="13" t="n">
        <v>1634.33</v>
      </c>
      <c r="Y445" s="13" t="n">
        <v>1473.82</v>
      </c>
      <c r="Z445" s="19" t="n"/>
      <c r="AA445" s="18" t="n"/>
      <c r="AB445" s="38" t="n">
        <v>20.82</v>
      </c>
      <c r="AC445" s="14">
        <f>IFERROR(AVERAGEIFS($E$16:$E$736,$W$16:$W$736,"&gt;="&amp;W445-$C$5,$W$16:$W$736,"&lt;="&amp;W445+$C$5,$B$16:$B$736,B445,$A$16:$A$736,"&lt;&gt;"&amp;A445),"")</f>
        <v/>
      </c>
      <c r="AD445" s="14">
        <f>IF(AND(ISNUMBER(E445),ISNUMBER(AC445)),E445-AC445,"")</f>
        <v/>
      </c>
    </row>
    <row r="446">
      <c r="A446" s="17" t="n">
        <v>45845</v>
      </c>
      <c r="B446" s="29">
        <f>MONTH(A446)</f>
        <v/>
      </c>
      <c r="C446" s="29">
        <f>IF(AND(ISNUMBER(W446),ISNUMBER($C$4),ABS(W446-$C$4)&lt;=$C$5,ABS(MOD(B446-$C$6+6,12)-6)&lt;=$C$7,OR($C$8="Any",P446=$C$8)),1,0)</f>
        <v/>
      </c>
      <c r="D446" s="29">
        <f>IF(C446=1,COUNTIF($C$16:C446,1),"")</f>
        <v/>
      </c>
      <c r="E446" s="18" t="n">
        <v>42.74</v>
      </c>
      <c r="F446" s="18" t="n">
        <v>45.36</v>
      </c>
      <c r="G446" s="18" t="n">
        <v>37.5</v>
      </c>
      <c r="H446" s="38" t="n">
        <v>23.37</v>
      </c>
      <c r="I446" s="38" t="n">
        <v>17.25</v>
      </c>
      <c r="J446" s="13" t="n">
        <v>11127</v>
      </c>
      <c r="K446" s="13" t="n">
        <v>10522.62</v>
      </c>
      <c r="L446" s="13" t="n">
        <v>531.0599999999999</v>
      </c>
      <c r="M446" s="13" t="n">
        <v>516.96</v>
      </c>
      <c r="N446" s="13" t="n">
        <v>4270</v>
      </c>
      <c r="O446" s="38" t="n">
        <v>12.11</v>
      </c>
      <c r="P446" s="39" t="inlineStr">
        <is>
          <t>Calm</t>
        </is>
      </c>
      <c r="Q446" s="13" t="n">
        <v>1648</v>
      </c>
      <c r="R446" s="13" t="n">
        <v>830.08</v>
      </c>
      <c r="S446" s="13" t="n">
        <v>-326.29</v>
      </c>
      <c r="T446" s="13" t="n">
        <v>9853.290000000001</v>
      </c>
      <c r="U446" s="13" t="n">
        <v>686.34</v>
      </c>
      <c r="V446" s="13" t="n">
        <v>193.16</v>
      </c>
      <c r="W446" s="13" t="n">
        <v>897.01</v>
      </c>
      <c r="X446" s="13" t="n">
        <v>1585.91</v>
      </c>
      <c r="Y446" s="13" t="n">
        <v>1224.5</v>
      </c>
      <c r="Z446" s="19" t="n"/>
      <c r="AA446" s="18" t="n"/>
      <c r="AB446" s="38" t="n">
        <v>12.33</v>
      </c>
      <c r="AC446" s="14">
        <f>IFERROR(AVERAGEIFS($E$16:$E$736,$W$16:$W$736,"&gt;="&amp;W446-$C$5,$W$16:$W$736,"&lt;="&amp;W446+$C$5,$B$16:$B$736,B446,$A$16:$A$736,"&lt;&gt;"&amp;A446),"")</f>
        <v/>
      </c>
      <c r="AD446" s="14">
        <f>IF(AND(ISNUMBER(E446),ISNUMBER(AC446)),E446-AC446,"")</f>
        <v/>
      </c>
    </row>
    <row r="447">
      <c r="A447" s="17" t="n">
        <v>45844</v>
      </c>
      <c r="B447" s="29">
        <f>MONTH(A447)</f>
        <v/>
      </c>
      <c r="C447" s="29">
        <f>IF(AND(ISNUMBER(W447),ISNUMBER($C$4),ABS(W447-$C$4)&lt;=$C$5,ABS(MOD(B447-$C$6+6,12)-6)&lt;=$C$7,OR($C$8="Any",P447=$C$8)),1,0)</f>
        <v/>
      </c>
      <c r="D447" s="29">
        <f>IF(C447=1,COUNTIF($C$16:C447,1),"")</f>
        <v/>
      </c>
      <c r="E447" s="18" t="n">
        <v>26.8</v>
      </c>
      <c r="F447" s="18" t="n">
        <v>25.85</v>
      </c>
      <c r="G447" s="18" t="n">
        <v>28.69</v>
      </c>
      <c r="H447" s="38" t="n">
        <v>17.93</v>
      </c>
      <c r="I447" s="38" t="n">
        <v>15.15</v>
      </c>
      <c r="J447" s="13" t="n">
        <v>10071</v>
      </c>
      <c r="K447" s="13" t="n">
        <v>9724.5</v>
      </c>
      <c r="L447" s="13" t="n">
        <v>809.0599999999999</v>
      </c>
      <c r="M447" s="13" t="n">
        <v>893.29</v>
      </c>
      <c r="N447" s="13" t="n">
        <v>4270</v>
      </c>
      <c r="O447" s="38" t="n">
        <v>20.92</v>
      </c>
      <c r="P447" s="39" t="inlineStr">
        <is>
          <t>Windy</t>
        </is>
      </c>
      <c r="Q447" s="13" t="n">
        <v>1395</v>
      </c>
      <c r="R447" s="13" t="n">
        <v>845.17</v>
      </c>
      <c r="S447" s="13" t="n">
        <v>-758.21</v>
      </c>
      <c r="T447" s="13" t="n">
        <v>10202.09</v>
      </c>
      <c r="U447" s="13" t="n">
        <v>679.33</v>
      </c>
      <c r="V447" s="13" t="n">
        <v>251.92</v>
      </c>
      <c r="W447" s="13" t="n">
        <v>1370.97</v>
      </c>
      <c r="X447" s="13" t="n">
        <v>2270.96</v>
      </c>
      <c r="Y447" s="13" t="n">
        <v>1697.6</v>
      </c>
      <c r="Z447" s="19" t="n"/>
      <c r="AA447" s="18" t="n"/>
      <c r="AB447" s="38" t="n">
        <v>13.76</v>
      </c>
      <c r="AC447" s="14">
        <f>IFERROR(AVERAGEIFS($E$16:$E$736,$W$16:$W$736,"&gt;="&amp;W447-$C$5,$W$16:$W$736,"&lt;="&amp;W447+$C$5,$B$16:$B$736,B447,$A$16:$A$736,"&lt;&gt;"&amp;A447),"")</f>
        <v/>
      </c>
      <c r="AD447" s="14">
        <f>IF(AND(ISNUMBER(E447),ISNUMBER(AC447)),E447-AC447,"")</f>
        <v/>
      </c>
    </row>
    <row r="448">
      <c r="A448" s="17" t="n">
        <v>45843</v>
      </c>
      <c r="B448" s="29">
        <f>MONTH(A448)</f>
        <v/>
      </c>
      <c r="C448" s="29">
        <f>IF(AND(ISNUMBER(W448),ISNUMBER($C$4),ABS(W448-$C$4)&lt;=$C$5,ABS(MOD(B448-$C$6+6,12)-6)&lt;=$C$7,OR($C$8="Any",P448=$C$8)),1,0)</f>
        <v/>
      </c>
      <c r="D448" s="29">
        <f>IF(C448=1,COUNTIF($C$16:C448,1),"")</f>
        <v/>
      </c>
      <c r="E448" s="18" t="n">
        <v>24.66</v>
      </c>
      <c r="F448" s="18" t="n">
        <v>25.22</v>
      </c>
      <c r="G448" s="18" t="n">
        <v>23.55</v>
      </c>
      <c r="H448" s="38" t="n">
        <v>19.77</v>
      </c>
      <c r="I448" s="38" t="n">
        <v>15.55</v>
      </c>
      <c r="J448" s="13" t="n">
        <v>10090</v>
      </c>
      <c r="K448" s="13" t="n">
        <v>9800.440000000001</v>
      </c>
      <c r="L448" s="13" t="n">
        <v>847.0599999999999</v>
      </c>
      <c r="M448" s="13" t="n">
        <v>919.71</v>
      </c>
      <c r="N448" s="13" t="n">
        <v>4270</v>
      </c>
      <c r="O448" s="38" t="n">
        <v>21.54</v>
      </c>
      <c r="P448" s="39" t="inlineStr">
        <is>
          <t>Windy</t>
        </is>
      </c>
      <c r="Q448" s="13" t="n">
        <v>1156</v>
      </c>
      <c r="R448" s="13" t="n">
        <v>846.86</v>
      </c>
      <c r="S448" s="13" t="n">
        <v>-574.71</v>
      </c>
      <c r="T448" s="13" t="n">
        <v>10294.99</v>
      </c>
      <c r="U448" s="13" t="n">
        <v>705.47</v>
      </c>
      <c r="V448" s="13" t="n">
        <v>120.05</v>
      </c>
      <c r="W448" s="13" t="n">
        <v>1842.2</v>
      </c>
      <c r="X448" s="13" t="n">
        <v>2399.35</v>
      </c>
      <c r="Y448" s="13" t="n">
        <v>2173.5</v>
      </c>
      <c r="Z448" s="19" t="n"/>
      <c r="AA448" s="18" t="n"/>
      <c r="AB448" s="38" t="n">
        <v>15.64</v>
      </c>
      <c r="AC448" s="14">
        <f>IFERROR(AVERAGEIFS($E$16:$E$736,$W$16:$W$736,"&gt;="&amp;W448-$C$5,$W$16:$W$736,"&lt;="&amp;W448+$C$5,$B$16:$B$736,B448,$A$16:$A$736,"&lt;&gt;"&amp;A448),"")</f>
        <v/>
      </c>
      <c r="AD448" s="14">
        <f>IF(AND(ISNUMBER(E448),ISNUMBER(AC448)),E448-AC448,"")</f>
        <v/>
      </c>
    </row>
    <row r="449">
      <c r="A449" s="17" t="n">
        <v>45842</v>
      </c>
      <c r="B449" s="29">
        <f>MONTH(A449)</f>
        <v/>
      </c>
      <c r="C449" s="29">
        <f>IF(AND(ISNUMBER(W449),ISNUMBER($C$4),ABS(W449-$C$4)&lt;=$C$5,ABS(MOD(B449-$C$6+6,12)-6)&lt;=$C$7,OR($C$8="Any",P449=$C$8)),1,0)</f>
        <v/>
      </c>
      <c r="D449" s="29">
        <f>IF(C449=1,COUNTIF($C$16:C449,1),"")</f>
        <v/>
      </c>
      <c r="E449" s="18" t="n">
        <v>24.65</v>
      </c>
      <c r="F449" s="18" t="n">
        <v>26.8</v>
      </c>
      <c r="G449" s="18" t="n">
        <v>20.33</v>
      </c>
      <c r="H449" s="38" t="n">
        <v>19.2</v>
      </c>
      <c r="I449" s="38" t="n">
        <v>15.48</v>
      </c>
      <c r="J449" s="13" t="n">
        <v>10268</v>
      </c>
      <c r="K449" s="13" t="n">
        <v>10024.25</v>
      </c>
      <c r="L449" s="13" t="n">
        <v>874.12</v>
      </c>
      <c r="M449" s="13" t="n">
        <v>1036.46</v>
      </c>
      <c r="N449" s="13" t="n">
        <v>4270</v>
      </c>
      <c r="O449" s="38" t="n">
        <v>24.27</v>
      </c>
      <c r="P449" s="39" t="inlineStr">
        <is>
          <t>Windy</t>
        </is>
      </c>
      <c r="Q449" s="13" t="n">
        <v>1574</v>
      </c>
      <c r="R449" s="13" t="n">
        <v>843.26</v>
      </c>
      <c r="S449" s="13" t="n">
        <v>-660.67</v>
      </c>
      <c r="T449" s="13" t="n">
        <v>10267.36</v>
      </c>
      <c r="U449" s="13" t="n">
        <v>694.58</v>
      </c>
      <c r="V449" s="13" t="n">
        <v>46.62</v>
      </c>
      <c r="W449" s="13" t="n">
        <v>1803.3</v>
      </c>
      <c r="X449" s="13" t="n">
        <v>2242.67</v>
      </c>
      <c r="Y449" s="13" t="n">
        <v>2131.81</v>
      </c>
      <c r="Z449" s="19" t="n"/>
      <c r="AA449" s="18" t="n"/>
      <c r="AB449" s="38" t="n">
        <v>14.93</v>
      </c>
      <c r="AC449" s="14">
        <f>IFERROR(AVERAGEIFS($E$16:$E$736,$W$16:$W$736,"&gt;="&amp;W449-$C$5,$W$16:$W$736,"&lt;="&amp;W449+$C$5,$B$16:$B$736,B449,$A$16:$A$736,"&lt;&gt;"&amp;A449),"")</f>
        <v/>
      </c>
      <c r="AD449" s="14">
        <f>IF(AND(ISNUMBER(E449),ISNUMBER(AC449)),E449-AC449,"")</f>
        <v/>
      </c>
    </row>
    <row r="450">
      <c r="A450" s="17" t="n">
        <v>45841</v>
      </c>
      <c r="B450" s="29">
        <f>MONTH(A450)</f>
        <v/>
      </c>
      <c r="C450" s="29">
        <f>IF(AND(ISNUMBER(W450),ISNUMBER($C$4),ABS(W450-$C$4)&lt;=$C$5,ABS(MOD(B450-$C$6+6,12)-6)&lt;=$C$7,OR($C$8="Any",P450=$C$8)),1,0)</f>
        <v/>
      </c>
      <c r="D450" s="29">
        <f>IF(C450=1,COUNTIF($C$16:C450,1),"")</f>
        <v/>
      </c>
      <c r="E450" s="18" t="n">
        <v>15.72</v>
      </c>
      <c r="F450" s="18" t="n">
        <v>17.74</v>
      </c>
      <c r="G450" s="18" t="n">
        <v>11.69</v>
      </c>
      <c r="H450" s="38" t="n">
        <v>22.5</v>
      </c>
      <c r="I450" s="38" t="n">
        <v>18.21</v>
      </c>
      <c r="J450" s="13" t="n">
        <v>10972</v>
      </c>
      <c r="K450" s="13" t="n">
        <v>10489.69</v>
      </c>
      <c r="L450" s="13" t="n">
        <v>1887.62</v>
      </c>
      <c r="M450" s="13" t="n">
        <v>2059.42</v>
      </c>
      <c r="N450" s="13" t="n">
        <v>4270</v>
      </c>
      <c r="O450" s="38" t="n">
        <v>48.23</v>
      </c>
      <c r="P450" s="39" t="inlineStr">
        <is>
          <t>Windy</t>
        </is>
      </c>
      <c r="Q450" s="13" t="n">
        <v>1631</v>
      </c>
      <c r="R450" s="13" t="n">
        <v>792.0599999999999</v>
      </c>
      <c r="S450" s="13" t="n">
        <v>-783.42</v>
      </c>
      <c r="T450" s="13" t="n">
        <v>9889.74</v>
      </c>
      <c r="U450" s="13" t="n">
        <v>728.84</v>
      </c>
      <c r="V450" s="13" t="n">
        <v>501.74</v>
      </c>
      <c r="W450" s="13" t="n">
        <v>1878.87</v>
      </c>
      <c r="X450" s="13" t="n">
        <v>2561.94</v>
      </c>
      <c r="Y450" s="13" t="n">
        <v>2181.6</v>
      </c>
      <c r="Z450" s="19" t="n"/>
      <c r="AA450" s="18" t="n"/>
      <c r="AB450" s="38" t="n">
        <v>21.02</v>
      </c>
      <c r="AC450" s="14">
        <f>IFERROR(AVERAGEIFS($E$16:$E$736,$W$16:$W$736,"&gt;="&amp;W450-$C$5,$W$16:$W$736,"&lt;="&amp;W450+$C$5,$B$16:$B$736,B450,$A$16:$A$736,"&lt;&gt;"&amp;A450),"")</f>
        <v/>
      </c>
      <c r="AD450" s="14">
        <f>IF(AND(ISNUMBER(E450),ISNUMBER(AC450)),E450-AC450,"")</f>
        <v/>
      </c>
    </row>
    <row r="451">
      <c r="A451" s="17" t="n">
        <v>45840</v>
      </c>
      <c r="B451" s="29">
        <f>MONTH(A451)</f>
        <v/>
      </c>
      <c r="C451" s="29">
        <f>IF(AND(ISNUMBER(W451),ISNUMBER($C$4),ABS(W451-$C$4)&lt;=$C$5,ABS(MOD(B451-$C$6+6,12)-6)&lt;=$C$7,OR($C$8="Any",P451=$C$8)),1,0)</f>
        <v/>
      </c>
      <c r="D451" s="29">
        <f>IF(C451=1,COUNTIF($C$16:C451,1),"")</f>
        <v/>
      </c>
      <c r="E451" s="18" t="n">
        <v>26.38</v>
      </c>
      <c r="F451" s="18" t="n">
        <v>33.26</v>
      </c>
      <c r="G451" s="18" t="n">
        <v>12.6</v>
      </c>
      <c r="H451" s="38" t="n">
        <v>29.67</v>
      </c>
      <c r="I451" s="38" t="n">
        <v>22.58</v>
      </c>
      <c r="J451" s="13" t="n">
        <v>11898</v>
      </c>
      <c r="K451" s="13" t="n">
        <v>11192.75</v>
      </c>
      <c r="L451" s="13" t="n">
        <v>1652.06</v>
      </c>
      <c r="M451" s="13" t="n">
        <v>1909.12</v>
      </c>
      <c r="N451" s="13" t="n">
        <v>4270</v>
      </c>
      <c r="O451" s="38" t="n">
        <v>44.71</v>
      </c>
      <c r="P451" s="39" t="inlineStr">
        <is>
          <t>Windy</t>
        </is>
      </c>
      <c r="Q451" s="13" t="n">
        <v>1547</v>
      </c>
      <c r="R451" s="13" t="n">
        <v>835.4299999999999</v>
      </c>
      <c r="S451" s="13" t="n">
        <v>-794.29</v>
      </c>
      <c r="T451" s="13" t="n">
        <v>10004.43</v>
      </c>
      <c r="U451" s="13" t="n">
        <v>699.13</v>
      </c>
      <c r="V451" s="13" t="n">
        <v>148.38</v>
      </c>
      <c r="W451" s="13" t="n">
        <v>943.3</v>
      </c>
      <c r="X451" s="13" t="n">
        <v>1622.88</v>
      </c>
      <c r="Y451" s="13" t="n">
        <v>1297.71</v>
      </c>
      <c r="Z451" s="19" t="n"/>
      <c r="AA451" s="18" t="n"/>
      <c r="AB451" s="38" t="n">
        <v>16.53</v>
      </c>
      <c r="AC451" s="14">
        <f>IFERROR(AVERAGEIFS($E$16:$E$736,$W$16:$W$736,"&gt;="&amp;W451-$C$5,$W$16:$W$736,"&lt;="&amp;W451+$C$5,$B$16:$B$736,B451,$A$16:$A$736,"&lt;&gt;"&amp;A451),"")</f>
        <v/>
      </c>
      <c r="AD451" s="14">
        <f>IF(AND(ISNUMBER(E451),ISNUMBER(AC451)),E451-AC451,"")</f>
        <v/>
      </c>
    </row>
    <row r="452">
      <c r="A452" s="17" t="n">
        <v>45839</v>
      </c>
      <c r="B452" s="29">
        <f>MONTH(A452)</f>
        <v/>
      </c>
      <c r="C452" s="29">
        <f>IF(AND(ISNUMBER(W452),ISNUMBER($C$4),ABS(W452-$C$4)&lt;=$C$5,ABS(MOD(B452-$C$6+6,12)-6)&lt;=$C$7,OR($C$8="Any",P452=$C$8)),1,0)</f>
        <v/>
      </c>
      <c r="D452" s="29">
        <f>IF(C452=1,COUNTIF($C$16:C452,1),"")</f>
        <v/>
      </c>
      <c r="E452" s="18" t="n">
        <v>27.17</v>
      </c>
      <c r="F452" s="18" t="n">
        <v>28.83</v>
      </c>
      <c r="G452" s="18" t="n">
        <v>23.85</v>
      </c>
      <c r="H452" s="38" t="n">
        <v>27.3</v>
      </c>
      <c r="I452" s="38" t="n">
        <v>20.94</v>
      </c>
      <c r="J452" s="13" t="n">
        <v>11019</v>
      </c>
      <c r="K452" s="13" t="n">
        <v>10455.44</v>
      </c>
      <c r="L452" s="13" t="n">
        <v>474.44</v>
      </c>
      <c r="M452" s="13" t="n">
        <v>586.88</v>
      </c>
      <c r="N452" s="13" t="n">
        <v>4270</v>
      </c>
      <c r="O452" s="38" t="n">
        <v>13.74</v>
      </c>
      <c r="P452" s="39" t="inlineStr">
        <is>
          <t>Calm</t>
        </is>
      </c>
      <c r="Q452" s="13" t="n">
        <v>1689</v>
      </c>
      <c r="R452" s="13" t="n">
        <v>844.16</v>
      </c>
      <c r="S452" s="13" t="n">
        <v>-312</v>
      </c>
      <c r="T452" s="13" t="n">
        <v>10010.96</v>
      </c>
      <c r="U452" s="13" t="n">
        <v>724.96</v>
      </c>
      <c r="V452" s="13" t="n">
        <v>449.39</v>
      </c>
      <c r="W452" s="13" t="n">
        <v>1319.73</v>
      </c>
      <c r="X452" s="13" t="n">
        <v>1877.88</v>
      </c>
      <c r="Y452" s="13" t="n">
        <v>1633.57</v>
      </c>
      <c r="Z452" s="19" t="n"/>
      <c r="AA452" s="18" t="n"/>
      <c r="AB452" s="38" t="n">
        <v>9.94</v>
      </c>
      <c r="AC452" s="14">
        <f>IFERROR(AVERAGEIFS($E$16:$E$736,$W$16:$W$736,"&gt;="&amp;W452-$C$5,$W$16:$W$736,"&lt;="&amp;W452+$C$5,$B$16:$B$736,B452,$A$16:$A$736,"&lt;&gt;"&amp;A452),"")</f>
        <v/>
      </c>
      <c r="AD452" s="14">
        <f>IF(AND(ISNUMBER(E452),ISNUMBER(AC452)),E452-AC452,"")</f>
        <v/>
      </c>
    </row>
    <row r="453">
      <c r="A453" s="17" t="n">
        <v>45838</v>
      </c>
      <c r="B453" s="29">
        <f>MONTH(A453)</f>
        <v/>
      </c>
      <c r="C453" s="29">
        <f>IF(AND(ISNUMBER(W453),ISNUMBER($C$4),ABS(W453-$C$4)&lt;=$C$5,ABS(MOD(B453-$C$6+6,12)-6)&lt;=$C$7,OR($C$8="Any",P453=$C$8)),1,0)</f>
        <v/>
      </c>
      <c r="D453" s="29">
        <f>IF(C453=1,COUNTIF($C$16:C453,1),"")</f>
        <v/>
      </c>
      <c r="E453" s="18" t="n">
        <v>63.76</v>
      </c>
      <c r="F453" s="18" t="n">
        <v>83.45</v>
      </c>
      <c r="G453" s="18" t="n">
        <v>24.39</v>
      </c>
      <c r="H453" s="38" t="n">
        <v>25.27</v>
      </c>
      <c r="I453" s="38" t="n">
        <v>19.2</v>
      </c>
      <c r="J453" s="13" t="n">
        <v>11050</v>
      </c>
      <c r="K453" s="13" t="n">
        <v>10515.06</v>
      </c>
      <c r="L453" s="13" t="n">
        <v>429.69</v>
      </c>
      <c r="M453" s="13" t="n">
        <v>573.29</v>
      </c>
      <c r="N453" s="13" t="n">
        <v>4270</v>
      </c>
      <c r="O453" s="38" t="n">
        <v>13.43</v>
      </c>
      <c r="P453" s="39" t="inlineStr">
        <is>
          <t>Calm</t>
        </is>
      </c>
      <c r="Q453" s="13" t="n">
        <v>1684</v>
      </c>
      <c r="R453" s="13" t="n">
        <v>843.8200000000001</v>
      </c>
      <c r="S453" s="13" t="n">
        <v>-518.42</v>
      </c>
      <c r="T453" s="13" t="n">
        <v>10182.03</v>
      </c>
      <c r="U453" s="13" t="n">
        <v>722.99</v>
      </c>
      <c r="V453" s="13" t="n">
        <v>451.17</v>
      </c>
      <c r="W453" s="13" t="n">
        <v>885.5700000000001</v>
      </c>
      <c r="X453" s="13" t="n">
        <v>1675.37</v>
      </c>
      <c r="Y453" s="13" t="n">
        <v>1189.4</v>
      </c>
      <c r="Z453" s="19" t="n"/>
      <c r="AA453" s="18" t="n"/>
      <c r="AB453" s="38" t="n">
        <v>12.03</v>
      </c>
      <c r="AC453" s="14">
        <f>IFERROR(AVERAGEIFS($E$16:$E$736,$W$16:$W$736,"&gt;="&amp;W453-$C$5,$W$16:$W$736,"&lt;="&amp;W453+$C$5,$B$16:$B$736,B453,$A$16:$A$736,"&lt;&gt;"&amp;A453),"")</f>
        <v/>
      </c>
      <c r="AD453" s="14">
        <f>IF(AND(ISNUMBER(E453),ISNUMBER(AC453)),E453-AC453,"")</f>
        <v/>
      </c>
    </row>
    <row r="454">
      <c r="A454" s="17" t="n">
        <v>45837</v>
      </c>
      <c r="B454" s="29">
        <f>MONTH(A454)</f>
        <v/>
      </c>
      <c r="C454" s="29">
        <f>IF(AND(ISNUMBER(W454),ISNUMBER($C$4),ABS(W454-$C$4)&lt;=$C$5,ABS(MOD(B454-$C$6+6,12)-6)&lt;=$C$7,OR($C$8="Any",P454=$C$8)),1,0)</f>
        <v/>
      </c>
      <c r="D454" s="29">
        <f>IF(C454=1,COUNTIF($C$16:C454,1),"")</f>
        <v/>
      </c>
      <c r="E454" s="18" t="n">
        <v>13.56</v>
      </c>
      <c r="F454" s="18" t="n">
        <v>14.29</v>
      </c>
      <c r="G454" s="18" t="n">
        <v>12.08</v>
      </c>
      <c r="H454" s="38" t="n">
        <v>22.77</v>
      </c>
      <c r="I454" s="38" t="n">
        <v>17.24</v>
      </c>
      <c r="J454" s="13" t="n">
        <v>10319</v>
      </c>
      <c r="K454" s="13" t="n">
        <v>9821.690000000001</v>
      </c>
      <c r="L454" s="13" t="n">
        <v>1150.69</v>
      </c>
      <c r="M454" s="13" t="n">
        <v>1408.04</v>
      </c>
      <c r="N454" s="13" t="n">
        <v>4270</v>
      </c>
      <c r="O454" s="38" t="n">
        <v>32.98</v>
      </c>
      <c r="P454" s="39" t="inlineStr">
        <is>
          <t>Windy</t>
        </is>
      </c>
      <c r="Q454" s="13" t="n">
        <v>1710</v>
      </c>
      <c r="R454" s="13" t="n">
        <v>842.36</v>
      </c>
      <c r="S454" s="13" t="n">
        <v>-685.33</v>
      </c>
      <c r="T454" s="13" t="n">
        <v>10093.18</v>
      </c>
      <c r="U454" s="13" t="n">
        <v>709.34</v>
      </c>
      <c r="V454" s="13" t="n">
        <v>530.0700000000001</v>
      </c>
      <c r="W454" s="13" t="n">
        <v>1500.31</v>
      </c>
      <c r="X454" s="13" t="n">
        <v>2837.1</v>
      </c>
      <c r="Y454" s="13" t="n">
        <v>1808.42</v>
      </c>
      <c r="Z454" s="19" t="n"/>
      <c r="AA454" s="18" t="n"/>
      <c r="AB454" s="38" t="n">
        <v>16.88</v>
      </c>
      <c r="AC454" s="14">
        <f>IFERROR(AVERAGEIFS($E$16:$E$736,$W$16:$W$736,"&gt;="&amp;W454-$C$5,$W$16:$W$736,"&lt;="&amp;W454+$C$5,$B$16:$B$736,B454,$A$16:$A$736,"&lt;&gt;"&amp;A454),"")</f>
        <v/>
      </c>
      <c r="AD454" s="14">
        <f>IF(AND(ISNUMBER(E454),ISNUMBER(AC454)),E454-AC454,"")</f>
        <v/>
      </c>
    </row>
    <row r="455">
      <c r="A455" s="17" t="n">
        <v>45836</v>
      </c>
      <c r="B455" s="29">
        <f>MONTH(A455)</f>
        <v/>
      </c>
      <c r="C455" s="29">
        <f>IF(AND(ISNUMBER(W455),ISNUMBER($C$4),ABS(W455-$C$4)&lt;=$C$5,ABS(MOD(B455-$C$6+6,12)-6)&lt;=$C$7,OR($C$8="Any",P455=$C$8)),1,0)</f>
        <v/>
      </c>
      <c r="D455" s="29">
        <f>IF(C455=1,COUNTIF($C$16:C455,1),"")</f>
        <v/>
      </c>
      <c r="E455" s="18" t="n">
        <v>17.26</v>
      </c>
      <c r="F455" s="18" t="n">
        <v>20.96</v>
      </c>
      <c r="G455" s="18" t="n">
        <v>9.84</v>
      </c>
      <c r="H455" s="38" t="n">
        <v>19.47</v>
      </c>
      <c r="I455" s="38" t="n">
        <v>15.73</v>
      </c>
      <c r="J455" s="13" t="n">
        <v>10131</v>
      </c>
      <c r="K455" s="13" t="n">
        <v>9853.25</v>
      </c>
      <c r="L455" s="13" t="n">
        <v>1704.56</v>
      </c>
      <c r="M455" s="13" t="n">
        <v>1946</v>
      </c>
      <c r="N455" s="13" t="n">
        <v>4270</v>
      </c>
      <c r="O455" s="38" t="n">
        <v>45.57</v>
      </c>
      <c r="P455" s="39" t="inlineStr">
        <is>
          <t>Windy</t>
        </is>
      </c>
      <c r="Q455" s="13" t="n">
        <v>1641</v>
      </c>
      <c r="R455" s="13" t="n">
        <v>843.26</v>
      </c>
      <c r="S455" s="13" t="n">
        <v>-817.67</v>
      </c>
      <c r="T455" s="13" t="n">
        <v>10223.23</v>
      </c>
      <c r="U455" s="13" t="n">
        <v>728.9</v>
      </c>
      <c r="V455" s="13" t="n">
        <v>465.16</v>
      </c>
      <c r="W455" s="13" t="n">
        <v>1621.93</v>
      </c>
      <c r="X455" s="13" t="n">
        <v>3072.99</v>
      </c>
      <c r="Y455" s="13" t="n">
        <v>1955.54</v>
      </c>
      <c r="Z455" s="19" t="n"/>
      <c r="AA455" s="18" t="n"/>
      <c r="AB455" s="38" t="n">
        <v>19.84</v>
      </c>
      <c r="AC455" s="14">
        <f>IFERROR(AVERAGEIFS($E$16:$E$736,$W$16:$W$736,"&gt;="&amp;W455-$C$5,$W$16:$W$736,"&lt;="&amp;W455+$C$5,$B$16:$B$736,B455,$A$16:$A$736,"&lt;&gt;"&amp;A455),"")</f>
        <v/>
      </c>
      <c r="AD455" s="14">
        <f>IF(AND(ISNUMBER(E455),ISNUMBER(AC455)),E455-AC455,"")</f>
        <v/>
      </c>
    </row>
    <row r="456">
      <c r="A456" s="17" t="n">
        <v>45835</v>
      </c>
      <c r="B456" s="29">
        <f>MONTH(A456)</f>
        <v/>
      </c>
      <c r="C456" s="29">
        <f>IF(AND(ISNUMBER(W456),ISNUMBER($C$4),ABS(W456-$C$4)&lt;=$C$5,ABS(MOD(B456-$C$6+6,12)-6)&lt;=$C$7,OR($C$8="Any",P456=$C$8)),1,0)</f>
        <v/>
      </c>
      <c r="D456" s="29">
        <f>IF(C456=1,COUNTIF($C$16:C456,1),"")</f>
        <v/>
      </c>
      <c r="E456" s="18" t="n">
        <v>8.789999999999999</v>
      </c>
      <c r="F456" s="18" t="n">
        <v>7.83</v>
      </c>
      <c r="G456" s="18" t="n">
        <v>10.71</v>
      </c>
      <c r="H456" s="38" t="n">
        <v>19.9</v>
      </c>
      <c r="I456" s="38" t="n">
        <v>16.44</v>
      </c>
      <c r="J456" s="13" t="n">
        <v>10743</v>
      </c>
      <c r="K456" s="13" t="n">
        <v>10412.25</v>
      </c>
      <c r="L456" s="13" t="n">
        <v>2167.44</v>
      </c>
      <c r="M456" s="13" t="n">
        <v>2021.25</v>
      </c>
      <c r="N456" s="13" t="n">
        <v>4270</v>
      </c>
      <c r="O456" s="38" t="n">
        <v>47.34</v>
      </c>
      <c r="P456" s="39" t="inlineStr">
        <is>
          <t>Windy</t>
        </is>
      </c>
      <c r="Q456" s="13" t="n">
        <v>1491</v>
      </c>
      <c r="R456" s="13" t="n">
        <v>834.2</v>
      </c>
      <c r="S456" s="13" t="n">
        <v>-660.96</v>
      </c>
      <c r="T456" s="13" t="n">
        <v>9726.690000000001</v>
      </c>
      <c r="U456" s="13" t="n">
        <v>694.4</v>
      </c>
      <c r="V456" s="13" t="n">
        <v>452.96</v>
      </c>
      <c r="W456" s="13" t="n">
        <v>2137.07</v>
      </c>
      <c r="X456" s="13" t="n">
        <v>2597.27</v>
      </c>
      <c r="Y456" s="13" t="n">
        <v>2471.8</v>
      </c>
      <c r="Z456" s="19" t="n"/>
      <c r="AA456" s="18" t="n"/>
      <c r="AB456" s="38" t="n">
        <v>19.14</v>
      </c>
      <c r="AC456" s="14">
        <f>IFERROR(AVERAGEIFS($E$16:$E$736,$W$16:$W$736,"&gt;="&amp;W456-$C$5,$W$16:$W$736,"&lt;="&amp;W456+$C$5,$B$16:$B$736,B456,$A$16:$A$736,"&lt;&gt;"&amp;A456),"")</f>
        <v/>
      </c>
      <c r="AD456" s="14">
        <f>IF(AND(ISNUMBER(E456),ISNUMBER(AC456)),E456-AC456,"")</f>
        <v/>
      </c>
    </row>
    <row r="457">
      <c r="A457" s="17" t="n">
        <v>45834</v>
      </c>
      <c r="B457" s="29">
        <f>MONTH(A457)</f>
        <v/>
      </c>
      <c r="C457" s="29">
        <f>IF(AND(ISNUMBER(W457),ISNUMBER($C$4),ABS(W457-$C$4)&lt;=$C$5,ABS(MOD(B457-$C$6+6,12)-6)&lt;=$C$7,OR($C$8="Any",P457=$C$8)),1,0)</f>
        <v/>
      </c>
      <c r="D457" s="29">
        <f>IF(C457=1,COUNTIF($C$16:C457,1),"")</f>
        <v/>
      </c>
      <c r="E457" s="18" t="n">
        <v>21.58</v>
      </c>
      <c r="F457" s="18" t="n">
        <v>14.58</v>
      </c>
      <c r="G457" s="18" t="n">
        <v>35.58</v>
      </c>
      <c r="H457" s="38" t="n">
        <v>21.8</v>
      </c>
      <c r="I457" s="38" t="n">
        <v>16.84</v>
      </c>
      <c r="J457" s="13" t="n">
        <v>10679</v>
      </c>
      <c r="K457" s="13" t="n">
        <v>10337.06</v>
      </c>
      <c r="L457" s="13" t="n">
        <v>848.4400000000001</v>
      </c>
      <c r="M457" s="13" t="n">
        <v>830.71</v>
      </c>
      <c r="N457" s="13" t="n">
        <v>4270</v>
      </c>
      <c r="O457" s="38" t="n">
        <v>19.45</v>
      </c>
      <c r="P457" s="39" t="inlineStr">
        <is>
          <t>Windy</t>
        </is>
      </c>
      <c r="Q457" s="13" t="n">
        <v>1538</v>
      </c>
      <c r="R457" s="13" t="n">
        <v>808.84</v>
      </c>
      <c r="S457" s="13" t="n">
        <v>-155.92</v>
      </c>
      <c r="T457" s="13" t="n">
        <v>9846.75</v>
      </c>
      <c r="U457" s="13" t="n">
        <v>713.09</v>
      </c>
      <c r="V457" s="13" t="n">
        <v>79.63</v>
      </c>
      <c r="W457" s="13" t="n">
        <v>1401.78</v>
      </c>
      <c r="X457" s="13" t="n">
        <v>2240.18</v>
      </c>
      <c r="Y457" s="13" t="n">
        <v>1718.39</v>
      </c>
      <c r="Z457" s="19" t="n"/>
      <c r="AA457" s="18" t="n"/>
      <c r="AB457" s="38" t="n">
        <v>15.78</v>
      </c>
      <c r="AC457" s="14">
        <f>IFERROR(AVERAGEIFS($E$16:$E$736,$W$16:$W$736,"&gt;="&amp;W457-$C$5,$W$16:$W$736,"&lt;="&amp;W457+$C$5,$B$16:$B$736,B457,$A$16:$A$736,"&lt;&gt;"&amp;A457),"")</f>
        <v/>
      </c>
      <c r="AD457" s="14">
        <f>IF(AND(ISNUMBER(E457),ISNUMBER(AC457)),E457-AC457,"")</f>
        <v/>
      </c>
    </row>
    <row r="458">
      <c r="A458" s="17" t="n">
        <v>45833</v>
      </c>
      <c r="B458" s="29">
        <f>MONTH(A458)</f>
        <v/>
      </c>
      <c r="C458" s="29">
        <f>IF(AND(ISNUMBER(W458),ISNUMBER($C$4),ABS(W458-$C$4)&lt;=$C$5,ABS(MOD(B458-$C$6+6,12)-6)&lt;=$C$7,OR($C$8="Any",P458=$C$8)),1,0)</f>
        <v/>
      </c>
      <c r="D458" s="29">
        <f>IF(C458=1,COUNTIF($C$16:C458,1),"")</f>
        <v/>
      </c>
      <c r="E458" s="18" t="n">
        <v>20.7</v>
      </c>
      <c r="F458" s="18" t="n">
        <v>14.13</v>
      </c>
      <c r="G458" s="18" t="n">
        <v>33.82</v>
      </c>
      <c r="H458" s="38" t="n">
        <v>21.03</v>
      </c>
      <c r="I458" s="38" t="n">
        <v>16.12</v>
      </c>
      <c r="J458" s="13" t="n">
        <v>10582</v>
      </c>
      <c r="K458" s="13" t="n">
        <v>10192.19</v>
      </c>
      <c r="L458" s="13" t="n">
        <v>1091.12</v>
      </c>
      <c r="M458" s="13" t="n">
        <v>1390.38</v>
      </c>
      <c r="N458" s="13" t="n">
        <v>4270</v>
      </c>
      <c r="O458" s="38" t="n">
        <v>32.56</v>
      </c>
      <c r="P458" s="39" t="inlineStr">
        <is>
          <t>Windy</t>
        </is>
      </c>
      <c r="Q458" s="13" t="n">
        <v>1497</v>
      </c>
      <c r="R458" s="13" t="n">
        <v>828.47</v>
      </c>
      <c r="S458" s="13" t="n">
        <v>-421.88</v>
      </c>
      <c r="T458" s="13" t="n">
        <v>9697.83</v>
      </c>
      <c r="U458" s="13" t="n">
        <v>738.12</v>
      </c>
      <c r="V458" s="13" t="n">
        <v>311.79</v>
      </c>
      <c r="W458" s="13" t="n">
        <v>1675.16</v>
      </c>
      <c r="X458" s="13" t="n">
        <v>2302.61</v>
      </c>
      <c r="Y458" s="13" t="n">
        <v>1936.51</v>
      </c>
      <c r="Z458" s="19" t="n"/>
      <c r="AA458" s="18" t="n"/>
      <c r="AB458" s="38" t="n">
        <v>13.8</v>
      </c>
      <c r="AC458" s="14">
        <f>IFERROR(AVERAGEIFS($E$16:$E$736,$W$16:$W$736,"&gt;="&amp;W458-$C$5,$W$16:$W$736,"&lt;="&amp;W458+$C$5,$B$16:$B$736,B458,$A$16:$A$736,"&lt;&gt;"&amp;A458),"")</f>
        <v/>
      </c>
      <c r="AD458" s="14">
        <f>IF(AND(ISNUMBER(E458),ISNUMBER(AC458)),E458-AC458,"")</f>
        <v/>
      </c>
    </row>
    <row r="459">
      <c r="A459" s="17" t="n">
        <v>45828</v>
      </c>
      <c r="B459" s="29">
        <f>MONTH(A459)</f>
        <v/>
      </c>
      <c r="C459" s="29">
        <f>IF(AND(ISNUMBER(W459),ISNUMBER($C$4),ABS(W459-$C$4)&lt;=$C$5,ABS(MOD(B459-$C$6+6,12)-6)&lt;=$C$7,OR($C$8="Any",P459=$C$8)),1,0)</f>
        <v/>
      </c>
      <c r="D459" s="29">
        <f>IF(C459=1,COUNTIF($C$16:C459,1),"")</f>
        <v/>
      </c>
      <c r="E459" s="18" t="n">
        <v>176.23</v>
      </c>
      <c r="F459" s="18" t="n">
        <v>250.92</v>
      </c>
      <c r="G459" s="18" t="n">
        <v>26.84</v>
      </c>
      <c r="H459" s="38" t="n">
        <v>14.93</v>
      </c>
      <c r="I459" s="38" t="n">
        <v>12.82</v>
      </c>
      <c r="J459" s="13" t="n">
        <v>10058</v>
      </c>
      <c r="K459" s="13" t="n">
        <v>9774.620000000001</v>
      </c>
      <c r="L459" s="13" t="n">
        <v>399.75</v>
      </c>
      <c r="M459" s="13" t="n">
        <v>591.38</v>
      </c>
      <c r="N459" s="13" t="n">
        <v>4270</v>
      </c>
      <c r="O459" s="38" t="n">
        <v>13.85</v>
      </c>
      <c r="P459" s="39" t="inlineStr">
        <is>
          <t>Calm</t>
        </is>
      </c>
      <c r="Q459" s="13" t="n">
        <v>779</v>
      </c>
      <c r="R459" s="13" t="n">
        <v>835.7</v>
      </c>
      <c r="S459" s="13" t="n">
        <v>158.46</v>
      </c>
      <c r="T459" s="13" t="n">
        <v>9312.65</v>
      </c>
      <c r="U459" s="13" t="n">
        <v>726.38</v>
      </c>
      <c r="V459" s="13" t="n">
        <v>613.4299999999999</v>
      </c>
      <c r="W459" s="13" t="n">
        <v>855.61</v>
      </c>
      <c r="X459" s="13" t="n">
        <v>1464.59</v>
      </c>
      <c r="Y459" s="13" t="n">
        <v>1120.62</v>
      </c>
      <c r="Z459" s="19" t="n"/>
      <c r="AA459" s="18" t="n"/>
      <c r="AB459" s="38" t="n">
        <v>13.81</v>
      </c>
      <c r="AC459" s="14">
        <f>IFERROR(AVERAGEIFS($E$16:$E$736,$W$16:$W$736,"&gt;="&amp;W459-$C$5,$W$16:$W$736,"&lt;="&amp;W459+$C$5,$B$16:$B$736,B459,$A$16:$A$736,"&lt;&gt;"&amp;A459),"")</f>
        <v/>
      </c>
      <c r="AD459" s="14">
        <f>IF(AND(ISNUMBER(E459),ISNUMBER(AC459)),E459-AC459,"")</f>
        <v/>
      </c>
    </row>
    <row r="460">
      <c r="A460" s="17" t="n">
        <v>45827</v>
      </c>
      <c r="B460" s="29">
        <f>MONTH(A460)</f>
        <v/>
      </c>
      <c r="C460" s="29">
        <f>IF(AND(ISNUMBER(W460),ISNUMBER($C$4),ABS(W460-$C$4)&lt;=$C$5,ABS(MOD(B460-$C$6+6,12)-6)&lt;=$C$7,OR($C$8="Any",P460=$C$8)),1,0)</f>
        <v/>
      </c>
      <c r="D460" s="29">
        <f>IF(C460=1,COUNTIF($C$16:C460,1),"")</f>
        <v/>
      </c>
      <c r="E460" s="18" t="n">
        <v>20.35</v>
      </c>
      <c r="F460" s="18" t="n">
        <v>21.56</v>
      </c>
      <c r="G460" s="18" t="n">
        <v>17.94</v>
      </c>
      <c r="H460" s="38" t="n">
        <v>21</v>
      </c>
      <c r="I460" s="38" t="n">
        <v>16.48</v>
      </c>
      <c r="J460" s="13" t="n">
        <v>10373</v>
      </c>
      <c r="K460" s="13" t="n">
        <v>10073.31</v>
      </c>
      <c r="L460" s="13" t="n">
        <v>1604.06</v>
      </c>
      <c r="M460" s="13" t="n">
        <v>1782.33</v>
      </c>
      <c r="N460" s="13" t="n">
        <v>4270</v>
      </c>
      <c r="O460" s="38" t="n">
        <v>41.74</v>
      </c>
      <c r="P460" s="39" t="inlineStr">
        <is>
          <t>Windy</t>
        </is>
      </c>
      <c r="Q460" s="13" t="n">
        <v>1584</v>
      </c>
      <c r="R460" s="13" t="n">
        <v>823</v>
      </c>
      <c r="S460" s="13" t="n">
        <v>-396.38</v>
      </c>
      <c r="T460" s="13" t="n">
        <v>9025.73</v>
      </c>
      <c r="U460" s="13" t="n">
        <v>752.33</v>
      </c>
      <c r="V460" s="13" t="n">
        <v>102.86</v>
      </c>
      <c r="W460" s="13" t="n">
        <v>1797.76</v>
      </c>
      <c r="X460" s="13" t="n">
        <v>2336.73</v>
      </c>
      <c r="Y460" s="13" t="n">
        <v>2022.43</v>
      </c>
      <c r="Z460" s="19" t="n"/>
      <c r="AA460" s="18" t="n"/>
      <c r="AB460" s="38" t="n">
        <v>17.09</v>
      </c>
      <c r="AC460" s="14">
        <f>IFERROR(AVERAGEIFS($E$16:$E$736,$W$16:$W$736,"&gt;="&amp;W460-$C$5,$W$16:$W$736,"&lt;="&amp;W460+$C$5,$B$16:$B$736,B460,$A$16:$A$736,"&lt;&gt;"&amp;A460),"")</f>
        <v/>
      </c>
      <c r="AD460" s="14">
        <f>IF(AND(ISNUMBER(E460),ISNUMBER(AC460)),E460-AC460,"")</f>
        <v/>
      </c>
    </row>
    <row r="461">
      <c r="A461" s="17" t="n">
        <v>45826</v>
      </c>
      <c r="B461" s="29">
        <f>MONTH(A461)</f>
        <v/>
      </c>
      <c r="C461" s="29">
        <f>IF(AND(ISNUMBER(W461),ISNUMBER($C$4),ABS(W461-$C$4)&lt;=$C$5,ABS(MOD(B461-$C$6+6,12)-6)&lt;=$C$7,OR($C$8="Any",P461=$C$8)),1,0)</f>
        <v/>
      </c>
      <c r="D461" s="29">
        <f>IF(C461=1,COUNTIF($C$16:C461,1),"")</f>
        <v/>
      </c>
      <c r="E461" s="18" t="n">
        <v>49.89</v>
      </c>
      <c r="F461" s="18" t="n">
        <v>44.01</v>
      </c>
      <c r="G461" s="18" t="n">
        <v>61.64</v>
      </c>
      <c r="H461" s="38" t="n">
        <v>22.17</v>
      </c>
      <c r="I461" s="38" t="n">
        <v>17.22</v>
      </c>
      <c r="J461" s="13" t="n">
        <v>10542</v>
      </c>
      <c r="K461" s="13" t="n">
        <v>10243.19</v>
      </c>
      <c r="L461" s="13" t="n">
        <v>900.3099999999999</v>
      </c>
      <c r="M461" s="13" t="n">
        <v>854.5</v>
      </c>
      <c r="N461" s="13" t="n">
        <v>4270</v>
      </c>
      <c r="O461" s="38" t="n">
        <v>20.01</v>
      </c>
      <c r="P461" s="39" t="inlineStr">
        <is>
          <t>Windy</t>
        </is>
      </c>
      <c r="Q461" s="13" t="n">
        <v>1663</v>
      </c>
      <c r="R461" s="13" t="n">
        <v>825.6900000000001</v>
      </c>
      <c r="S461" s="13" t="n">
        <v>-87.62</v>
      </c>
      <c r="T461" s="13" t="n">
        <v>9102.959999999999</v>
      </c>
      <c r="U461" s="13" t="n">
        <v>733.88</v>
      </c>
      <c r="V461" s="13" t="n">
        <v>461.76</v>
      </c>
      <c r="W461" s="13" t="n">
        <v>1152.12</v>
      </c>
      <c r="X461" s="13" t="n">
        <v>1679.7</v>
      </c>
      <c r="Y461" s="13" t="n">
        <v>1426.91</v>
      </c>
      <c r="Z461" s="19" t="n"/>
      <c r="AA461" s="18" t="n"/>
      <c r="AB461" s="38" t="n">
        <v>14.83</v>
      </c>
      <c r="AC461" s="14">
        <f>IFERROR(AVERAGEIFS($E$16:$E$736,$W$16:$W$736,"&gt;="&amp;W461-$C$5,$W$16:$W$736,"&lt;="&amp;W461+$C$5,$B$16:$B$736,B461,$A$16:$A$736,"&lt;&gt;"&amp;A461),"")</f>
        <v/>
      </c>
      <c r="AD461" s="14">
        <f>IF(AND(ISNUMBER(E461),ISNUMBER(AC461)),E461-AC461,"")</f>
        <v/>
      </c>
    </row>
    <row r="462">
      <c r="A462" s="17" t="n">
        <v>45825</v>
      </c>
      <c r="B462" s="29">
        <f>MONTH(A462)</f>
        <v/>
      </c>
      <c r="C462" s="29">
        <f>IF(AND(ISNUMBER(W462),ISNUMBER($C$4),ABS(W462-$C$4)&lt;=$C$5,ABS(MOD(B462-$C$6+6,12)-6)&lt;=$C$7,OR($C$8="Any",P462=$C$8)),1,0)</f>
        <v/>
      </c>
      <c r="D462" s="29">
        <f>IF(C462=1,COUNTIF($C$16:C462,1),"")</f>
        <v/>
      </c>
      <c r="E462" s="18" t="n">
        <v>80.78</v>
      </c>
      <c r="F462" s="18" t="n">
        <v>101.82</v>
      </c>
      <c r="G462" s="18" t="n">
        <v>38.69</v>
      </c>
      <c r="H462" s="38" t="n">
        <v>22.87</v>
      </c>
      <c r="I462" s="38" t="n">
        <v>17.67</v>
      </c>
      <c r="J462" s="13" t="n">
        <v>10694</v>
      </c>
      <c r="K462" s="13" t="n">
        <v>10230.56</v>
      </c>
      <c r="L462" s="13" t="n">
        <v>888.1900000000001</v>
      </c>
      <c r="M462" s="13" t="n">
        <v>887.04</v>
      </c>
      <c r="N462" s="13" t="n">
        <v>4270</v>
      </c>
      <c r="O462" s="38" t="n">
        <v>20.77</v>
      </c>
      <c r="P462" s="39" t="inlineStr">
        <is>
          <t>Windy</t>
        </is>
      </c>
      <c r="Q462" s="13" t="n">
        <v>1530</v>
      </c>
      <c r="R462" s="13" t="n">
        <v>758.01</v>
      </c>
      <c r="S462" s="13" t="n">
        <v>94.58</v>
      </c>
      <c r="T462" s="13" t="n">
        <v>9035.43</v>
      </c>
      <c r="U462" s="13" t="n">
        <v>712.42</v>
      </c>
      <c r="V462" s="13" t="n">
        <v>807.01</v>
      </c>
      <c r="W462" s="13" t="n">
        <v>886.71</v>
      </c>
      <c r="X462" s="13" t="n">
        <v>1722.8</v>
      </c>
      <c r="Y462" s="13" t="n">
        <v>1168.48</v>
      </c>
      <c r="Z462" s="19" t="n"/>
      <c r="AA462" s="18" t="n"/>
      <c r="AB462" s="38" t="n">
        <v>16.09</v>
      </c>
      <c r="AC462" s="14">
        <f>IFERROR(AVERAGEIFS($E$16:$E$736,$W$16:$W$736,"&gt;="&amp;W462-$C$5,$W$16:$W$736,"&lt;="&amp;W462+$C$5,$B$16:$B$736,B462,$A$16:$A$736,"&lt;&gt;"&amp;A462),"")</f>
        <v/>
      </c>
      <c r="AD462" s="14">
        <f>IF(AND(ISNUMBER(E462),ISNUMBER(AC462)),E462-AC462,"")</f>
        <v/>
      </c>
    </row>
    <row r="463">
      <c r="A463" s="17" t="n">
        <v>45824</v>
      </c>
      <c r="B463" s="29">
        <f>MONTH(A463)</f>
        <v/>
      </c>
      <c r="C463" s="29">
        <f>IF(AND(ISNUMBER(W463),ISNUMBER($C$4),ABS(W463-$C$4)&lt;=$C$5,ABS(MOD(B463-$C$6+6,12)-6)&lt;=$C$7,OR($C$8="Any",P463=$C$8)),1,0)</f>
        <v/>
      </c>
      <c r="D463" s="29">
        <f>IF(C463=1,COUNTIF($C$16:C463,1),"")</f>
        <v/>
      </c>
      <c r="E463" s="18" t="n">
        <v>177.5</v>
      </c>
      <c r="F463" s="18" t="n">
        <v>239.24</v>
      </c>
      <c r="G463" s="18" t="n">
        <v>54.01</v>
      </c>
      <c r="H463" s="38" t="n">
        <v>23.17</v>
      </c>
      <c r="I463" s="38" t="n">
        <v>16.42</v>
      </c>
      <c r="J463" s="13" t="n">
        <v>10675</v>
      </c>
      <c r="K463" s="13" t="n">
        <v>10207.94</v>
      </c>
      <c r="L463" s="13" t="n">
        <v>220.31</v>
      </c>
      <c r="M463" s="13" t="n">
        <v>333.38</v>
      </c>
      <c r="N463" s="13" t="n">
        <v>4270</v>
      </c>
      <c r="O463" s="38" t="n">
        <v>7.81</v>
      </c>
      <c r="P463" s="39" t="inlineStr">
        <is>
          <t>Calm</t>
        </is>
      </c>
      <c r="Q463" s="13" t="n">
        <v>1726</v>
      </c>
      <c r="R463" s="13" t="n">
        <v>817.9400000000001</v>
      </c>
      <c r="S463" s="13" t="n">
        <v>191.46</v>
      </c>
      <c r="T463" s="13" t="n">
        <v>8829.950000000001</v>
      </c>
      <c r="U463" s="13" t="n">
        <v>707.62</v>
      </c>
      <c r="V463" s="13" t="n">
        <v>250.5</v>
      </c>
      <c r="W463" s="13" t="n">
        <v>921.1900000000001</v>
      </c>
      <c r="X463" s="13" t="n">
        <v>1207.96</v>
      </c>
      <c r="Y463" s="13" t="n">
        <v>1207.94</v>
      </c>
      <c r="Z463" s="19" t="n"/>
      <c r="AA463" s="18" t="n"/>
      <c r="AB463" s="38" t="n">
        <v>7.58</v>
      </c>
      <c r="AC463" s="14">
        <f>IFERROR(AVERAGEIFS($E$16:$E$736,$W$16:$W$736,"&gt;="&amp;W463-$C$5,$W$16:$W$736,"&lt;="&amp;W463+$C$5,$B$16:$B$736,B463,$A$16:$A$736,"&lt;&gt;"&amp;A463),"")</f>
        <v/>
      </c>
      <c r="AD463" s="14">
        <f>IF(AND(ISNUMBER(E463),ISNUMBER(AC463)),E463-AC463,"")</f>
        <v/>
      </c>
    </row>
    <row r="464">
      <c r="A464" s="17" t="n">
        <v>45823</v>
      </c>
      <c r="B464" s="29">
        <f>MONTH(A464)</f>
        <v/>
      </c>
      <c r="C464" s="29">
        <f>IF(AND(ISNUMBER(W464),ISNUMBER($C$4),ABS(W464-$C$4)&lt;=$C$5,ABS(MOD(B464-$C$6+6,12)-6)&lt;=$C$7,OR($C$8="Any",P464=$C$8)),1,0)</f>
        <v/>
      </c>
      <c r="D464" s="29">
        <f>IF(C464=1,COUNTIF($C$16:C464,1),"")</f>
        <v/>
      </c>
      <c r="E464" s="18" t="n">
        <v>23.89</v>
      </c>
      <c r="F464" s="18" t="n">
        <v>20.87</v>
      </c>
      <c r="G464" s="18" t="n">
        <v>29.91</v>
      </c>
      <c r="H464" s="38" t="n">
        <v>21.43</v>
      </c>
      <c r="I464" s="38" t="n">
        <v>15.07</v>
      </c>
      <c r="J464" s="13" t="n">
        <v>10090</v>
      </c>
      <c r="K464" s="13" t="n">
        <v>9621.690000000001</v>
      </c>
      <c r="L464" s="13" t="n">
        <v>848.5</v>
      </c>
      <c r="M464" s="13" t="n">
        <v>806.46</v>
      </c>
      <c r="N464" s="13" t="n">
        <v>4270</v>
      </c>
      <c r="O464" s="38" t="n">
        <v>18.89</v>
      </c>
      <c r="P464" s="39" t="inlineStr">
        <is>
          <t>Windy</t>
        </is>
      </c>
      <c r="Q464" s="13" t="n">
        <v>1673</v>
      </c>
      <c r="R464" s="13" t="n">
        <v>815.39</v>
      </c>
      <c r="S464" s="13" t="n">
        <v>-15.67</v>
      </c>
      <c r="T464" s="13" t="n">
        <v>8809.59</v>
      </c>
      <c r="U464" s="13" t="n">
        <v>743.41</v>
      </c>
      <c r="V464" s="13" t="n">
        <v>73.16</v>
      </c>
      <c r="W464" s="13" t="n">
        <v>1541.61</v>
      </c>
      <c r="X464" s="13" t="n">
        <v>2002.67</v>
      </c>
      <c r="Y464" s="13" t="n">
        <v>1867.03</v>
      </c>
      <c r="Z464" s="19" t="n"/>
      <c r="AA464" s="18" t="n"/>
      <c r="AB464" s="38" t="n">
        <v>11.85</v>
      </c>
      <c r="AC464" s="14">
        <f>IFERROR(AVERAGEIFS($E$16:$E$736,$W$16:$W$736,"&gt;="&amp;W464-$C$5,$W$16:$W$736,"&lt;="&amp;W464+$C$5,$B$16:$B$736,B464,$A$16:$A$736,"&lt;&gt;"&amp;A464),"")</f>
        <v/>
      </c>
      <c r="AD464" s="14">
        <f>IF(AND(ISNUMBER(E464),ISNUMBER(AC464)),E464-AC464,"")</f>
        <v/>
      </c>
    </row>
    <row r="465">
      <c r="A465" s="17" t="n">
        <v>45822</v>
      </c>
      <c r="B465" s="29">
        <f>MONTH(A465)</f>
        <v/>
      </c>
      <c r="C465" s="29">
        <f>IF(AND(ISNUMBER(W465),ISNUMBER($C$4),ABS(W465-$C$4)&lt;=$C$5,ABS(MOD(B465-$C$6+6,12)-6)&lt;=$C$7,OR($C$8="Any",P465=$C$8)),1,0)</f>
        <v/>
      </c>
      <c r="D465" s="29">
        <f>IF(C465=1,COUNTIF($C$16:C465,1),"")</f>
        <v/>
      </c>
      <c r="E465" s="18" t="n">
        <v>66.42</v>
      </c>
      <c r="F465" s="18" t="n">
        <v>82.83</v>
      </c>
      <c r="G465" s="18" t="n">
        <v>33.62</v>
      </c>
      <c r="H465" s="38" t="n">
        <v>19.27</v>
      </c>
      <c r="I465" s="38" t="n">
        <v>14.73</v>
      </c>
      <c r="J465" s="13" t="n">
        <v>9859</v>
      </c>
      <c r="K465" s="13" t="n">
        <v>9584.25</v>
      </c>
      <c r="L465" s="13" t="n">
        <v>495.88</v>
      </c>
      <c r="M465" s="13" t="n">
        <v>700.08</v>
      </c>
      <c r="N465" s="13" t="n">
        <v>4270</v>
      </c>
      <c r="O465" s="38" t="n">
        <v>16.4</v>
      </c>
      <c r="P465" s="39" t="inlineStr">
        <is>
          <t>Windy</t>
        </is>
      </c>
      <c r="Q465" s="13" t="n">
        <v>1563</v>
      </c>
      <c r="R465" s="13" t="n">
        <v>820.49</v>
      </c>
      <c r="S465" s="13" t="n">
        <v>-78.54000000000001</v>
      </c>
      <c r="T465" s="13" t="n">
        <v>8804.48</v>
      </c>
      <c r="U465" s="13" t="n">
        <v>749.62</v>
      </c>
      <c r="V465" s="13" t="n">
        <v>71.01000000000001</v>
      </c>
      <c r="W465" s="13" t="n">
        <v>955.48</v>
      </c>
      <c r="X465" s="13" t="n">
        <v>1648.57</v>
      </c>
      <c r="Y465" s="13" t="n">
        <v>1198.45</v>
      </c>
      <c r="Z465" s="19" t="n"/>
      <c r="AA465" s="18" t="n"/>
      <c r="AB465" s="38" t="n">
        <v>13.41</v>
      </c>
      <c r="AC465" s="14">
        <f>IFERROR(AVERAGEIFS($E$16:$E$736,$W$16:$W$736,"&gt;="&amp;W465-$C$5,$W$16:$W$736,"&lt;="&amp;W465+$C$5,$B$16:$B$736,B465,$A$16:$A$736,"&lt;&gt;"&amp;A465),"")</f>
        <v/>
      </c>
      <c r="AD465" s="14">
        <f>IF(AND(ISNUMBER(E465),ISNUMBER(AC465)),E465-AC465,"")</f>
        <v/>
      </c>
    </row>
    <row r="466">
      <c r="A466" s="17" t="n">
        <v>45821</v>
      </c>
      <c r="B466" s="29">
        <f>MONTH(A466)</f>
        <v/>
      </c>
      <c r="C466" s="29">
        <f>IF(AND(ISNUMBER(W466),ISNUMBER($C$4),ABS(W466-$C$4)&lt;=$C$5,ABS(MOD(B466-$C$6+6,12)-6)&lt;=$C$7,OR($C$8="Any",P466=$C$8)),1,0)</f>
        <v/>
      </c>
      <c r="D466" s="29">
        <f>IF(C466=1,COUNTIF($C$16:C466,1),"")</f>
        <v/>
      </c>
      <c r="E466" s="18" t="n">
        <v>19.64</v>
      </c>
      <c r="F466" s="18" t="n">
        <v>19.21</v>
      </c>
      <c r="G466" s="18" t="n">
        <v>20.51</v>
      </c>
      <c r="H466" s="38" t="n">
        <v>20.4</v>
      </c>
      <c r="I466" s="38" t="n">
        <v>15.39</v>
      </c>
      <c r="J466" s="13" t="n">
        <v>10443</v>
      </c>
      <c r="K466" s="13" t="n">
        <v>10131.62</v>
      </c>
      <c r="L466" s="13" t="n">
        <v>1676</v>
      </c>
      <c r="M466" s="13" t="n">
        <v>1707.62</v>
      </c>
      <c r="N466" s="13" t="n">
        <v>4270</v>
      </c>
      <c r="O466" s="38" t="n">
        <v>39.99</v>
      </c>
      <c r="P466" s="39" t="inlineStr">
        <is>
          <t>Windy</t>
        </is>
      </c>
      <c r="Q466" s="13" t="n">
        <v>1543</v>
      </c>
      <c r="R466" s="13" t="n">
        <v>834.27</v>
      </c>
      <c r="S466" s="13" t="n">
        <v>-143.79</v>
      </c>
      <c r="T466" s="13" t="n">
        <v>8811.24</v>
      </c>
      <c r="U466" s="13" t="n">
        <v>756.5700000000001</v>
      </c>
      <c r="V466" s="13" t="n">
        <v>48.78</v>
      </c>
      <c r="W466" s="13" t="n">
        <v>1710.92</v>
      </c>
      <c r="X466" s="13" t="n">
        <v>2132.71</v>
      </c>
      <c r="Y466" s="13" t="n">
        <v>1973.54</v>
      </c>
      <c r="Z466" s="19" t="n"/>
      <c r="AA466" s="18" t="n"/>
      <c r="AB466" s="38" t="n">
        <v>18.23</v>
      </c>
      <c r="AC466" s="14">
        <f>IFERROR(AVERAGEIFS($E$16:$E$736,$W$16:$W$736,"&gt;="&amp;W466-$C$5,$W$16:$W$736,"&lt;="&amp;W466+$C$5,$B$16:$B$736,B466,$A$16:$A$736,"&lt;&gt;"&amp;A466),"")</f>
        <v/>
      </c>
      <c r="AD466" s="14">
        <f>IF(AND(ISNUMBER(E466),ISNUMBER(AC466)),E466-AC466,"")</f>
        <v/>
      </c>
    </row>
    <row r="467">
      <c r="A467" s="17" t="n">
        <v>45820</v>
      </c>
      <c r="B467" s="29">
        <f>MONTH(A467)</f>
        <v/>
      </c>
      <c r="C467" s="29">
        <f>IF(AND(ISNUMBER(W467),ISNUMBER($C$4),ABS(W467-$C$4)&lt;=$C$5,ABS(MOD(B467-$C$6+6,12)-6)&lt;=$C$7,OR($C$8="Any",P467=$C$8)),1,0)</f>
        <v/>
      </c>
      <c r="D467" s="29">
        <f>IF(C467=1,COUNTIF($C$16:C467,1),"")</f>
        <v/>
      </c>
      <c r="E467" s="18" t="n">
        <v>162.34</v>
      </c>
      <c r="F467" s="18" t="n">
        <v>233.56</v>
      </c>
      <c r="G467" s="18" t="n">
        <v>19.89</v>
      </c>
      <c r="H467" s="38" t="n">
        <v>17.9</v>
      </c>
      <c r="I467" s="38" t="n">
        <v>15.09</v>
      </c>
      <c r="J467" s="13" t="n">
        <v>10309</v>
      </c>
      <c r="K467" s="13" t="n">
        <v>10058.19</v>
      </c>
      <c r="L467" s="13" t="n">
        <v>965.6900000000001</v>
      </c>
      <c r="M467" s="13" t="n">
        <v>1370.04</v>
      </c>
      <c r="N467" s="13" t="n">
        <v>4270</v>
      </c>
      <c r="O467" s="38" t="n">
        <v>32.09</v>
      </c>
      <c r="P467" s="39" t="inlineStr">
        <is>
          <t>Windy</t>
        </is>
      </c>
      <c r="Q467" s="13" t="n">
        <v>632</v>
      </c>
      <c r="R467" s="13" t="n">
        <v>824.76</v>
      </c>
      <c r="S467" s="13" t="n">
        <v>-13.17</v>
      </c>
      <c r="T467" s="13" t="n">
        <v>8716.99</v>
      </c>
      <c r="U467" s="13" t="n">
        <v>710.39</v>
      </c>
      <c r="V467" s="13" t="n">
        <v>170.3</v>
      </c>
      <c r="W467" s="13" t="n">
        <v>673.0599999999999</v>
      </c>
      <c r="X467" s="13" t="n">
        <v>1104.88</v>
      </c>
      <c r="Y467" s="13" t="n">
        <v>972.1799999999999</v>
      </c>
      <c r="Z467" s="19" t="n"/>
      <c r="AA467" s="18" t="n"/>
      <c r="AB467" s="38" t="n">
        <v>18.06</v>
      </c>
      <c r="AC467" s="14">
        <f>IFERROR(AVERAGEIFS($E$16:$E$736,$W$16:$W$736,"&gt;="&amp;W467-$C$5,$W$16:$W$736,"&lt;="&amp;W467+$C$5,$B$16:$B$736,B467,$A$16:$A$736,"&lt;&gt;"&amp;A467),"")</f>
        <v/>
      </c>
      <c r="AD467" s="14">
        <f>IF(AND(ISNUMBER(E467),ISNUMBER(AC467)),E467-AC467,"")</f>
        <v/>
      </c>
    </row>
    <row r="468">
      <c r="A468" s="17" t="n">
        <v>45819</v>
      </c>
      <c r="B468" s="29">
        <f>MONTH(A468)</f>
        <v/>
      </c>
      <c r="C468" s="29">
        <f>IF(AND(ISNUMBER(W468),ISNUMBER($C$4),ABS(W468-$C$4)&lt;=$C$5,ABS(MOD(B468-$C$6+6,12)-6)&lt;=$C$7,OR($C$8="Any",P468=$C$8)),1,0)</f>
        <v/>
      </c>
      <c r="D468" s="29">
        <f>IF(C468=1,COUNTIF($C$16:C468,1),"")</f>
        <v/>
      </c>
      <c r="E468" s="18" t="n">
        <v>28.36</v>
      </c>
      <c r="F468" s="18" t="n">
        <v>32.36</v>
      </c>
      <c r="G468" s="18" t="n">
        <v>20.37</v>
      </c>
      <c r="H468" s="38" t="n">
        <v>22</v>
      </c>
      <c r="I468" s="38" t="n">
        <v>17.24</v>
      </c>
      <c r="J468" s="13" t="n">
        <v>10778</v>
      </c>
      <c r="K468" s="13" t="n">
        <v>10356.06</v>
      </c>
      <c r="L468" s="13" t="n">
        <v>1664.25</v>
      </c>
      <c r="M468" s="13" t="n">
        <v>1863.54</v>
      </c>
      <c r="N468" s="13" t="n">
        <v>4270</v>
      </c>
      <c r="O468" s="38" t="n">
        <v>43.64</v>
      </c>
      <c r="P468" s="39" t="inlineStr">
        <is>
          <t>Windy</t>
        </is>
      </c>
      <c r="Q468" s="13" t="n">
        <v>1637</v>
      </c>
      <c r="R468" s="13" t="n">
        <v>829.85</v>
      </c>
      <c r="S468" s="13" t="n">
        <v>-300.04</v>
      </c>
      <c r="T468" s="13" t="n">
        <v>8657.16</v>
      </c>
      <c r="U468" s="13" t="n">
        <v>742.55</v>
      </c>
      <c r="V468" s="13" t="n">
        <v>74.5</v>
      </c>
      <c r="W468" s="13" t="n">
        <v>1069.01</v>
      </c>
      <c r="X468" s="13" t="n">
        <v>1745.29</v>
      </c>
      <c r="Y468" s="13" t="n">
        <v>1333.82</v>
      </c>
      <c r="Z468" s="19" t="n"/>
      <c r="AA468" s="18" t="n"/>
      <c r="AB468" s="38" t="n">
        <v>15.9</v>
      </c>
      <c r="AC468" s="14">
        <f>IFERROR(AVERAGEIFS($E$16:$E$736,$W$16:$W$736,"&gt;="&amp;W468-$C$5,$W$16:$W$736,"&lt;="&amp;W468+$C$5,$B$16:$B$736,B468,$A$16:$A$736,"&lt;&gt;"&amp;A468),"")</f>
        <v/>
      </c>
      <c r="AD468" s="14">
        <f>IF(AND(ISNUMBER(E468),ISNUMBER(AC468)),E468-AC468,"")</f>
        <v/>
      </c>
    </row>
    <row r="469">
      <c r="A469" s="17" t="n">
        <v>45818</v>
      </c>
      <c r="B469" s="29">
        <f>MONTH(A469)</f>
        <v/>
      </c>
      <c r="C469" s="29">
        <f>IF(AND(ISNUMBER(W469),ISNUMBER($C$4),ABS(W469-$C$4)&lt;=$C$5,ABS(MOD(B469-$C$6+6,12)-6)&lt;=$C$7,OR($C$8="Any",P469=$C$8)),1,0)</f>
        <v/>
      </c>
      <c r="D469" s="29">
        <f>IF(C469=1,COUNTIF($C$16:C469,1),"")</f>
        <v/>
      </c>
      <c r="E469" s="18" t="n">
        <v>28.06</v>
      </c>
      <c r="F469" s="18" t="n">
        <v>35.07</v>
      </c>
      <c r="G469" s="18" t="n">
        <v>14.04</v>
      </c>
      <c r="H469" s="38" t="n">
        <v>23.57</v>
      </c>
      <c r="I469" s="38" t="n">
        <v>17.94</v>
      </c>
      <c r="J469" s="13" t="n">
        <v>10670</v>
      </c>
      <c r="K469" s="13" t="n">
        <v>10227.94</v>
      </c>
      <c r="L469" s="13" t="n">
        <v>1287.19</v>
      </c>
      <c r="M469" s="13" t="n">
        <v>1692.62</v>
      </c>
      <c r="N469" s="13" t="n">
        <v>4270</v>
      </c>
      <c r="O469" s="38" t="n">
        <v>39.64</v>
      </c>
      <c r="P469" s="39" t="inlineStr">
        <is>
          <t>Windy</t>
        </is>
      </c>
      <c r="Q469" s="13" t="n">
        <v>1722</v>
      </c>
      <c r="R469" s="13" t="n">
        <v>825.28</v>
      </c>
      <c r="S469" s="13" t="n">
        <v>-185.88</v>
      </c>
      <c r="T469" s="13" t="n">
        <v>8585.49</v>
      </c>
      <c r="U469" s="13" t="n">
        <v>730.8</v>
      </c>
      <c r="V469" s="13" t="n">
        <v>71.01000000000001</v>
      </c>
      <c r="W469" s="13" t="n">
        <v>1213.04</v>
      </c>
      <c r="X469" s="13" t="n">
        <v>1674.95</v>
      </c>
      <c r="Y469" s="13" t="n">
        <v>1485.24</v>
      </c>
      <c r="Z469" s="19" t="n"/>
      <c r="AA469" s="18" t="n"/>
      <c r="AB469" s="38" t="n">
        <v>14.53</v>
      </c>
      <c r="AC469" s="14">
        <f>IFERROR(AVERAGEIFS($E$16:$E$736,$W$16:$W$736,"&gt;="&amp;W469-$C$5,$W$16:$W$736,"&lt;="&amp;W469+$C$5,$B$16:$B$736,B469,$A$16:$A$736,"&lt;&gt;"&amp;A469),"")</f>
        <v/>
      </c>
      <c r="AD469" s="14">
        <f>IF(AND(ISNUMBER(E469),ISNUMBER(AC469)),E469-AC469,"")</f>
        <v/>
      </c>
    </row>
    <row r="470">
      <c r="A470" s="17" t="n">
        <v>45817</v>
      </c>
      <c r="B470" s="29">
        <f>MONTH(A470)</f>
        <v/>
      </c>
      <c r="C470" s="29">
        <f>IF(AND(ISNUMBER(W470),ISNUMBER($C$4),ABS(W470-$C$4)&lt;=$C$5,ABS(MOD(B470-$C$6+6,12)-6)&lt;=$C$7,OR($C$8="Any",P470=$C$8)),1,0)</f>
        <v/>
      </c>
      <c r="D470" s="29">
        <f>IF(C470=1,COUNTIF($C$16:C470,1),"")</f>
        <v/>
      </c>
      <c r="E470" s="18" t="n">
        <v>12.26</v>
      </c>
      <c r="F470" s="18" t="n">
        <v>16.39</v>
      </c>
      <c r="G470" s="18" t="n">
        <v>4.02</v>
      </c>
      <c r="H470" s="38" t="n">
        <v>26.6</v>
      </c>
      <c r="I470" s="38" t="n">
        <v>21.63</v>
      </c>
      <c r="J470" s="13" t="n">
        <v>10960</v>
      </c>
      <c r="K470" s="13" t="n">
        <v>10566.31</v>
      </c>
      <c r="L470" s="13" t="n">
        <v>2174.94</v>
      </c>
      <c r="M470" s="13" t="n">
        <v>2396.96</v>
      </c>
      <c r="N470" s="13" t="n">
        <v>4270</v>
      </c>
      <c r="O470" s="38" t="n">
        <v>56.13</v>
      </c>
      <c r="P470" s="39" t="inlineStr">
        <is>
          <t>Windy</t>
        </is>
      </c>
      <c r="Q470" s="13" t="n">
        <v>1743</v>
      </c>
      <c r="R470" s="13" t="n">
        <v>820.86</v>
      </c>
      <c r="S470" s="13" t="n">
        <v>-536.88</v>
      </c>
      <c r="T470" s="13" t="n">
        <v>8785.610000000001</v>
      </c>
      <c r="U470" s="13" t="n">
        <v>715.0599999999999</v>
      </c>
      <c r="V470" s="13" t="n">
        <v>370.18</v>
      </c>
      <c r="W470" s="13" t="n">
        <v>1608.88</v>
      </c>
      <c r="X470" s="13" t="n">
        <v>2063.65</v>
      </c>
      <c r="Y470" s="13" t="n">
        <v>1858.78</v>
      </c>
      <c r="Z470" s="19" t="n"/>
      <c r="AA470" s="18" t="n"/>
      <c r="AB470" s="38" t="n">
        <v>26.36</v>
      </c>
      <c r="AC470" s="14">
        <f>IFERROR(AVERAGEIFS($E$16:$E$736,$W$16:$W$736,"&gt;="&amp;W470-$C$5,$W$16:$W$736,"&lt;="&amp;W470+$C$5,$B$16:$B$736,B470,$A$16:$A$736,"&lt;&gt;"&amp;A470),"")</f>
        <v/>
      </c>
      <c r="AD470" s="14">
        <f>IF(AND(ISNUMBER(E470),ISNUMBER(AC470)),E470-AC470,"")</f>
        <v/>
      </c>
    </row>
    <row r="471">
      <c r="A471" s="17" t="n">
        <v>45816</v>
      </c>
      <c r="B471" s="29">
        <f>MONTH(A471)</f>
        <v/>
      </c>
      <c r="C471" s="29">
        <f>IF(AND(ISNUMBER(W471),ISNUMBER($C$4),ABS(W471-$C$4)&lt;=$C$5,ABS(MOD(B471-$C$6+6,12)-6)&lt;=$C$7,OR($C$8="Any",P471=$C$8)),1,0)</f>
        <v/>
      </c>
      <c r="D471" s="29">
        <f>IF(C471=1,COUNTIF($C$16:C471,1),"")</f>
        <v/>
      </c>
      <c r="E471" s="18" t="n">
        <v>169.61</v>
      </c>
      <c r="F471" s="18" t="n">
        <v>249.35</v>
      </c>
      <c r="G471" s="18" t="n">
        <v>10.13</v>
      </c>
      <c r="H471" s="38" t="n">
        <v>26.13</v>
      </c>
      <c r="I471" s="38" t="n">
        <v>17.69</v>
      </c>
      <c r="J471" s="13" t="n">
        <v>10244</v>
      </c>
      <c r="K471" s="13" t="n">
        <v>9748.190000000001</v>
      </c>
      <c r="L471" s="13" t="n">
        <v>954.4400000000001</v>
      </c>
      <c r="M471" s="13" t="n">
        <v>1300.83</v>
      </c>
      <c r="N471" s="13" t="n">
        <v>4270</v>
      </c>
      <c r="O471" s="38" t="n">
        <v>30.46</v>
      </c>
      <c r="P471" s="39" t="inlineStr">
        <is>
          <t>Windy</t>
        </is>
      </c>
      <c r="Q471" s="13" t="n">
        <v>1705</v>
      </c>
      <c r="R471" s="13" t="n">
        <v>810.41</v>
      </c>
      <c r="S471" s="13" t="n">
        <v>-459.83</v>
      </c>
      <c r="T471" s="13" t="n">
        <v>8704.280000000001</v>
      </c>
      <c r="U471" s="13" t="n">
        <v>675.8200000000001</v>
      </c>
      <c r="V471" s="13" t="n">
        <v>520.71</v>
      </c>
      <c r="W471" s="13" t="n">
        <v>33.85</v>
      </c>
      <c r="X471" s="13" t="n">
        <v>1607.55</v>
      </c>
      <c r="Y471" s="13" t="n">
        <v>381.57</v>
      </c>
      <c r="Z471" s="19" t="n"/>
      <c r="AA471" s="18" t="n"/>
      <c r="AB471" s="38" t="n">
        <v>12.49</v>
      </c>
      <c r="AC471" s="14">
        <f>IFERROR(AVERAGEIFS($E$16:$E$736,$W$16:$W$736,"&gt;="&amp;W471-$C$5,$W$16:$W$736,"&lt;="&amp;W471+$C$5,$B$16:$B$736,B471,$A$16:$A$736,"&lt;&gt;"&amp;A471),"")</f>
        <v/>
      </c>
      <c r="AD471" s="14">
        <f>IF(AND(ISNUMBER(E471),ISNUMBER(AC471)),E471-AC471,"")</f>
        <v/>
      </c>
    </row>
    <row r="472">
      <c r="A472" s="17" t="n">
        <v>45815</v>
      </c>
      <c r="B472" s="29">
        <f>MONTH(A472)</f>
        <v/>
      </c>
      <c r="C472" s="29">
        <f>IF(AND(ISNUMBER(W472),ISNUMBER($C$4),ABS(W472-$C$4)&lt;=$C$5,ABS(MOD(B472-$C$6+6,12)-6)&lt;=$C$7,OR($C$8="Any",P472=$C$8)),1,0)</f>
        <v/>
      </c>
      <c r="D472" s="29">
        <f>IF(C472=1,COUNTIF($C$16:C472,1),"")</f>
        <v/>
      </c>
      <c r="E472" s="18" t="n">
        <v>6.36</v>
      </c>
      <c r="F472" s="18" t="n">
        <v>6.13</v>
      </c>
      <c r="G472" s="18" t="n">
        <v>6.82</v>
      </c>
      <c r="H472" s="38" t="n">
        <v>19.43</v>
      </c>
      <c r="I472" s="38" t="n">
        <v>15.28</v>
      </c>
      <c r="J472" s="13" t="n">
        <v>9795</v>
      </c>
      <c r="K472" s="13" t="n">
        <v>9517.75</v>
      </c>
      <c r="L472" s="13" t="n">
        <v>2469.5</v>
      </c>
      <c r="M472" s="13" t="n">
        <v>2571.5</v>
      </c>
      <c r="N472" s="13" t="n">
        <v>4270</v>
      </c>
      <c r="O472" s="38" t="n">
        <v>60.22</v>
      </c>
      <c r="P472" s="39" t="inlineStr">
        <is>
          <t>Windy</t>
        </is>
      </c>
      <c r="Q472" s="13" t="n">
        <v>1420</v>
      </c>
      <c r="R472" s="13" t="n">
        <v>813</v>
      </c>
      <c r="S472" s="13" t="n">
        <v>-902.58</v>
      </c>
      <c r="T472" s="13" t="n">
        <v>8973.84</v>
      </c>
      <c r="U472" s="13" t="n">
        <v>646.1799999999999</v>
      </c>
      <c r="V472" s="13" t="n">
        <v>18.29</v>
      </c>
      <c r="W472" s="13" t="n">
        <v>1867.07</v>
      </c>
      <c r="X472" s="13" t="n">
        <v>2559.94</v>
      </c>
      <c r="Y472" s="13" t="n">
        <v>2217.01</v>
      </c>
      <c r="Z472" s="19" t="n"/>
      <c r="AA472" s="18" t="n"/>
      <c r="AB472" s="38" t="n">
        <v>26.08</v>
      </c>
      <c r="AC472" s="14">
        <f>IFERROR(AVERAGEIFS($E$16:$E$736,$W$16:$W$736,"&gt;="&amp;W472-$C$5,$W$16:$W$736,"&lt;="&amp;W472+$C$5,$B$16:$B$736,B472,$A$16:$A$736,"&lt;&gt;"&amp;A472),"")</f>
        <v/>
      </c>
      <c r="AD472" s="14">
        <f>IF(AND(ISNUMBER(E472),ISNUMBER(AC472)),E472-AC472,"")</f>
        <v/>
      </c>
    </row>
    <row r="473">
      <c r="A473" s="17" t="n">
        <v>45814</v>
      </c>
      <c r="B473" s="29">
        <f>MONTH(A473)</f>
        <v/>
      </c>
      <c r="C473" s="29">
        <f>IF(AND(ISNUMBER(W473),ISNUMBER($C$4),ABS(W473-$C$4)&lt;=$C$5,ABS(MOD(B473-$C$6+6,12)-6)&lt;=$C$7,OR($C$8="Any",P473=$C$8)),1,0)</f>
        <v/>
      </c>
      <c r="D473" s="29">
        <f>IF(C473=1,COUNTIF($C$16:C473,1),"")</f>
        <v/>
      </c>
      <c r="E473" s="18" t="n">
        <v>12.31</v>
      </c>
      <c r="F473" s="18" t="n">
        <v>17.89</v>
      </c>
      <c r="G473" s="18" t="n">
        <v>1.15</v>
      </c>
      <c r="H473" s="38" t="n">
        <v>24.1</v>
      </c>
      <c r="I473" s="38" t="n">
        <v>18.98</v>
      </c>
      <c r="J473" s="13" t="n">
        <v>10533</v>
      </c>
      <c r="K473" s="13" t="n">
        <v>10134.75</v>
      </c>
      <c r="L473" s="13" t="n">
        <v>2219.31</v>
      </c>
      <c r="M473" s="13" t="n">
        <v>2558.5</v>
      </c>
      <c r="N473" s="13" t="n">
        <v>4270</v>
      </c>
      <c r="O473" s="38" t="n">
        <v>59.92</v>
      </c>
      <c r="P473" s="39" t="inlineStr">
        <is>
          <t>Windy</t>
        </is>
      </c>
      <c r="Q473" s="13" t="n">
        <v>1506</v>
      </c>
      <c r="R473" s="13" t="n">
        <v>810.6</v>
      </c>
      <c r="S473" s="13" t="n">
        <v>-448.54</v>
      </c>
      <c r="T473" s="13" t="n">
        <v>8464.75</v>
      </c>
      <c r="U473" s="13" t="n">
        <v>641.08</v>
      </c>
      <c r="V473" s="13" t="n">
        <v>101.49</v>
      </c>
      <c r="W473" s="13" t="n">
        <v>1034.73</v>
      </c>
      <c r="X473" s="13" t="n">
        <v>1915.75</v>
      </c>
      <c r="Y473" s="13" t="n">
        <v>1382.7</v>
      </c>
      <c r="Z473" s="19" t="n"/>
      <c r="AA473" s="18" t="n"/>
      <c r="AB473" s="38" t="n">
        <v>29.95</v>
      </c>
      <c r="AC473" s="14">
        <f>IFERROR(AVERAGEIFS($E$16:$E$736,$W$16:$W$736,"&gt;="&amp;W473-$C$5,$W$16:$W$736,"&lt;="&amp;W473+$C$5,$B$16:$B$736,B473,$A$16:$A$736,"&lt;&gt;"&amp;A473),"")</f>
        <v/>
      </c>
      <c r="AD473" s="14">
        <f>IF(AND(ISNUMBER(E473),ISNUMBER(AC473)),E473-AC473,"")</f>
        <v/>
      </c>
    </row>
    <row r="474">
      <c r="A474" s="17" t="n">
        <v>45813</v>
      </c>
      <c r="B474" s="29">
        <f>MONTH(A474)</f>
        <v/>
      </c>
      <c r="C474" s="29">
        <f>IF(AND(ISNUMBER(W474),ISNUMBER($C$4),ABS(W474-$C$4)&lt;=$C$5,ABS(MOD(B474-$C$6+6,12)-6)&lt;=$C$7,OR($C$8="Any",P474=$C$8)),1,0)</f>
        <v/>
      </c>
      <c r="D474" s="29">
        <f>IF(C474=1,COUNTIF($C$16:C474,1),"")</f>
        <v/>
      </c>
      <c r="E474" s="18" t="n">
        <v>41.55</v>
      </c>
      <c r="F474" s="18" t="n">
        <v>48.36</v>
      </c>
      <c r="G474" s="18" t="n">
        <v>27.94</v>
      </c>
      <c r="H474" s="38" t="n">
        <v>23.63</v>
      </c>
      <c r="I474" s="38" t="n">
        <v>16.72</v>
      </c>
      <c r="J474" s="13" t="n">
        <v>10410</v>
      </c>
      <c r="K474" s="13" t="n">
        <v>10040.31</v>
      </c>
      <c r="L474" s="13" t="n">
        <v>837.3099999999999</v>
      </c>
      <c r="M474" s="13" t="n">
        <v>973.29</v>
      </c>
      <c r="N474" s="13" t="n">
        <v>4270</v>
      </c>
      <c r="O474" s="38" t="n">
        <v>22.79</v>
      </c>
      <c r="P474" s="39" t="inlineStr">
        <is>
          <t>Windy</t>
        </is>
      </c>
      <c r="Q474" s="13" t="n">
        <v>1758</v>
      </c>
      <c r="R474" s="13" t="n">
        <v>807.6</v>
      </c>
      <c r="S474" s="13" t="n">
        <v>-113.12</v>
      </c>
      <c r="T474" s="13" t="n">
        <v>8527.940000000001</v>
      </c>
      <c r="U474" s="13" t="n">
        <v>635.29</v>
      </c>
      <c r="V474" s="13" t="n">
        <v>424.53</v>
      </c>
      <c r="W474" s="13" t="n">
        <v>677.33</v>
      </c>
      <c r="X474" s="13" t="n">
        <v>1243.54</v>
      </c>
      <c r="Y474" s="13" t="n">
        <v>1055.32</v>
      </c>
      <c r="Z474" s="19" t="n"/>
      <c r="AA474" s="18" t="n"/>
      <c r="AB474" s="38" t="n">
        <v>15.96</v>
      </c>
      <c r="AC474" s="14">
        <f>IFERROR(AVERAGEIFS($E$16:$E$736,$W$16:$W$736,"&gt;="&amp;W474-$C$5,$W$16:$W$736,"&lt;="&amp;W474+$C$5,$B$16:$B$736,B474,$A$16:$A$736,"&lt;&gt;"&amp;A474),"")</f>
        <v/>
      </c>
      <c r="AD474" s="14">
        <f>IF(AND(ISNUMBER(E474),ISNUMBER(AC474)),E474-AC474,"")</f>
        <v/>
      </c>
    </row>
    <row r="475">
      <c r="A475" s="17" t="n">
        <v>45812</v>
      </c>
      <c r="B475" s="29">
        <f>MONTH(A475)</f>
        <v/>
      </c>
      <c r="C475" s="29">
        <f>IF(AND(ISNUMBER(W475),ISNUMBER($C$4),ABS(W475-$C$4)&lt;=$C$5,ABS(MOD(B475-$C$6+6,12)-6)&lt;=$C$7,OR($C$8="Any",P475=$C$8)),1,0)</f>
        <v/>
      </c>
      <c r="D475" s="29">
        <f>IF(C475=1,COUNTIF($C$16:C475,1),"")</f>
        <v/>
      </c>
      <c r="E475" s="18" t="n">
        <v>87.37</v>
      </c>
      <c r="F475" s="18" t="n">
        <v>121.11</v>
      </c>
      <c r="G475" s="18" t="n">
        <v>19.89</v>
      </c>
      <c r="H475" s="38" t="n">
        <v>18.63</v>
      </c>
      <c r="I475" s="38" t="n">
        <v>12.61</v>
      </c>
      <c r="J475" s="13" t="n">
        <v>10046</v>
      </c>
      <c r="K475" s="13" t="n">
        <v>9716.309999999999</v>
      </c>
      <c r="L475" s="13" t="n">
        <v>103.75</v>
      </c>
      <c r="M475" s="13" t="n">
        <v>281.54</v>
      </c>
      <c r="N475" s="13" t="n">
        <v>4270</v>
      </c>
      <c r="O475" s="38" t="n">
        <v>6.59</v>
      </c>
      <c r="P475" s="39" t="inlineStr">
        <is>
          <t>Calm</t>
        </is>
      </c>
      <c r="Q475" s="13" t="n">
        <v>1646</v>
      </c>
      <c r="R475" s="13" t="n">
        <v>800.5599999999999</v>
      </c>
      <c r="S475" s="13" t="n">
        <v>25.58</v>
      </c>
      <c r="T475" s="13" t="n">
        <v>8926.92</v>
      </c>
      <c r="U475" s="13" t="n">
        <v>637.39</v>
      </c>
      <c r="V475" s="13" t="n">
        <v>65.81999999999999</v>
      </c>
      <c r="W475" s="13" t="n">
        <v>556.95</v>
      </c>
      <c r="X475" s="13" t="n">
        <v>1262.14</v>
      </c>
      <c r="Y475" s="13" t="n">
        <v>912.01</v>
      </c>
      <c r="Z475" s="19" t="n"/>
      <c r="AA475" s="18" t="n"/>
      <c r="AB475" s="38" t="n">
        <v>7.61</v>
      </c>
      <c r="AC475" s="14">
        <f>IFERROR(AVERAGEIFS($E$16:$E$736,$W$16:$W$736,"&gt;="&amp;W475-$C$5,$W$16:$W$736,"&lt;="&amp;W475+$C$5,$B$16:$B$736,B475,$A$16:$A$736,"&lt;&gt;"&amp;A475),"")</f>
        <v/>
      </c>
      <c r="AD475" s="14">
        <f>IF(AND(ISNUMBER(E475),ISNUMBER(AC475)),E475-AC475,"")</f>
        <v/>
      </c>
    </row>
    <row r="476">
      <c r="A476" s="17" t="n">
        <v>45811</v>
      </c>
      <c r="B476" s="29">
        <f>MONTH(A476)</f>
        <v/>
      </c>
      <c r="C476" s="29">
        <f>IF(AND(ISNUMBER(W476),ISNUMBER($C$4),ABS(W476-$C$4)&lt;=$C$5,ABS(MOD(B476-$C$6+6,12)-6)&lt;=$C$7,OR($C$8="Any",P476=$C$8)),1,0)</f>
        <v/>
      </c>
      <c r="D476" s="29">
        <f>IF(C476=1,COUNTIF($C$16:C476,1),"")</f>
        <v/>
      </c>
      <c r="E476" s="18" t="n">
        <v>11.6</v>
      </c>
      <c r="F476" s="18" t="n">
        <v>12.95</v>
      </c>
      <c r="G476" s="18" t="n">
        <v>8.91</v>
      </c>
      <c r="H476" s="38" t="n">
        <v>15.47</v>
      </c>
      <c r="I476" s="38" t="n">
        <v>11.08</v>
      </c>
      <c r="J476" s="13" t="n">
        <v>9879</v>
      </c>
      <c r="K476" s="13" t="n">
        <v>9621.620000000001</v>
      </c>
      <c r="L476" s="13" t="n">
        <v>1169.38</v>
      </c>
      <c r="M476" s="13" t="n">
        <v>1199.75</v>
      </c>
      <c r="N476" s="13" t="n">
        <v>4270</v>
      </c>
      <c r="O476" s="38" t="n">
        <v>28.1</v>
      </c>
      <c r="P476" s="39" t="inlineStr">
        <is>
          <t>Windy</t>
        </is>
      </c>
      <c r="Q476" s="13" t="n">
        <v>1438</v>
      </c>
      <c r="R476" s="13" t="n">
        <v>815.54</v>
      </c>
      <c r="S476" s="13" t="n">
        <v>-337.58</v>
      </c>
      <c r="T476" s="13" t="n">
        <v>9000.02</v>
      </c>
      <c r="U476" s="13" t="n">
        <v>720.96</v>
      </c>
      <c r="V476" s="13" t="n">
        <v>16.14</v>
      </c>
      <c r="W476" s="13" t="n">
        <v>1432.71</v>
      </c>
      <c r="X476" s="13" t="n">
        <v>1838.74</v>
      </c>
      <c r="Y476" s="13" t="n">
        <v>1699.99</v>
      </c>
      <c r="Z476" s="19" t="n"/>
      <c r="AA476" s="18" t="n"/>
      <c r="AB476" s="38" t="n">
        <v>16.41</v>
      </c>
      <c r="AC476" s="14">
        <f>IFERROR(AVERAGEIFS($E$16:$E$736,$W$16:$W$736,"&gt;="&amp;W476-$C$5,$W$16:$W$736,"&lt;="&amp;W476+$C$5,$B$16:$B$736,B476,$A$16:$A$736,"&lt;&gt;"&amp;A476),"")</f>
        <v/>
      </c>
      <c r="AD476" s="14">
        <f>IF(AND(ISNUMBER(E476),ISNUMBER(AC476)),E476-AC476,"")</f>
        <v/>
      </c>
    </row>
    <row r="477">
      <c r="A477" s="17" t="n">
        <v>45810</v>
      </c>
      <c r="B477" s="29">
        <f>MONTH(A477)</f>
        <v/>
      </c>
      <c r="C477" s="29">
        <f>IF(AND(ISNUMBER(W477),ISNUMBER($C$4),ABS(W477-$C$4)&lt;=$C$5,ABS(MOD(B477-$C$6+6,12)-6)&lt;=$C$7,OR($C$8="Any",P477=$C$8)),1,0)</f>
        <v/>
      </c>
      <c r="D477" s="29">
        <f>IF(C477=1,COUNTIF($C$16:C477,1),"")</f>
        <v/>
      </c>
      <c r="E477" s="18" t="n">
        <v>13.11</v>
      </c>
      <c r="F477" s="18" t="n">
        <v>11.92</v>
      </c>
      <c r="G477" s="18" t="n">
        <v>15.51</v>
      </c>
      <c r="H477" s="38" t="n">
        <v>15.13</v>
      </c>
      <c r="I477" s="38" t="n">
        <v>10.61</v>
      </c>
      <c r="J477" s="13" t="n">
        <v>10071</v>
      </c>
      <c r="K477" s="13" t="n">
        <v>9739.690000000001</v>
      </c>
      <c r="L477" s="13" t="n">
        <v>1669.88</v>
      </c>
      <c r="M477" s="13" t="n">
        <v>1723.79</v>
      </c>
      <c r="N477" s="13" t="n">
        <v>4270</v>
      </c>
      <c r="O477" s="38" t="n">
        <v>40.37</v>
      </c>
      <c r="P477" s="39" t="inlineStr">
        <is>
          <t>Windy</t>
        </is>
      </c>
      <c r="Q477" s="13" t="n">
        <v>1480</v>
      </c>
      <c r="R477" s="13" t="n">
        <v>808.61</v>
      </c>
      <c r="S477" s="13" t="n">
        <v>-478.08</v>
      </c>
      <c r="T477" s="13" t="n">
        <v>8997.440000000001</v>
      </c>
      <c r="U477" s="13" t="n">
        <v>711.4299999999999</v>
      </c>
      <c r="V477" s="13" t="n">
        <v>81.05</v>
      </c>
      <c r="W477" s="13" t="n">
        <v>1243.1</v>
      </c>
      <c r="X477" s="13" t="n">
        <v>2283.66</v>
      </c>
      <c r="Y477" s="13" t="n">
        <v>1537.23</v>
      </c>
      <c r="Z477" s="19" t="n"/>
      <c r="AA477" s="18" t="n"/>
      <c r="AB477" s="38" t="n">
        <v>14.15</v>
      </c>
      <c r="AC477" s="14">
        <f>IFERROR(AVERAGEIFS($E$16:$E$736,$W$16:$W$736,"&gt;="&amp;W477-$C$5,$W$16:$W$736,"&lt;="&amp;W477+$C$5,$B$16:$B$736,B477,$A$16:$A$736,"&lt;&gt;"&amp;A477),"")</f>
        <v/>
      </c>
      <c r="AD477" s="14">
        <f>IF(AND(ISNUMBER(E477),ISNUMBER(AC477)),E477-AC477,"")</f>
        <v/>
      </c>
    </row>
    <row r="478">
      <c r="A478" s="17" t="n">
        <v>45809</v>
      </c>
      <c r="B478" s="29">
        <f>MONTH(A478)</f>
        <v/>
      </c>
      <c r="C478" s="29">
        <f>IF(AND(ISNUMBER(W478),ISNUMBER($C$4),ABS(W478-$C$4)&lt;=$C$5,ABS(MOD(B478-$C$6+6,12)-6)&lt;=$C$7,OR($C$8="Any",P478=$C$8)),1,0)</f>
        <v/>
      </c>
      <c r="D478" s="29">
        <f>IF(C478=1,COUNTIF($C$16:C478,1),"")</f>
        <v/>
      </c>
      <c r="E478" s="18" t="n">
        <v>7.57</v>
      </c>
      <c r="F478" s="18" t="n">
        <v>9.84</v>
      </c>
      <c r="G478" s="18" t="n">
        <v>3.04</v>
      </c>
      <c r="H478" s="38" t="n">
        <v>17.4</v>
      </c>
      <c r="I478" s="38" t="n">
        <v>12.79</v>
      </c>
      <c r="J478" s="13" t="n">
        <v>9546</v>
      </c>
      <c r="K478" s="13" t="n">
        <v>9244.940000000001</v>
      </c>
      <c r="L478" s="13" t="n">
        <v>1723.88</v>
      </c>
      <c r="M478" s="13" t="n">
        <v>1912.5</v>
      </c>
      <c r="N478" s="13" t="n">
        <v>4270</v>
      </c>
      <c r="O478" s="38" t="n">
        <v>44.79</v>
      </c>
      <c r="P478" s="39" t="inlineStr">
        <is>
          <t>Windy</t>
        </is>
      </c>
      <c r="Q478" s="13" t="n">
        <v>1417</v>
      </c>
      <c r="R478" s="13" t="n">
        <v>799.77</v>
      </c>
      <c r="S478" s="13" t="n">
        <v>-676.75</v>
      </c>
      <c r="T478" s="13" t="n">
        <v>9285.799999999999</v>
      </c>
      <c r="U478" s="13" t="n">
        <v>676.8099999999999</v>
      </c>
      <c r="V478" s="13" t="n">
        <v>465.16</v>
      </c>
      <c r="W478" s="13" t="n">
        <v>1616.95</v>
      </c>
      <c r="X478" s="13" t="n">
        <v>2850.79</v>
      </c>
      <c r="Y478" s="13" t="n">
        <v>1931.8</v>
      </c>
      <c r="Z478" s="19" t="n"/>
      <c r="AA478" s="18" t="n"/>
      <c r="AB478" s="38" t="n">
        <v>19.68</v>
      </c>
      <c r="AC478" s="14">
        <f>IFERROR(AVERAGEIFS($E$16:$E$736,$W$16:$W$736,"&gt;="&amp;W478-$C$5,$W$16:$W$736,"&lt;="&amp;W478+$C$5,$B$16:$B$736,B478,$A$16:$A$736,"&lt;&gt;"&amp;A478),"")</f>
        <v/>
      </c>
      <c r="AD478" s="14">
        <f>IF(AND(ISNUMBER(E478),ISNUMBER(AC478)),E478-AC478,"")</f>
        <v/>
      </c>
    </row>
    <row r="479">
      <c r="A479" s="17" t="n">
        <v>45808</v>
      </c>
      <c r="B479" s="29">
        <f>MONTH(A479)</f>
        <v/>
      </c>
      <c r="C479" s="29">
        <f>IF(AND(ISNUMBER(W479),ISNUMBER($C$4),ABS(W479-$C$4)&lt;=$C$5,ABS(MOD(B479-$C$6+6,12)-6)&lt;=$C$7,OR($C$8="Any",P479=$C$8)),1,0)</f>
        <v/>
      </c>
      <c r="D479" s="29">
        <f>IF(C479=1,COUNTIF($C$16:C479,1),"")</f>
        <v/>
      </c>
      <c r="E479" s="18" t="n">
        <v>8.06</v>
      </c>
      <c r="F479" s="18" t="n">
        <v>7.08</v>
      </c>
      <c r="G479" s="18" t="n">
        <v>10.02</v>
      </c>
      <c r="H479" s="38" t="n">
        <v>29.03</v>
      </c>
      <c r="I479" s="38" t="n">
        <v>20.87</v>
      </c>
      <c r="J479" s="13" t="n">
        <v>10650</v>
      </c>
      <c r="K479" s="13" t="n">
        <v>9985</v>
      </c>
      <c r="L479" s="13" t="n">
        <v>2329.88</v>
      </c>
      <c r="M479" s="13" t="n">
        <v>2329.54</v>
      </c>
      <c r="N479" s="13" t="n">
        <v>4270</v>
      </c>
      <c r="O479" s="38" t="n">
        <v>54.56</v>
      </c>
      <c r="P479" s="39" t="inlineStr">
        <is>
          <t>Windy</t>
        </is>
      </c>
      <c r="Q479" s="13" t="n">
        <v>1457</v>
      </c>
      <c r="R479" s="13" t="n">
        <v>785.4299999999999</v>
      </c>
      <c r="S479" s="13" t="n">
        <v>-515.17</v>
      </c>
      <c r="T479" s="13" t="n">
        <v>9423.030000000001</v>
      </c>
      <c r="U479" s="13" t="n">
        <v>674.78</v>
      </c>
      <c r="V479" s="13" t="n">
        <v>507.78</v>
      </c>
      <c r="W479" s="13" t="n">
        <v>2024.97</v>
      </c>
      <c r="X479" s="13" t="n">
        <v>2974.24</v>
      </c>
      <c r="Y479" s="13" t="n">
        <v>2357.58</v>
      </c>
      <c r="Z479" s="19" t="n"/>
      <c r="AA479" s="18" t="n"/>
      <c r="AB479" s="38" t="n">
        <v>22.67</v>
      </c>
      <c r="AC479" s="14">
        <f>IFERROR(AVERAGEIFS($E$16:$E$736,$W$16:$W$736,"&gt;="&amp;W479-$C$5,$W$16:$W$736,"&lt;="&amp;W479+$C$5,$B$16:$B$736,B479,$A$16:$A$736,"&lt;&gt;"&amp;A479),"")</f>
        <v/>
      </c>
      <c r="AD479" s="14">
        <f>IF(AND(ISNUMBER(E479),ISNUMBER(AC479)),E479-AC479,"")</f>
        <v/>
      </c>
    </row>
    <row r="480">
      <c r="A480" s="17" t="n">
        <v>45807</v>
      </c>
      <c r="B480" s="29">
        <f>MONTH(A480)</f>
        <v/>
      </c>
      <c r="C480" s="29">
        <f>IF(AND(ISNUMBER(W480),ISNUMBER($C$4),ABS(W480-$C$4)&lt;=$C$5,ABS(MOD(B480-$C$6+6,12)-6)&lt;=$C$7,OR($C$8="Any",P480=$C$8)),1,0)</f>
        <v/>
      </c>
      <c r="D480" s="29">
        <f>IF(C480=1,COUNTIF($C$16:C480,1),"")</f>
        <v/>
      </c>
      <c r="E480" s="18" t="n">
        <v>23.23</v>
      </c>
      <c r="F480" s="18" t="n">
        <v>30.78</v>
      </c>
      <c r="G480" s="18" t="n">
        <v>8.140000000000001</v>
      </c>
      <c r="H480" s="38" t="n">
        <v>24.67</v>
      </c>
      <c r="I480" s="38" t="n">
        <v>18.33</v>
      </c>
      <c r="J480" s="13" t="n">
        <v>10414</v>
      </c>
      <c r="K480" s="13" t="n">
        <v>9928.559999999999</v>
      </c>
      <c r="L480" s="13" t="n">
        <v>1314.06</v>
      </c>
      <c r="M480" s="13" t="n">
        <v>1753.67</v>
      </c>
      <c r="N480" s="13" t="n">
        <v>4270</v>
      </c>
      <c r="O480" s="38" t="n">
        <v>41.07</v>
      </c>
      <c r="P480" s="39" t="inlineStr">
        <is>
          <t>Windy</t>
        </is>
      </c>
      <c r="Q480" s="13" t="n">
        <v>1739</v>
      </c>
      <c r="R480" s="13" t="n">
        <v>783.74</v>
      </c>
      <c r="S480" s="13" t="n">
        <v>-428.92</v>
      </c>
      <c r="T480" s="13" t="n">
        <v>9252.73</v>
      </c>
      <c r="U480" s="13" t="n">
        <v>646.1799999999999</v>
      </c>
      <c r="V480" s="13" t="n">
        <v>238.36</v>
      </c>
      <c r="W480" s="13" t="n">
        <v>1350.81</v>
      </c>
      <c r="X480" s="13" t="n">
        <v>2278.04</v>
      </c>
      <c r="Y480" s="13" t="n">
        <v>1650.44</v>
      </c>
      <c r="Z480" s="19" t="n"/>
      <c r="AA480" s="18" t="n"/>
      <c r="AB480" s="38" t="n">
        <v>17.39</v>
      </c>
      <c r="AC480" s="14">
        <f>IFERROR(AVERAGEIFS($E$16:$E$736,$W$16:$W$736,"&gt;="&amp;W480-$C$5,$W$16:$W$736,"&lt;="&amp;W480+$C$5,$B$16:$B$736,B480,$A$16:$A$736,"&lt;&gt;"&amp;A480),"")</f>
        <v/>
      </c>
      <c r="AD480" s="14">
        <f>IF(AND(ISNUMBER(E480),ISNUMBER(AC480)),E480-AC480,"")</f>
        <v/>
      </c>
    </row>
    <row r="481">
      <c r="A481" s="17" t="n">
        <v>45806</v>
      </c>
      <c r="B481" s="29">
        <f>MONTH(A481)</f>
        <v/>
      </c>
      <c r="C481" s="29">
        <f>IF(AND(ISNUMBER(W481),ISNUMBER($C$4),ABS(W481-$C$4)&lt;=$C$5,ABS(MOD(B481-$C$6+6,12)-6)&lt;=$C$7,OR($C$8="Any",P481=$C$8)),1,0)</f>
        <v/>
      </c>
      <c r="D481" s="29">
        <f>IF(C481=1,COUNTIF($C$16:C481,1),"")</f>
        <v/>
      </c>
      <c r="E481" s="18" t="n">
        <v>12.17</v>
      </c>
      <c r="F481" s="18" t="n">
        <v>16.16</v>
      </c>
      <c r="G481" s="18" t="n">
        <v>4.21</v>
      </c>
      <c r="H481" s="38" t="n">
        <v>29.7</v>
      </c>
      <c r="I481" s="38" t="n">
        <v>20.91</v>
      </c>
      <c r="J481" s="13" t="n">
        <v>11317</v>
      </c>
      <c r="K481" s="13" t="n">
        <v>10728.25</v>
      </c>
      <c r="L481" s="13" t="n">
        <v>2442</v>
      </c>
      <c r="M481" s="13" t="n">
        <v>2493</v>
      </c>
      <c r="N481" s="13" t="n">
        <v>4270</v>
      </c>
      <c r="O481" s="38" t="n">
        <v>58.38</v>
      </c>
      <c r="P481" s="39" t="inlineStr">
        <is>
          <t>Windy</t>
        </is>
      </c>
      <c r="Q481" s="13" t="n">
        <v>1527</v>
      </c>
      <c r="R481" s="13" t="n">
        <v>756.55</v>
      </c>
      <c r="S481" s="13" t="n">
        <v>-504.25</v>
      </c>
      <c r="T481" s="13" t="n">
        <v>9341.9</v>
      </c>
      <c r="U481" s="13" t="n">
        <v>569.1799999999999</v>
      </c>
      <c r="V481" s="13" t="n">
        <v>245.82</v>
      </c>
      <c r="W481" s="13" t="n">
        <v>1284.08</v>
      </c>
      <c r="X481" s="13" t="n">
        <v>2225.46</v>
      </c>
      <c r="Y481" s="13" t="n">
        <v>1649.46</v>
      </c>
      <c r="Z481" s="19" t="n"/>
      <c r="AA481" s="18" t="n"/>
      <c r="AB481" s="38" t="n">
        <v>24.77</v>
      </c>
      <c r="AC481" s="14">
        <f>IFERROR(AVERAGEIFS($E$16:$E$736,$W$16:$W$736,"&gt;="&amp;W481-$C$5,$W$16:$W$736,"&lt;="&amp;W481+$C$5,$B$16:$B$736,B481,$A$16:$A$736,"&lt;&gt;"&amp;A481),"")</f>
        <v/>
      </c>
      <c r="AD481" s="14">
        <f>IF(AND(ISNUMBER(E481),ISNUMBER(AC481)),E481-AC481,"")</f>
        <v/>
      </c>
    </row>
    <row r="482">
      <c r="A482" s="17" t="n">
        <v>45805</v>
      </c>
      <c r="B482" s="29">
        <f>MONTH(A482)</f>
        <v/>
      </c>
      <c r="C482" s="29">
        <f>IF(AND(ISNUMBER(W482),ISNUMBER($C$4),ABS(W482-$C$4)&lt;=$C$5,ABS(MOD(B482-$C$6+6,12)-6)&lt;=$C$7,OR($C$8="Any",P482=$C$8)),1,0)</f>
        <v/>
      </c>
      <c r="D482" s="29">
        <f>IF(C482=1,COUNTIF($C$16:C482,1),"")</f>
        <v/>
      </c>
      <c r="E482" s="18" t="n">
        <v>239.24</v>
      </c>
      <c r="F482" s="18" t="n">
        <v>333.02</v>
      </c>
      <c r="G482" s="18" t="n">
        <v>51.69</v>
      </c>
      <c r="H482" s="38" t="n">
        <v>25.87</v>
      </c>
      <c r="I482" s="38" t="n">
        <v>19.05</v>
      </c>
      <c r="J482" s="13" t="n">
        <v>10954</v>
      </c>
      <c r="K482" s="13" t="n">
        <v>10359.81</v>
      </c>
      <c r="L482" s="13" t="n">
        <v>263.44</v>
      </c>
      <c r="M482" s="13" t="n">
        <v>301.71</v>
      </c>
      <c r="N482" s="13" t="n">
        <v>4270</v>
      </c>
      <c r="O482" s="38" t="n">
        <v>7.07</v>
      </c>
      <c r="P482" s="39" t="inlineStr">
        <is>
          <t>Calm</t>
        </is>
      </c>
      <c r="Q482" s="13" t="n">
        <v>1736</v>
      </c>
      <c r="R482" s="13" t="n">
        <v>719.61</v>
      </c>
      <c r="S482" s="13" t="n">
        <v>203.38</v>
      </c>
      <c r="T482" s="13" t="n">
        <v>8929.32</v>
      </c>
      <c r="U482" s="13" t="n">
        <v>587.8200000000001</v>
      </c>
      <c r="V482" s="13" t="n">
        <v>107.91</v>
      </c>
      <c r="W482" s="13" t="n">
        <v>493.93</v>
      </c>
      <c r="X482" s="13" t="n">
        <v>1072.04</v>
      </c>
      <c r="Y482" s="13" t="n">
        <v>685.77</v>
      </c>
      <c r="Z482" s="19" t="n"/>
      <c r="AA482" s="18" t="n"/>
      <c r="AB482" s="38" t="n">
        <v>15.91</v>
      </c>
      <c r="AC482" s="14">
        <f>IFERROR(AVERAGEIFS($E$16:$E$736,$W$16:$W$736,"&gt;="&amp;W482-$C$5,$W$16:$W$736,"&lt;="&amp;W482+$C$5,$B$16:$B$736,B482,$A$16:$A$736,"&lt;&gt;"&amp;A482),"")</f>
        <v/>
      </c>
      <c r="AD482" s="14">
        <f>IF(AND(ISNUMBER(E482),ISNUMBER(AC482)),E482-AC482,"")</f>
        <v/>
      </c>
    </row>
    <row r="483">
      <c r="A483" s="17" t="n">
        <v>45804</v>
      </c>
      <c r="B483" s="29">
        <f>MONTH(A483)</f>
        <v/>
      </c>
      <c r="C483" s="29">
        <f>IF(AND(ISNUMBER(W483),ISNUMBER($C$4),ABS(W483-$C$4)&lt;=$C$5,ABS(MOD(B483-$C$6+6,12)-6)&lt;=$C$7,OR($C$8="Any",P483=$C$8)),1,0)</f>
        <v/>
      </c>
      <c r="D483" s="29">
        <f>IF(C483=1,COUNTIF($C$16:C483,1),"")</f>
        <v/>
      </c>
      <c r="E483" s="18" t="n">
        <v>109.96</v>
      </c>
      <c r="F483" s="18" t="n">
        <v>154.39</v>
      </c>
      <c r="G483" s="18" t="n">
        <v>21.08</v>
      </c>
      <c r="H483" s="38" t="n">
        <v>23</v>
      </c>
      <c r="I483" s="38" t="n">
        <v>17.41</v>
      </c>
      <c r="J483" s="13" t="n">
        <v>10397</v>
      </c>
      <c r="K483" s="13" t="n">
        <v>10042.25</v>
      </c>
      <c r="L483" s="13" t="n">
        <v>904.12</v>
      </c>
      <c r="M483" s="13" t="n">
        <v>1423.62</v>
      </c>
      <c r="N483" s="13" t="n">
        <v>4270</v>
      </c>
      <c r="O483" s="38" t="n">
        <v>33.34</v>
      </c>
      <c r="P483" s="39" t="inlineStr">
        <is>
          <t>Windy</t>
        </is>
      </c>
      <c r="Q483" s="13" t="n">
        <v>1714</v>
      </c>
      <c r="R483" s="13" t="n">
        <v>779.8099999999999</v>
      </c>
      <c r="S483" s="13" t="n">
        <v>-25.5</v>
      </c>
      <c r="T483" s="13" t="n">
        <v>8644.66</v>
      </c>
      <c r="U483" s="13" t="n">
        <v>614.08</v>
      </c>
      <c r="V483" s="13" t="n">
        <v>402.08</v>
      </c>
      <c r="W483" s="13" t="n">
        <v>584.58</v>
      </c>
      <c r="X483" s="13" t="n">
        <v>1608.25</v>
      </c>
      <c r="Y483" s="13" t="n">
        <v>909.7</v>
      </c>
      <c r="Z483" s="19" t="n"/>
      <c r="AA483" s="18" t="n"/>
      <c r="AB483" s="38" t="n">
        <v>18.57</v>
      </c>
      <c r="AC483" s="14">
        <f>IFERROR(AVERAGEIFS($E$16:$E$736,$W$16:$W$736,"&gt;="&amp;W483-$C$5,$W$16:$W$736,"&lt;="&amp;W483+$C$5,$B$16:$B$736,B483,$A$16:$A$736,"&lt;&gt;"&amp;A483),"")</f>
        <v/>
      </c>
      <c r="AD483" s="14">
        <f>IF(AND(ISNUMBER(E483),ISNUMBER(AC483)),E483-AC483,"")</f>
        <v/>
      </c>
    </row>
    <row r="484">
      <c r="A484" s="17" t="n">
        <v>45799</v>
      </c>
      <c r="B484" s="29">
        <f>MONTH(A484)</f>
        <v/>
      </c>
      <c r="C484" s="29">
        <f>IF(AND(ISNUMBER(W484),ISNUMBER($C$4),ABS(W484-$C$4)&lt;=$C$5,ABS(MOD(B484-$C$6+6,12)-6)&lt;=$C$7,OR($C$8="Any",P484=$C$8)),1,0)</f>
        <v/>
      </c>
      <c r="D484" s="29">
        <f>IF(C484=1,COUNTIF($C$16:C484,1),"")</f>
        <v/>
      </c>
      <c r="E484" s="18" t="n">
        <v>40.14</v>
      </c>
      <c r="F484" s="18" t="n">
        <v>33.64</v>
      </c>
      <c r="G484" s="18" t="n">
        <v>53.15</v>
      </c>
      <c r="H484" s="38" t="n">
        <v>14.67</v>
      </c>
      <c r="I484" s="38" t="n">
        <v>8.81</v>
      </c>
      <c r="J484" s="13" t="n">
        <v>9781</v>
      </c>
      <c r="K484" s="13" t="n">
        <v>9567.120000000001</v>
      </c>
      <c r="L484" s="13" t="n">
        <v>508</v>
      </c>
      <c r="M484" s="13" t="n">
        <v>465.38</v>
      </c>
      <c r="N484" s="13" t="n">
        <v>4270</v>
      </c>
      <c r="O484" s="38" t="n">
        <v>10.9</v>
      </c>
      <c r="P484" s="39" t="inlineStr">
        <is>
          <t>Calm</t>
        </is>
      </c>
      <c r="Q484" s="13" t="n">
        <v>1558</v>
      </c>
      <c r="R484" s="13" t="n">
        <v>765.65</v>
      </c>
      <c r="S484" s="13" t="n">
        <v>39.96</v>
      </c>
      <c r="T484" s="13" t="n">
        <v>9355.629999999999</v>
      </c>
      <c r="U484" s="13" t="n">
        <v>812.85</v>
      </c>
      <c r="V484" s="13" t="n">
        <v>153.74</v>
      </c>
      <c r="W484" s="13" t="n">
        <v>1791.17</v>
      </c>
      <c r="X484" s="13" t="n">
        <v>2292.3</v>
      </c>
      <c r="Y484" s="13" t="n">
        <v>1935.84</v>
      </c>
      <c r="Z484" s="19" t="n"/>
      <c r="AA484" s="18" t="n"/>
      <c r="AB484" s="38" t="n">
        <v>9.550000000000001</v>
      </c>
      <c r="AC484" s="14">
        <f>IFERROR(AVERAGEIFS($E$16:$E$736,$W$16:$W$736,"&gt;="&amp;W484-$C$5,$W$16:$W$736,"&lt;="&amp;W484+$C$5,$B$16:$B$736,B484,$A$16:$A$736,"&lt;&gt;"&amp;A484),"")</f>
        <v/>
      </c>
      <c r="AD484" s="14">
        <f>IF(AND(ISNUMBER(E484),ISNUMBER(AC484)),E484-AC484,"")</f>
        <v/>
      </c>
    </row>
    <row r="485">
      <c r="A485" s="17" t="n">
        <v>45798</v>
      </c>
      <c r="B485" s="29">
        <f>MONTH(A485)</f>
        <v/>
      </c>
      <c r="C485" s="29">
        <f>IF(AND(ISNUMBER(W485),ISNUMBER($C$4),ABS(W485-$C$4)&lt;=$C$5,ABS(MOD(B485-$C$6+6,12)-6)&lt;=$C$7,OR($C$8="Any",P485=$C$8)),1,0)</f>
        <v/>
      </c>
      <c r="D485" s="29">
        <f>IF(C485=1,COUNTIF($C$16:C485,1),"")</f>
        <v/>
      </c>
      <c r="E485" s="18" t="n">
        <v>41.88</v>
      </c>
      <c r="F485" s="18" t="n">
        <v>50.89</v>
      </c>
      <c r="G485" s="18" t="n">
        <v>23.86</v>
      </c>
      <c r="H485" s="38" t="n">
        <v>11.1</v>
      </c>
      <c r="I485" s="38" t="n">
        <v>8.039999999999999</v>
      </c>
      <c r="J485" s="13" t="n">
        <v>9919</v>
      </c>
      <c r="K485" s="13" t="n">
        <v>9743.559999999999</v>
      </c>
      <c r="L485" s="13" t="n">
        <v>1497.62</v>
      </c>
      <c r="M485" s="13" t="n">
        <v>1624.67</v>
      </c>
      <c r="N485" s="13" t="n">
        <v>4270</v>
      </c>
      <c r="O485" s="38" t="n">
        <v>38.05</v>
      </c>
      <c r="P485" s="39" t="inlineStr">
        <is>
          <t>Windy</t>
        </is>
      </c>
      <c r="Q485" s="13" t="n">
        <v>997</v>
      </c>
      <c r="R485" s="13" t="n">
        <v>771.38</v>
      </c>
      <c r="S485" s="13" t="n">
        <v>-220.83</v>
      </c>
      <c r="T485" s="13" t="n">
        <v>9341.969999999999</v>
      </c>
      <c r="U485" s="13" t="n">
        <v>835.05</v>
      </c>
      <c r="V485" s="13" t="n">
        <v>79.26000000000001</v>
      </c>
      <c r="W485" s="13" t="n">
        <v>1370.27</v>
      </c>
      <c r="X485" s="13" t="n">
        <v>2594.74</v>
      </c>
      <c r="Y485" s="13" t="n">
        <v>1473.62</v>
      </c>
      <c r="Z485" s="19" t="n"/>
      <c r="AA485" s="18" t="n"/>
      <c r="AB485" s="38" t="n">
        <v>18.71</v>
      </c>
      <c r="AC485" s="14">
        <f>IFERROR(AVERAGEIFS($E$16:$E$736,$W$16:$W$736,"&gt;="&amp;W485-$C$5,$W$16:$W$736,"&lt;="&amp;W485+$C$5,$B$16:$B$736,B485,$A$16:$A$736,"&lt;&gt;"&amp;A485),"")</f>
        <v/>
      </c>
      <c r="AD485" s="14">
        <f>IF(AND(ISNUMBER(E485),ISNUMBER(AC485)),E485-AC485,"")</f>
        <v/>
      </c>
    </row>
    <row r="486">
      <c r="A486" s="17" t="n">
        <v>45797</v>
      </c>
      <c r="B486" s="29">
        <f>MONTH(A486)</f>
        <v/>
      </c>
      <c r="C486" s="29">
        <f>IF(AND(ISNUMBER(W486),ISNUMBER($C$4),ABS(W486-$C$4)&lt;=$C$5,ABS(MOD(B486-$C$6+6,12)-6)&lt;=$C$7,OR($C$8="Any",P486=$C$8)),1,0)</f>
        <v/>
      </c>
      <c r="D486" s="29">
        <f>IF(C486=1,COUNTIF($C$16:C486,1),"")</f>
        <v/>
      </c>
      <c r="E486" s="18" t="n">
        <v>17.54</v>
      </c>
      <c r="F486" s="18" t="n">
        <v>18.3</v>
      </c>
      <c r="G486" s="18" t="n">
        <v>16</v>
      </c>
      <c r="H486" s="38" t="n">
        <v>12.97</v>
      </c>
      <c r="I486" s="38" t="n">
        <v>8.98</v>
      </c>
      <c r="J486" s="13" t="n">
        <v>9982</v>
      </c>
      <c r="K486" s="13" t="n">
        <v>9749.190000000001</v>
      </c>
      <c r="L486" s="13" t="n">
        <v>2183.69</v>
      </c>
      <c r="M486" s="13" t="n">
        <v>2379.92</v>
      </c>
      <c r="N486" s="13" t="n">
        <v>4270</v>
      </c>
      <c r="O486" s="38" t="n">
        <v>55.74</v>
      </c>
      <c r="P486" s="39" t="inlineStr">
        <is>
          <t>Windy</t>
        </is>
      </c>
      <c r="Q486" s="13" t="n">
        <v>1362</v>
      </c>
      <c r="R486" s="13" t="n">
        <v>762.16</v>
      </c>
      <c r="S486" s="13" t="n">
        <v>-428.46</v>
      </c>
      <c r="T486" s="13" t="n">
        <v>9204.91</v>
      </c>
      <c r="U486" s="13" t="n">
        <v>840.4</v>
      </c>
      <c r="V486" s="13" t="n">
        <v>298.54</v>
      </c>
      <c r="W486" s="13" t="n">
        <v>2433.81</v>
      </c>
      <c r="X486" s="13" t="n">
        <v>3036.12</v>
      </c>
      <c r="Y486" s="13" t="n">
        <v>2520.43</v>
      </c>
      <c r="Z486" s="19" t="n"/>
      <c r="AA486" s="18" t="n"/>
      <c r="AB486" s="38" t="n">
        <v>18.45</v>
      </c>
      <c r="AC486" s="14">
        <f>IFERROR(AVERAGEIFS($E$16:$E$736,$W$16:$W$736,"&gt;="&amp;W486-$C$5,$W$16:$W$736,"&lt;="&amp;W486+$C$5,$B$16:$B$736,B486,$A$16:$A$736,"&lt;&gt;"&amp;A486),"")</f>
        <v/>
      </c>
      <c r="AD486" s="14">
        <f>IF(AND(ISNUMBER(E486),ISNUMBER(AC486)),E486-AC486,"")</f>
        <v/>
      </c>
    </row>
    <row r="487">
      <c r="A487" s="17" t="n">
        <v>45796</v>
      </c>
      <c r="B487" s="29">
        <f>MONTH(A487)</f>
        <v/>
      </c>
      <c r="C487" s="29">
        <f>IF(AND(ISNUMBER(W487),ISNUMBER($C$4),ABS(W487-$C$4)&lt;=$C$5,ABS(MOD(B487-$C$6+6,12)-6)&lt;=$C$7,OR($C$8="Any",P487=$C$8)),1,0)</f>
        <v/>
      </c>
      <c r="D487" s="29">
        <f>IF(C487=1,COUNTIF($C$16:C487,1),"")</f>
        <v/>
      </c>
      <c r="E487" s="18" t="n">
        <v>28.69</v>
      </c>
      <c r="F487" s="18" t="n">
        <v>20.68</v>
      </c>
      <c r="G487" s="18" t="n">
        <v>44.69</v>
      </c>
      <c r="H487" s="38" t="n">
        <v>11.8</v>
      </c>
      <c r="I487" s="38" t="n">
        <v>8.06</v>
      </c>
      <c r="J487" s="13" t="n">
        <v>9572</v>
      </c>
      <c r="K487" s="13" t="n">
        <v>9357.75</v>
      </c>
      <c r="L487" s="13" t="n">
        <v>1878.88</v>
      </c>
      <c r="M487" s="13" t="n">
        <v>1567.88</v>
      </c>
      <c r="N487" s="13" t="n">
        <v>4270</v>
      </c>
      <c r="O487" s="38" t="n">
        <v>36.72</v>
      </c>
      <c r="P487" s="39" t="inlineStr">
        <is>
          <t>Windy</t>
        </is>
      </c>
      <c r="Q487" s="13" t="n">
        <v>1384</v>
      </c>
      <c r="R487" s="13" t="n">
        <v>780.78</v>
      </c>
      <c r="S487" s="13" t="n">
        <v>-264.83</v>
      </c>
      <c r="T487" s="13" t="n">
        <v>9508.959999999999</v>
      </c>
      <c r="U487" s="13" t="n">
        <v>827.54</v>
      </c>
      <c r="V487" s="13" t="n">
        <v>269.84</v>
      </c>
      <c r="W487" s="13" t="n">
        <v>2204.59</v>
      </c>
      <c r="X487" s="13" t="n">
        <v>3422.75</v>
      </c>
      <c r="Y487" s="13" t="n">
        <v>2358</v>
      </c>
      <c r="Z487" s="19" t="n"/>
      <c r="AA487" s="18" t="n"/>
      <c r="AB487" s="38" t="n">
        <v>23.96</v>
      </c>
      <c r="AC487" s="14">
        <f>IFERROR(AVERAGEIFS($E$16:$E$736,$W$16:$W$736,"&gt;="&amp;W487-$C$5,$W$16:$W$736,"&lt;="&amp;W487+$C$5,$B$16:$B$736,B487,$A$16:$A$736,"&lt;&gt;"&amp;A487),"")</f>
        <v/>
      </c>
      <c r="AD487" s="14">
        <f>IF(AND(ISNUMBER(E487),ISNUMBER(AC487)),E487-AC487,"")</f>
        <v/>
      </c>
    </row>
    <row r="488">
      <c r="A488" s="17" t="n">
        <v>45795</v>
      </c>
      <c r="B488" s="29">
        <f>MONTH(A488)</f>
        <v/>
      </c>
      <c r="C488" s="29">
        <f>IF(AND(ISNUMBER(W488),ISNUMBER($C$4),ABS(W488-$C$4)&lt;=$C$5,ABS(MOD(B488-$C$6+6,12)-6)&lt;=$C$7,OR($C$8="Any",P488=$C$8)),1,0)</f>
        <v/>
      </c>
      <c r="D488" s="29">
        <f>IF(C488=1,COUNTIF($C$16:C488,1),"")</f>
        <v/>
      </c>
      <c r="E488" s="18" t="n">
        <v>15.79</v>
      </c>
      <c r="F488" s="18" t="n">
        <v>15.4</v>
      </c>
      <c r="G488" s="18" t="n">
        <v>16.58</v>
      </c>
      <c r="H488" s="38" t="n">
        <v>12.1</v>
      </c>
      <c r="I488" s="38" t="n">
        <v>8.77</v>
      </c>
      <c r="J488" s="13" t="n">
        <v>9544</v>
      </c>
      <c r="K488" s="13" t="n">
        <v>9216.440000000001</v>
      </c>
      <c r="L488" s="13" t="n">
        <v>2169.12</v>
      </c>
      <c r="M488" s="13" t="n">
        <v>2156.92</v>
      </c>
      <c r="N488" s="13" t="n">
        <v>4270</v>
      </c>
      <c r="O488" s="38" t="n">
        <v>50.51</v>
      </c>
      <c r="P488" s="39" t="inlineStr">
        <is>
          <t>Windy</t>
        </is>
      </c>
      <c r="Q488" s="13" t="n">
        <v>1059</v>
      </c>
      <c r="R488" s="13" t="n">
        <v>780.03</v>
      </c>
      <c r="S488" s="13" t="n">
        <v>-173.92</v>
      </c>
      <c r="T488" s="13" t="n">
        <v>9350.26</v>
      </c>
      <c r="U488" s="13" t="n">
        <v>803.25</v>
      </c>
      <c r="V488" s="13" t="n">
        <v>92.81999999999999</v>
      </c>
      <c r="W488" s="13" t="n">
        <v>2733.32</v>
      </c>
      <c r="X488" s="13" t="n">
        <v>3650.82</v>
      </c>
      <c r="Y488" s="13" t="n">
        <v>2877.06</v>
      </c>
      <c r="Z488" s="19" t="n"/>
      <c r="AA488" s="18" t="n"/>
      <c r="AB488" s="38" t="n">
        <v>18.64</v>
      </c>
      <c r="AC488" s="14">
        <f>IFERROR(AVERAGEIFS($E$16:$E$736,$W$16:$W$736,"&gt;="&amp;W488-$C$5,$W$16:$W$736,"&lt;="&amp;W488+$C$5,$B$16:$B$736,B488,$A$16:$A$736,"&lt;&gt;"&amp;A488),"")</f>
        <v/>
      </c>
      <c r="AD488" s="14">
        <f>IF(AND(ISNUMBER(E488),ISNUMBER(AC488)),E488-AC488,"")</f>
        <v/>
      </c>
    </row>
    <row r="489">
      <c r="A489" s="17" t="n">
        <v>45794</v>
      </c>
      <c r="B489" s="29">
        <f>MONTH(A489)</f>
        <v/>
      </c>
      <c r="C489" s="29">
        <f>IF(AND(ISNUMBER(W489),ISNUMBER($C$4),ABS(W489-$C$4)&lt;=$C$5,ABS(MOD(B489-$C$6+6,12)-6)&lt;=$C$7,OR($C$8="Any",P489=$C$8)),1,0)</f>
        <v/>
      </c>
      <c r="D489" s="29">
        <f>IF(C489=1,COUNTIF($C$16:C489,1),"")</f>
        <v/>
      </c>
      <c r="E489" s="18" t="n">
        <v>27.52</v>
      </c>
      <c r="F489" s="18" t="n">
        <v>23.44</v>
      </c>
      <c r="G489" s="18" t="n">
        <v>35.69</v>
      </c>
      <c r="H489" s="38" t="n">
        <v>14.67</v>
      </c>
      <c r="I489" s="38" t="n">
        <v>9.74</v>
      </c>
      <c r="J489" s="13" t="n">
        <v>9330</v>
      </c>
      <c r="K489" s="13" t="n">
        <v>9129.379999999999</v>
      </c>
      <c r="L489" s="13" t="n">
        <v>1178.19</v>
      </c>
      <c r="M489" s="13" t="n">
        <v>1219.38</v>
      </c>
      <c r="N489" s="13" t="n">
        <v>4270</v>
      </c>
      <c r="O489" s="38" t="n">
        <v>28.56</v>
      </c>
      <c r="P489" s="39" t="inlineStr">
        <is>
          <t>Windy</t>
        </is>
      </c>
      <c r="Q489" s="13" t="n">
        <v>1304</v>
      </c>
      <c r="R489" s="13" t="n">
        <v>780.67</v>
      </c>
      <c r="S489" s="13" t="n">
        <v>-130.96</v>
      </c>
      <c r="T489" s="13" t="n">
        <v>9238.16</v>
      </c>
      <c r="U489" s="13" t="n">
        <v>836.83</v>
      </c>
      <c r="V489" s="13" t="n">
        <v>43.05</v>
      </c>
      <c r="W489" s="13" t="n">
        <v>2712.49</v>
      </c>
      <c r="X489" s="13" t="n">
        <v>3018.26</v>
      </c>
      <c r="Y489" s="13" t="n">
        <v>2844.09</v>
      </c>
      <c r="Z489" s="19" t="n"/>
      <c r="AA489" s="18" t="n"/>
      <c r="AB489" s="38" t="n">
        <v>14.58</v>
      </c>
      <c r="AC489" s="14">
        <f>IFERROR(AVERAGEIFS($E$16:$E$736,$W$16:$W$736,"&gt;="&amp;W489-$C$5,$W$16:$W$736,"&lt;="&amp;W489+$C$5,$B$16:$B$736,B489,$A$16:$A$736,"&lt;&gt;"&amp;A489),"")</f>
        <v/>
      </c>
      <c r="AD489" s="14">
        <f>IF(AND(ISNUMBER(E489),ISNUMBER(AC489)),E489-AC489,"")</f>
        <v/>
      </c>
    </row>
    <row r="490">
      <c r="A490" s="17" t="n">
        <v>45793</v>
      </c>
      <c r="B490" s="29">
        <f>MONTH(A490)</f>
        <v/>
      </c>
      <c r="C490" s="29">
        <f>IF(AND(ISNUMBER(W490),ISNUMBER($C$4),ABS(W490-$C$4)&lt;=$C$5,ABS(MOD(B490-$C$6+6,12)-6)&lt;=$C$7,OR($C$8="Any",P490=$C$8)),1,0)</f>
        <v/>
      </c>
      <c r="D490" s="29">
        <f>IF(C490=1,COUNTIF($C$16:C490,1),"")</f>
        <v/>
      </c>
      <c r="E490" s="18" t="n">
        <v>37.86</v>
      </c>
      <c r="F490" s="18" t="n">
        <v>34.98</v>
      </c>
      <c r="G490" s="18" t="n">
        <v>43.61</v>
      </c>
      <c r="H490" s="38" t="n">
        <v>13.07</v>
      </c>
      <c r="I490" s="38" t="n">
        <v>7.6</v>
      </c>
      <c r="J490" s="13" t="n">
        <v>9705</v>
      </c>
      <c r="K490" s="13" t="n">
        <v>9513.379999999999</v>
      </c>
      <c r="L490" s="13" t="n">
        <v>231.94</v>
      </c>
      <c r="M490" s="13" t="n">
        <v>264.04</v>
      </c>
      <c r="N490" s="13" t="n">
        <v>4270</v>
      </c>
      <c r="O490" s="38" t="n">
        <v>6.18</v>
      </c>
      <c r="P490" s="39" t="inlineStr">
        <is>
          <t>Calm</t>
        </is>
      </c>
      <c r="Q490" s="13" t="n">
        <v>1317</v>
      </c>
      <c r="R490" s="13" t="n">
        <v>782.09</v>
      </c>
      <c r="S490" s="13" t="n">
        <v>87.62</v>
      </c>
      <c r="T490" s="13" t="n">
        <v>9142.790000000001</v>
      </c>
      <c r="U490" s="13" t="n">
        <v>819.73</v>
      </c>
      <c r="V490" s="13" t="n">
        <v>187.09</v>
      </c>
      <c r="W490" s="13" t="n">
        <v>1272.87</v>
      </c>
      <c r="X490" s="13" t="n">
        <v>1743.76</v>
      </c>
      <c r="Y490" s="13" t="n">
        <v>1402.49</v>
      </c>
      <c r="Z490" s="19" t="n"/>
      <c r="AA490" s="18" t="n"/>
      <c r="AB490" s="38" t="n">
        <v>13.92</v>
      </c>
      <c r="AC490" s="14">
        <f>IFERROR(AVERAGEIFS($E$16:$E$736,$W$16:$W$736,"&gt;="&amp;W490-$C$5,$W$16:$W$736,"&lt;="&amp;W490+$C$5,$B$16:$B$736,B490,$A$16:$A$736,"&lt;&gt;"&amp;A490),"")</f>
        <v/>
      </c>
      <c r="AD490" s="14">
        <f>IF(AND(ISNUMBER(E490),ISNUMBER(AC490)),E490-AC490,"")</f>
        <v/>
      </c>
    </row>
    <row r="491">
      <c r="A491" s="17" t="n">
        <v>45792</v>
      </c>
      <c r="B491" s="29">
        <f>MONTH(A491)</f>
        <v/>
      </c>
      <c r="C491" s="29">
        <f>IF(AND(ISNUMBER(W491),ISNUMBER($C$4),ABS(W491-$C$4)&lt;=$C$5,ABS(MOD(B491-$C$6+6,12)-6)&lt;=$C$7,OR($C$8="Any",P491=$C$8)),1,0)</f>
        <v/>
      </c>
      <c r="D491" s="29">
        <f>IF(C491=1,COUNTIF($C$16:C491,1),"")</f>
        <v/>
      </c>
      <c r="E491" s="18" t="n">
        <v>28.16</v>
      </c>
      <c r="F491" s="18" t="n">
        <v>29.91</v>
      </c>
      <c r="G491" s="18" t="n">
        <v>24.67</v>
      </c>
      <c r="H491" s="38" t="n">
        <v>10.23</v>
      </c>
      <c r="I491" s="38" t="n">
        <v>7.16</v>
      </c>
      <c r="J491" s="13" t="n">
        <v>9960</v>
      </c>
      <c r="K491" s="13" t="n">
        <v>9686.440000000001</v>
      </c>
      <c r="L491" s="13" t="n">
        <v>2255.5</v>
      </c>
      <c r="M491" s="13" t="n">
        <v>2047.92</v>
      </c>
      <c r="N491" s="13" t="n">
        <v>4270</v>
      </c>
      <c r="O491" s="38" t="n">
        <v>47.96</v>
      </c>
      <c r="P491" s="39" t="inlineStr">
        <is>
          <t>Windy</t>
        </is>
      </c>
      <c r="Q491" s="13" t="n">
        <v>705</v>
      </c>
      <c r="R491" s="13" t="n">
        <v>732.42</v>
      </c>
      <c r="S491" s="13" t="n">
        <v>42.29</v>
      </c>
      <c r="T491" s="13" t="n">
        <v>8531.99</v>
      </c>
      <c r="U491" s="13" t="n">
        <v>799.87</v>
      </c>
      <c r="V491" s="13" t="n">
        <v>886.52</v>
      </c>
      <c r="W491" s="13" t="n">
        <v>732.3099999999999</v>
      </c>
      <c r="X491" s="13" t="n">
        <v>2545.99</v>
      </c>
      <c r="Y491" s="13" t="n">
        <v>903.74</v>
      </c>
      <c r="Z491" s="19" t="n"/>
      <c r="AA491" s="18" t="n"/>
      <c r="AB491" s="38" t="n">
        <v>17.98</v>
      </c>
      <c r="AC491" s="14">
        <f>IFERROR(AVERAGEIFS($E$16:$E$736,$W$16:$W$736,"&gt;="&amp;W491-$C$5,$W$16:$W$736,"&lt;="&amp;W491+$C$5,$B$16:$B$736,B491,$A$16:$A$736,"&lt;&gt;"&amp;A491),"")</f>
        <v/>
      </c>
      <c r="AD491" s="14">
        <f>IF(AND(ISNUMBER(E491),ISNUMBER(AC491)),E491-AC491,"")</f>
        <v/>
      </c>
    </row>
    <row r="492">
      <c r="A492" s="17" t="n">
        <v>45791</v>
      </c>
      <c r="B492" s="29">
        <f>MONTH(A492)</f>
        <v/>
      </c>
      <c r="C492" s="29">
        <f>IF(AND(ISNUMBER(W492),ISNUMBER($C$4),ABS(W492-$C$4)&lt;=$C$5,ABS(MOD(B492-$C$6+6,12)-6)&lt;=$C$7,OR($C$8="Any",P492=$C$8)),1,0)</f>
        <v/>
      </c>
      <c r="D492" s="29">
        <f>IF(C492=1,COUNTIF($C$16:C492,1),"")</f>
        <v/>
      </c>
      <c r="E492" s="18" t="n">
        <v>24.87</v>
      </c>
      <c r="F492" s="18" t="n">
        <v>22.94</v>
      </c>
      <c r="G492" s="18" t="n">
        <v>28.72</v>
      </c>
      <c r="H492" s="38" t="n">
        <v>17.87</v>
      </c>
      <c r="I492" s="38" t="n">
        <v>11.16</v>
      </c>
      <c r="J492" s="13" t="n">
        <v>9859</v>
      </c>
      <c r="K492" s="13" t="n">
        <v>9646.5</v>
      </c>
      <c r="L492" s="13" t="n">
        <v>1034.75</v>
      </c>
      <c r="M492" s="13" t="n">
        <v>909.08</v>
      </c>
      <c r="N492" s="13" t="n">
        <v>4270</v>
      </c>
      <c r="O492" s="38" t="n">
        <v>21.29</v>
      </c>
      <c r="P492" s="39" t="inlineStr">
        <is>
          <t>Windy</t>
        </is>
      </c>
      <c r="Q492" s="13" t="n">
        <v>1631</v>
      </c>
      <c r="R492" s="13" t="n">
        <v>777.04</v>
      </c>
      <c r="S492" s="13" t="n">
        <v>356.12</v>
      </c>
      <c r="T492" s="13" t="n">
        <v>8408.15</v>
      </c>
      <c r="U492" s="13" t="n">
        <v>790.89</v>
      </c>
      <c r="V492" s="13" t="n">
        <v>234.42</v>
      </c>
      <c r="W492" s="13" t="n">
        <v>1221.7</v>
      </c>
      <c r="X492" s="13" t="n">
        <v>2002.44</v>
      </c>
      <c r="Y492" s="13" t="n">
        <v>1455.23</v>
      </c>
      <c r="Z492" s="19" t="n"/>
      <c r="AA492" s="18" t="n"/>
      <c r="AB492" s="38" t="n">
        <v>14.4</v>
      </c>
      <c r="AC492" s="14">
        <f>IFERROR(AVERAGEIFS($E$16:$E$736,$W$16:$W$736,"&gt;="&amp;W492-$C$5,$W$16:$W$736,"&lt;="&amp;W492+$C$5,$B$16:$B$736,B492,$A$16:$A$736,"&lt;&gt;"&amp;A492),"")</f>
        <v/>
      </c>
      <c r="AD492" s="14">
        <f>IF(AND(ISNUMBER(E492),ISNUMBER(AC492)),E492-AC492,"")</f>
        <v/>
      </c>
    </row>
    <row r="493">
      <c r="A493" s="17" t="n">
        <v>45790</v>
      </c>
      <c r="B493" s="29">
        <f>MONTH(A493)</f>
        <v/>
      </c>
      <c r="C493" s="29">
        <f>IF(AND(ISNUMBER(W493),ISNUMBER($C$4),ABS(W493-$C$4)&lt;=$C$5,ABS(MOD(B493-$C$6+6,12)-6)&lt;=$C$7,OR($C$8="Any",P493=$C$8)),1,0)</f>
        <v/>
      </c>
      <c r="D493" s="29">
        <f>IF(C493=1,COUNTIF($C$16:C493,1),"")</f>
        <v/>
      </c>
      <c r="E493" s="18" t="n">
        <v>111.94</v>
      </c>
      <c r="F493" s="18" t="n">
        <v>155.52</v>
      </c>
      <c r="G493" s="18" t="n">
        <v>24.77</v>
      </c>
      <c r="H493" s="38" t="n">
        <v>15.57</v>
      </c>
      <c r="I493" s="38" t="n">
        <v>10.25</v>
      </c>
      <c r="J493" s="13" t="n">
        <v>9659</v>
      </c>
      <c r="K493" s="13" t="n">
        <v>9488.440000000001</v>
      </c>
      <c r="L493" s="13" t="n">
        <v>532.1900000000001</v>
      </c>
      <c r="M493" s="13" t="n">
        <v>995.25</v>
      </c>
      <c r="N493" s="13" t="n">
        <v>4270</v>
      </c>
      <c r="O493" s="38" t="n">
        <v>23.31</v>
      </c>
      <c r="P493" s="39" t="inlineStr">
        <is>
          <t>Windy</t>
        </is>
      </c>
      <c r="Q493" s="13" t="n">
        <v>1409</v>
      </c>
      <c r="R493" s="13" t="n">
        <v>781.04</v>
      </c>
      <c r="S493" s="13" t="n">
        <v>240.88</v>
      </c>
      <c r="T493" s="13" t="n">
        <v>8391.120000000001</v>
      </c>
      <c r="U493" s="13" t="n">
        <v>716.23</v>
      </c>
      <c r="V493" s="13" t="n">
        <v>367.34</v>
      </c>
      <c r="W493" s="13" t="n">
        <v>721.77</v>
      </c>
      <c r="X493" s="13" t="n">
        <v>1488.34</v>
      </c>
      <c r="Y493" s="13" t="n">
        <v>901.1</v>
      </c>
      <c r="Z493" s="19" t="n"/>
      <c r="AA493" s="18" t="n"/>
      <c r="AB493" s="38" t="n">
        <v>11.21</v>
      </c>
      <c r="AC493" s="14">
        <f>IFERROR(AVERAGEIFS($E$16:$E$736,$W$16:$W$736,"&gt;="&amp;W493-$C$5,$W$16:$W$736,"&lt;="&amp;W493+$C$5,$B$16:$B$736,B493,$A$16:$A$736,"&lt;&gt;"&amp;A493),"")</f>
        <v/>
      </c>
      <c r="AD493" s="14">
        <f>IF(AND(ISNUMBER(E493),ISNUMBER(AC493)),E493-AC493,"")</f>
        <v/>
      </c>
    </row>
    <row r="494">
      <c r="A494" s="17" t="n">
        <v>45789</v>
      </c>
      <c r="B494" s="29">
        <f>MONTH(A494)</f>
        <v/>
      </c>
      <c r="C494" s="29">
        <f>IF(AND(ISNUMBER(W494),ISNUMBER($C$4),ABS(W494-$C$4)&lt;=$C$5,ABS(MOD(B494-$C$6+6,12)-6)&lt;=$C$7,OR($C$8="Any",P494=$C$8)),1,0)</f>
        <v/>
      </c>
      <c r="D494" s="29">
        <f>IF(C494=1,COUNTIF($C$16:C494,1),"")</f>
        <v/>
      </c>
      <c r="E494" s="18" t="n">
        <v>32.53</v>
      </c>
      <c r="F494" s="18" t="n">
        <v>37.99</v>
      </c>
      <c r="G494" s="18" t="n">
        <v>21.61</v>
      </c>
      <c r="H494" s="38" t="n">
        <v>13.6</v>
      </c>
      <c r="I494" s="38" t="n">
        <v>10.07</v>
      </c>
      <c r="J494" s="13" t="n">
        <v>10073</v>
      </c>
      <c r="K494" s="13" t="n">
        <v>9751</v>
      </c>
      <c r="L494" s="13" t="n">
        <v>2068.06</v>
      </c>
      <c r="M494" s="13" t="n">
        <v>1973.17</v>
      </c>
      <c r="N494" s="13" t="n">
        <v>4270</v>
      </c>
      <c r="O494" s="38" t="n">
        <v>46.21</v>
      </c>
      <c r="P494" s="39" t="inlineStr">
        <is>
          <t>Windy</t>
        </is>
      </c>
      <c r="Q494" s="13" t="n">
        <v>1183</v>
      </c>
      <c r="R494" s="13" t="n">
        <v>780.71</v>
      </c>
      <c r="S494" s="13" t="n">
        <v>-202.88</v>
      </c>
      <c r="T494" s="13" t="n">
        <v>8408.6</v>
      </c>
      <c r="U494" s="13" t="n">
        <v>780.8</v>
      </c>
      <c r="V494" s="13" t="n">
        <v>495.56</v>
      </c>
      <c r="W494" s="13" t="n">
        <v>1136.99</v>
      </c>
      <c r="X494" s="13" t="n">
        <v>2091.38</v>
      </c>
      <c r="Y494" s="13" t="n">
        <v>1333.46</v>
      </c>
      <c r="Z494" s="19" t="n"/>
      <c r="AA494" s="18" t="n"/>
      <c r="AB494" s="38" t="n">
        <v>18.78</v>
      </c>
      <c r="AC494" s="14">
        <f>IFERROR(AVERAGEIFS($E$16:$E$736,$W$16:$W$736,"&gt;="&amp;W494-$C$5,$W$16:$W$736,"&lt;="&amp;W494+$C$5,$B$16:$B$736,B494,$A$16:$A$736,"&lt;&gt;"&amp;A494),"")</f>
        <v/>
      </c>
      <c r="AD494" s="14">
        <f>IF(AND(ISNUMBER(E494),ISNUMBER(AC494)),E494-AC494,"")</f>
        <v/>
      </c>
    </row>
    <row r="495">
      <c r="A495" s="17" t="n">
        <v>45788</v>
      </c>
      <c r="B495" s="29">
        <f>MONTH(A495)</f>
        <v/>
      </c>
      <c r="C495" s="29">
        <f>IF(AND(ISNUMBER(W495),ISNUMBER($C$4),ABS(W495-$C$4)&lt;=$C$5,ABS(MOD(B495-$C$6+6,12)-6)&lt;=$C$7,OR($C$8="Any",P495=$C$8)),1,0)</f>
        <v/>
      </c>
      <c r="D495" s="29">
        <f>IF(C495=1,COUNTIF($C$16:C495,1),"")</f>
        <v/>
      </c>
      <c r="E495" s="18" t="n">
        <v>41.79</v>
      </c>
      <c r="F495" s="18" t="n">
        <v>54.58</v>
      </c>
      <c r="G495" s="18" t="n">
        <v>16.2</v>
      </c>
      <c r="H495" s="38" t="n">
        <v>18.27</v>
      </c>
      <c r="I495" s="38" t="n">
        <v>13.62</v>
      </c>
      <c r="J495" s="13" t="n">
        <v>9564</v>
      </c>
      <c r="K495" s="13" t="n">
        <v>9239.379999999999</v>
      </c>
      <c r="L495" s="13" t="n">
        <v>1021</v>
      </c>
      <c r="M495" s="13" t="n">
        <v>1519.38</v>
      </c>
      <c r="N495" s="13" t="n">
        <v>4270</v>
      </c>
      <c r="O495" s="38" t="n">
        <v>35.58</v>
      </c>
      <c r="P495" s="39" t="inlineStr">
        <is>
          <t>Windy</t>
        </is>
      </c>
      <c r="Q495" s="13" t="n">
        <v>1292</v>
      </c>
      <c r="R495" s="13" t="n">
        <v>782.84</v>
      </c>
      <c r="S495" s="13" t="n">
        <v>-1.12</v>
      </c>
      <c r="T495" s="13" t="n">
        <v>8703.639999999999</v>
      </c>
      <c r="U495" s="13" t="n">
        <v>704.79</v>
      </c>
      <c r="V495" s="13" t="n">
        <v>264.48</v>
      </c>
      <c r="W495" s="13" t="n">
        <v>1422.14</v>
      </c>
      <c r="X495" s="13" t="n">
        <v>2146.86</v>
      </c>
      <c r="Y495" s="13" t="n">
        <v>1602.93</v>
      </c>
      <c r="Z495" s="19" t="n"/>
      <c r="AA495" s="18" t="n"/>
      <c r="AB495" s="38" t="n">
        <v>9.68</v>
      </c>
      <c r="AC495" s="14">
        <f>IFERROR(AVERAGEIFS($E$16:$E$736,$W$16:$W$736,"&gt;="&amp;W495-$C$5,$W$16:$W$736,"&lt;="&amp;W495+$C$5,$B$16:$B$736,B495,$A$16:$A$736,"&lt;&gt;"&amp;A495),"")</f>
        <v/>
      </c>
      <c r="AD495" s="14">
        <f>IF(AND(ISNUMBER(E495),ISNUMBER(AC495)),E495-AC495,"")</f>
        <v/>
      </c>
    </row>
    <row r="496">
      <c r="A496" s="17" t="n">
        <v>45787</v>
      </c>
      <c r="B496" s="29">
        <f>MONTH(A496)</f>
        <v/>
      </c>
      <c r="C496" s="29">
        <f>IF(AND(ISNUMBER(W496),ISNUMBER($C$4),ABS(W496-$C$4)&lt;=$C$5,ABS(MOD(B496-$C$6+6,12)-6)&lt;=$C$7,OR($C$8="Any",P496=$C$8)),1,0)</f>
        <v/>
      </c>
      <c r="D496" s="29">
        <f>IF(C496=1,COUNTIF($C$16:C496,1),"")</f>
        <v/>
      </c>
      <c r="E496" s="18" t="n">
        <v>35.24</v>
      </c>
      <c r="F496" s="18" t="n">
        <v>37.21</v>
      </c>
      <c r="G496" s="18" t="n">
        <v>31.29</v>
      </c>
      <c r="H496" s="38" t="n">
        <v>21.6</v>
      </c>
      <c r="I496" s="38" t="n">
        <v>13.93</v>
      </c>
      <c r="J496" s="13" t="n">
        <v>9624</v>
      </c>
      <c r="K496" s="13" t="n">
        <v>9333.620000000001</v>
      </c>
      <c r="L496" s="13" t="n">
        <v>1023.62</v>
      </c>
      <c r="M496" s="13" t="n">
        <v>1266.54</v>
      </c>
      <c r="N496" s="13" t="n">
        <v>4270</v>
      </c>
      <c r="O496" s="38" t="n">
        <v>29.66</v>
      </c>
      <c r="P496" s="39" t="inlineStr">
        <is>
          <t>Windy</t>
        </is>
      </c>
      <c r="Q496" s="13" t="n">
        <v>1702</v>
      </c>
      <c r="R496" s="13" t="n">
        <v>779.73</v>
      </c>
      <c r="S496" s="13" t="n">
        <v>-64.88</v>
      </c>
      <c r="T496" s="13" t="n">
        <v>8707.09</v>
      </c>
      <c r="U496" s="13" t="n">
        <v>655.22</v>
      </c>
      <c r="V496" s="13" t="n">
        <v>54.87</v>
      </c>
      <c r="W496" s="13" t="n">
        <v>1893.18</v>
      </c>
      <c r="X496" s="13" t="n">
        <v>2195.01</v>
      </c>
      <c r="Y496" s="13" t="n">
        <v>2185.76</v>
      </c>
      <c r="Z496" s="19" t="n"/>
      <c r="AA496" s="18" t="n"/>
      <c r="AB496" s="38" t="n">
        <v>15.29</v>
      </c>
      <c r="AC496" s="14">
        <f>IFERROR(AVERAGEIFS($E$16:$E$736,$W$16:$W$736,"&gt;="&amp;W496-$C$5,$W$16:$W$736,"&lt;="&amp;W496+$C$5,$B$16:$B$736,B496,$A$16:$A$736,"&lt;&gt;"&amp;A496),"")</f>
        <v/>
      </c>
      <c r="AD496" s="14">
        <f>IF(AND(ISNUMBER(E496),ISNUMBER(AC496)),E496-AC496,"")</f>
        <v/>
      </c>
    </row>
    <row r="497">
      <c r="A497" s="17" t="n">
        <v>45786</v>
      </c>
      <c r="B497" s="29">
        <f>MONTH(A497)</f>
        <v/>
      </c>
      <c r="C497" s="29">
        <f>IF(AND(ISNUMBER(W497),ISNUMBER($C$4),ABS(W497-$C$4)&lt;=$C$5,ABS(MOD(B497-$C$6+6,12)-6)&lt;=$C$7,OR($C$8="Any",P497=$C$8)),1,0)</f>
        <v/>
      </c>
      <c r="D497" s="29">
        <f>IF(C497=1,COUNTIF($C$16:C497,1),"")</f>
        <v/>
      </c>
      <c r="E497" s="18" t="n">
        <v>30.49</v>
      </c>
      <c r="F497" s="18" t="n">
        <v>24.79</v>
      </c>
      <c r="G497" s="18" t="n">
        <v>41.9</v>
      </c>
      <c r="H497" s="38" t="n">
        <v>19.63</v>
      </c>
      <c r="I497" s="38" t="n">
        <v>12.18</v>
      </c>
      <c r="J497" s="13" t="n">
        <v>9853</v>
      </c>
      <c r="K497" s="13" t="n">
        <v>9669.559999999999</v>
      </c>
      <c r="L497" s="13" t="n">
        <v>1671</v>
      </c>
      <c r="M497" s="13" t="n">
        <v>1497.62</v>
      </c>
      <c r="N497" s="13" t="n">
        <v>4270</v>
      </c>
      <c r="O497" s="38" t="n">
        <v>35.07</v>
      </c>
      <c r="P497" s="39" t="inlineStr">
        <is>
          <t>Windy</t>
        </is>
      </c>
      <c r="Q497" s="13" t="n">
        <v>1600</v>
      </c>
      <c r="R497" s="13" t="n">
        <v>764.9400000000001</v>
      </c>
      <c r="S497" s="13" t="n">
        <v>-264</v>
      </c>
      <c r="T497" s="13" t="n">
        <v>9173.07</v>
      </c>
      <c r="U497" s="13" t="n">
        <v>695.26</v>
      </c>
      <c r="V497" s="13" t="n">
        <v>469.1</v>
      </c>
      <c r="W497" s="13" t="n">
        <v>2110.62</v>
      </c>
      <c r="X497" s="13" t="n">
        <v>2645.6</v>
      </c>
      <c r="Y497" s="13" t="n">
        <v>2369.58</v>
      </c>
      <c r="Z497" s="19" t="n"/>
      <c r="AA497" s="18" t="n"/>
      <c r="AB497" s="38" t="n">
        <v>16.48</v>
      </c>
      <c r="AC497" s="14">
        <f>IFERROR(AVERAGEIFS($E$16:$E$736,$W$16:$W$736,"&gt;="&amp;W497-$C$5,$W$16:$W$736,"&lt;="&amp;W497+$C$5,$B$16:$B$736,B497,$A$16:$A$736,"&lt;&gt;"&amp;A497),"")</f>
        <v/>
      </c>
      <c r="AD497" s="14">
        <f>IF(AND(ISNUMBER(E497),ISNUMBER(AC497)),E497-AC497,"")</f>
        <v/>
      </c>
    </row>
    <row r="498">
      <c r="A498" s="17" t="n">
        <v>45785</v>
      </c>
      <c r="B498" s="29">
        <f>MONTH(A498)</f>
        <v/>
      </c>
      <c r="C498" s="29">
        <f>IF(AND(ISNUMBER(W498),ISNUMBER($C$4),ABS(W498-$C$4)&lt;=$C$5,ABS(MOD(B498-$C$6+6,12)-6)&lt;=$C$7,OR($C$8="Any",P498=$C$8)),1,0)</f>
        <v/>
      </c>
      <c r="D498" s="29">
        <f>IF(C498=1,COUNTIF($C$16:C498,1),"")</f>
        <v/>
      </c>
      <c r="E498" s="18" t="n">
        <v>10.21</v>
      </c>
      <c r="F498" s="18" t="n">
        <v>4.69</v>
      </c>
      <c r="G498" s="18" t="n">
        <v>21.26</v>
      </c>
      <c r="H498" s="38" t="n">
        <v>15.6</v>
      </c>
      <c r="I498" s="38" t="n">
        <v>12.17</v>
      </c>
      <c r="J498" s="13" t="n">
        <v>9959</v>
      </c>
      <c r="K498" s="13" t="n">
        <v>9766.120000000001</v>
      </c>
      <c r="L498" s="13" t="n">
        <v>2722.06</v>
      </c>
      <c r="M498" s="13" t="n">
        <v>2732.71</v>
      </c>
      <c r="N498" s="13" t="n">
        <v>4270</v>
      </c>
      <c r="O498" s="38" t="n">
        <v>64</v>
      </c>
      <c r="P498" s="39" t="inlineStr">
        <is>
          <t>Windy</t>
        </is>
      </c>
      <c r="Q498" s="13" t="n">
        <v>1329</v>
      </c>
      <c r="R498" s="13" t="n">
        <v>746.6900000000001</v>
      </c>
      <c r="S498" s="13" t="n">
        <v>-635.38</v>
      </c>
      <c r="T498" s="13" t="n">
        <v>9006.370000000001</v>
      </c>
      <c r="U498" s="13" t="n">
        <v>770.29</v>
      </c>
      <c r="V498" s="13" t="n">
        <v>297.44</v>
      </c>
      <c r="W498" s="13" t="n">
        <v>2458.18</v>
      </c>
      <c r="X498" s="13" t="n">
        <v>3080.64</v>
      </c>
      <c r="Y498" s="13" t="n">
        <v>2635.5</v>
      </c>
      <c r="Z498" s="19" t="n"/>
      <c r="AA498" s="18" t="n"/>
      <c r="AB498" s="38" t="n">
        <v>30.5</v>
      </c>
      <c r="AC498" s="14">
        <f>IFERROR(AVERAGEIFS($E$16:$E$736,$W$16:$W$736,"&gt;="&amp;W498-$C$5,$W$16:$W$736,"&lt;="&amp;W498+$C$5,$B$16:$B$736,B498,$A$16:$A$736,"&lt;&gt;"&amp;A498),"")</f>
        <v/>
      </c>
      <c r="AD498" s="14">
        <f>IF(AND(ISNUMBER(E498),ISNUMBER(AC498)),E498-AC498,"")</f>
        <v/>
      </c>
    </row>
    <row r="499">
      <c r="A499" s="17" t="n">
        <v>45784</v>
      </c>
      <c r="B499" s="29">
        <f>MONTH(A499)</f>
        <v/>
      </c>
      <c r="C499" s="29">
        <f>IF(AND(ISNUMBER(W499),ISNUMBER($C$4),ABS(W499-$C$4)&lt;=$C$5,ABS(MOD(B499-$C$6+6,12)-6)&lt;=$C$7,OR($C$8="Any",P499=$C$8)),1,0)</f>
        <v/>
      </c>
      <c r="D499" s="29">
        <f>IF(C499=1,COUNTIF($C$16:C499,1),"")</f>
        <v/>
      </c>
      <c r="E499" s="18" t="n">
        <v>21.29</v>
      </c>
      <c r="F499" s="18" t="n">
        <v>27.41</v>
      </c>
      <c r="G499" s="18" t="n">
        <v>9.800000000000001</v>
      </c>
      <c r="H499" s="38" t="n">
        <v>22.37</v>
      </c>
      <c r="I499" s="38" t="n">
        <v>14.36</v>
      </c>
      <c r="J499" s="13" t="n">
        <v>9901</v>
      </c>
      <c r="K499" s="13" t="n">
        <v>9693.07</v>
      </c>
      <c r="L499" s="13" t="n">
        <v>2378.33</v>
      </c>
      <c r="M499" s="13" t="n">
        <v>2679.09</v>
      </c>
      <c r="N499" s="13" t="n">
        <v>4270</v>
      </c>
      <c r="O499" s="38" t="n">
        <v>62.74</v>
      </c>
      <c r="P499" s="39" t="inlineStr">
        <is>
          <t>Windy</t>
        </is>
      </c>
      <c r="Q499" s="13" t="n">
        <v>1494</v>
      </c>
      <c r="R499" s="13" t="n">
        <v>745.9400000000001</v>
      </c>
      <c r="S499" s="13" t="n">
        <v>-657.22</v>
      </c>
      <c r="T499" s="13" t="n">
        <v>8992.309999999999</v>
      </c>
      <c r="U499" s="13" t="n">
        <v>735.64</v>
      </c>
      <c r="V499" s="13" t="n">
        <v>277.73</v>
      </c>
      <c r="W499" s="13" t="n">
        <v>2383.78</v>
      </c>
      <c r="X499" s="13" t="n">
        <v>2969.6</v>
      </c>
      <c r="Y499" s="13" t="n">
        <v>2555.81</v>
      </c>
      <c r="Z499" s="19" t="n"/>
      <c r="AA499" s="18" t="n"/>
      <c r="AB499" s="38" t="n">
        <v>20</v>
      </c>
      <c r="AC499" s="14">
        <f>IFERROR(AVERAGEIFS($E$16:$E$736,$W$16:$W$736,"&gt;="&amp;W499-$C$5,$W$16:$W$736,"&lt;="&amp;W499+$C$5,$B$16:$B$736,B499,$A$16:$A$736,"&lt;&gt;"&amp;A499),"")</f>
        <v/>
      </c>
      <c r="AD499" s="14">
        <f>IF(AND(ISNUMBER(E499),ISNUMBER(AC499)),E499-AC499,"")</f>
        <v/>
      </c>
    </row>
    <row r="500">
      <c r="A500" s="17" t="n">
        <v>45783</v>
      </c>
      <c r="B500" s="29">
        <f>MONTH(A500)</f>
        <v/>
      </c>
      <c r="C500" s="29">
        <f>IF(AND(ISNUMBER(W500),ISNUMBER($C$4),ABS(W500-$C$4)&lt;=$C$5,ABS(MOD(B500-$C$6+6,12)-6)&lt;=$C$7,OR($C$8="Any",P500=$C$8)),1,0)</f>
        <v/>
      </c>
      <c r="D500" s="29">
        <f>IF(C500=1,COUNTIF($C$16:C500,1),"")</f>
        <v/>
      </c>
      <c r="E500" s="18" t="n">
        <v>14.29</v>
      </c>
      <c r="F500" s="18" t="n">
        <v>9.970000000000001</v>
      </c>
      <c r="G500" s="18" t="n">
        <v>22.92</v>
      </c>
      <c r="H500" s="38" t="n">
        <v>17.83</v>
      </c>
      <c r="I500" s="38" t="n">
        <v>10.55</v>
      </c>
      <c r="J500" s="13" t="n">
        <v>10016</v>
      </c>
      <c r="K500" s="13" t="n">
        <v>9772.620000000001</v>
      </c>
      <c r="L500" s="13" t="n">
        <v>2628</v>
      </c>
      <c r="M500" s="13" t="n">
        <v>2313.88</v>
      </c>
      <c r="N500" s="13" t="n">
        <v>4270</v>
      </c>
      <c r="O500" s="38" t="n">
        <v>54.19</v>
      </c>
      <c r="P500" s="39" t="inlineStr">
        <is>
          <t>Windy</t>
        </is>
      </c>
      <c r="Q500" s="13" t="n">
        <v>1578</v>
      </c>
      <c r="R500" s="13" t="n">
        <v>602.37</v>
      </c>
      <c r="S500" s="13" t="n">
        <v>-526.21</v>
      </c>
      <c r="T500" s="13" t="n">
        <v>8921.639999999999</v>
      </c>
      <c r="U500" s="13" t="n">
        <v>745.75</v>
      </c>
      <c r="V500" s="13" t="n">
        <v>465.52</v>
      </c>
      <c r="W500" s="13" t="n">
        <v>2458.56</v>
      </c>
      <c r="X500" s="13" t="n">
        <v>3110.71</v>
      </c>
      <c r="Y500" s="13" t="n">
        <v>2457.93</v>
      </c>
      <c r="Z500" s="19" t="n"/>
      <c r="AA500" s="18" t="n"/>
      <c r="AB500" s="38" t="n">
        <v>27.1</v>
      </c>
      <c r="AC500" s="14">
        <f>IFERROR(AVERAGEIFS($E$16:$E$736,$W$16:$W$736,"&gt;="&amp;W500-$C$5,$W$16:$W$736,"&lt;="&amp;W500+$C$5,$B$16:$B$736,B500,$A$16:$A$736,"&lt;&gt;"&amp;A500),"")</f>
        <v/>
      </c>
      <c r="AD500" s="14">
        <f>IF(AND(ISNUMBER(E500),ISNUMBER(AC500)),E500-AC500,"")</f>
        <v/>
      </c>
    </row>
    <row r="501">
      <c r="A501" s="17" t="n">
        <v>45782</v>
      </c>
      <c r="B501" s="29">
        <f>MONTH(A501)</f>
        <v/>
      </c>
      <c r="C501" s="29">
        <f>IF(AND(ISNUMBER(W501),ISNUMBER($C$4),ABS(W501-$C$4)&lt;=$C$5,ABS(MOD(B501-$C$6+6,12)-6)&lt;=$C$7,OR($C$8="Any",P501=$C$8)),1,0)</f>
        <v/>
      </c>
      <c r="D501" s="29">
        <f>IF(C501=1,COUNTIF($C$16:C501,1),"")</f>
        <v/>
      </c>
      <c r="E501" s="18" t="n">
        <v>110.5</v>
      </c>
      <c r="F501" s="18" t="n">
        <v>155.9</v>
      </c>
      <c r="G501" s="18" t="n">
        <v>19.72</v>
      </c>
      <c r="H501" s="38" t="n">
        <v>14</v>
      </c>
      <c r="I501" s="38" t="n">
        <v>8.630000000000001</v>
      </c>
      <c r="J501" s="13" t="n">
        <v>9836</v>
      </c>
      <c r="K501" s="13" t="n">
        <v>9659.309999999999</v>
      </c>
      <c r="L501" s="13" t="n">
        <v>772.5</v>
      </c>
      <c r="M501" s="13" t="n">
        <v>1397.5</v>
      </c>
      <c r="N501" s="13" t="n">
        <v>4270</v>
      </c>
      <c r="O501" s="38" t="n">
        <v>32.73</v>
      </c>
      <c r="P501" s="39" t="inlineStr">
        <is>
          <t>Windy</t>
        </is>
      </c>
      <c r="Q501" s="13" t="n">
        <v>1673</v>
      </c>
      <c r="R501" s="13" t="n">
        <v>590.3099999999999</v>
      </c>
      <c r="S501" s="13" t="n">
        <v>-161.62</v>
      </c>
      <c r="T501" s="13" t="n">
        <v>9239.66</v>
      </c>
      <c r="U501" s="13" t="n">
        <v>754.48</v>
      </c>
      <c r="V501" s="13" t="n">
        <v>39.79</v>
      </c>
      <c r="W501" s="13" t="n">
        <v>1106</v>
      </c>
      <c r="X501" s="13" t="n">
        <v>2497.5</v>
      </c>
      <c r="Y501" s="13" t="n">
        <v>1074.99</v>
      </c>
      <c r="Z501" s="19" t="n"/>
      <c r="AA501" s="18" t="n"/>
      <c r="AB501" s="38" t="n">
        <v>13.79</v>
      </c>
      <c r="AC501" s="14">
        <f>IFERROR(AVERAGEIFS($E$16:$E$736,$W$16:$W$736,"&gt;="&amp;W501-$C$5,$W$16:$W$736,"&lt;="&amp;W501+$C$5,$B$16:$B$736,B501,$A$16:$A$736,"&lt;&gt;"&amp;A501),"")</f>
        <v/>
      </c>
      <c r="AD501" s="14">
        <f>IF(AND(ISNUMBER(E501),ISNUMBER(AC501)),E501-AC501,"")</f>
        <v/>
      </c>
    </row>
    <row r="502">
      <c r="A502" s="17" t="n">
        <v>45781</v>
      </c>
      <c r="B502" s="29">
        <f>MONTH(A502)</f>
        <v/>
      </c>
      <c r="C502" s="29">
        <f>IF(AND(ISNUMBER(W502),ISNUMBER($C$4),ABS(W502-$C$4)&lt;=$C$5,ABS(MOD(B502-$C$6+6,12)-6)&lt;=$C$7,OR($C$8="Any",P502=$C$8)),1,0)</f>
        <v/>
      </c>
      <c r="D502" s="29">
        <f>IF(C502=1,COUNTIF($C$16:C502,1),"")</f>
        <v/>
      </c>
      <c r="E502" s="18" t="n">
        <v>14.19</v>
      </c>
      <c r="F502" s="18" t="n">
        <v>20.04</v>
      </c>
      <c r="G502" s="18" t="n">
        <v>2.48</v>
      </c>
      <c r="H502" s="38" t="n">
        <v>12.43</v>
      </c>
      <c r="I502" s="38" t="n">
        <v>9.210000000000001</v>
      </c>
      <c r="J502" s="13" t="n">
        <v>9614</v>
      </c>
      <c r="K502" s="13" t="n">
        <v>9378.809999999999</v>
      </c>
      <c r="L502" s="13" t="n">
        <v>2035.5</v>
      </c>
      <c r="M502" s="13" t="n">
        <v>2486.88</v>
      </c>
      <c r="N502" s="13" t="n">
        <v>4270</v>
      </c>
      <c r="O502" s="38" t="n">
        <v>58.24</v>
      </c>
      <c r="P502" s="39" t="inlineStr">
        <is>
          <t>Windy</t>
        </is>
      </c>
      <c r="Q502" s="13" t="n">
        <v>1143</v>
      </c>
      <c r="R502" s="13" t="n">
        <v>629.45</v>
      </c>
      <c r="S502" s="13" t="n">
        <v>-371.71</v>
      </c>
      <c r="T502" s="13" t="n">
        <v>9158.4</v>
      </c>
      <c r="U502" s="13" t="n">
        <v>840.77</v>
      </c>
      <c r="V502" s="13" t="n">
        <v>240.46</v>
      </c>
      <c r="W502" s="13" t="n">
        <v>1960.75</v>
      </c>
      <c r="X502" s="13" t="n">
        <v>3126.36</v>
      </c>
      <c r="Y502" s="13" t="n">
        <v>1933.6</v>
      </c>
      <c r="Z502" s="19" t="n"/>
      <c r="AA502" s="18" t="n"/>
      <c r="AB502" s="38" t="n">
        <v>18.47</v>
      </c>
      <c r="AC502" s="14">
        <f>IFERROR(AVERAGEIFS($E$16:$E$736,$W$16:$W$736,"&gt;="&amp;W502-$C$5,$W$16:$W$736,"&lt;="&amp;W502+$C$5,$B$16:$B$736,B502,$A$16:$A$736,"&lt;&gt;"&amp;A502),"")</f>
        <v/>
      </c>
      <c r="AD502" s="14">
        <f>IF(AND(ISNUMBER(E502),ISNUMBER(AC502)),E502-AC502,"")</f>
        <v/>
      </c>
    </row>
    <row r="503">
      <c r="A503" s="17" t="n">
        <v>45780</v>
      </c>
      <c r="B503" s="29">
        <f>MONTH(A503)</f>
        <v/>
      </c>
      <c r="C503" s="29">
        <f>IF(AND(ISNUMBER(W503),ISNUMBER($C$4),ABS(W503-$C$4)&lt;=$C$5,ABS(MOD(B503-$C$6+6,12)-6)&lt;=$C$7,OR($C$8="Any",P503=$C$8)),1,0)</f>
        <v/>
      </c>
      <c r="D503" s="29">
        <f>IF(C503=1,COUNTIF($C$16:C503,1),"")</f>
        <v/>
      </c>
      <c r="E503" s="18" t="n">
        <v>24.5</v>
      </c>
      <c r="F503" s="18" t="n">
        <v>27.6</v>
      </c>
      <c r="G503" s="18" t="n">
        <v>18.29</v>
      </c>
      <c r="H503" s="38" t="n">
        <v>24.8</v>
      </c>
      <c r="I503" s="38" t="n">
        <v>16.35</v>
      </c>
      <c r="J503" s="13" t="n">
        <v>9875</v>
      </c>
      <c r="K503" s="13" t="n">
        <v>9596.940000000001</v>
      </c>
      <c r="L503" s="13" t="n">
        <v>1319.56</v>
      </c>
      <c r="M503" s="13" t="n">
        <v>1622.25</v>
      </c>
      <c r="N503" s="13" t="n">
        <v>4270</v>
      </c>
      <c r="O503" s="38" t="n">
        <v>37.99</v>
      </c>
      <c r="P503" s="39" t="inlineStr">
        <is>
          <t>Windy</t>
        </is>
      </c>
      <c r="Q503" s="13" t="n">
        <v>1695</v>
      </c>
      <c r="R503" s="13" t="n">
        <v>624.51</v>
      </c>
      <c r="S503" s="13" t="n">
        <v>-44.75</v>
      </c>
      <c r="T503" s="13" t="n">
        <v>8778.35</v>
      </c>
      <c r="U503" s="13" t="n">
        <v>812.29</v>
      </c>
      <c r="V503" s="13" t="n">
        <v>217.34</v>
      </c>
      <c r="W503" s="13" t="n">
        <v>2174.58</v>
      </c>
      <c r="X503" s="13" t="n">
        <v>2653.14</v>
      </c>
      <c r="Y503" s="13" t="n">
        <v>2173.53</v>
      </c>
      <c r="Z503" s="19" t="n"/>
      <c r="AA503" s="18" t="n"/>
      <c r="AB503" s="38" t="n">
        <v>20.23</v>
      </c>
      <c r="AC503" s="14">
        <f>IFERROR(AVERAGEIFS($E$16:$E$736,$W$16:$W$736,"&gt;="&amp;W503-$C$5,$W$16:$W$736,"&lt;="&amp;W503+$C$5,$B$16:$B$736,B503,$A$16:$A$736,"&lt;&gt;"&amp;A503),"")</f>
        <v/>
      </c>
      <c r="AD503" s="14">
        <f>IF(AND(ISNUMBER(E503),ISNUMBER(AC503)),E503-AC503,"")</f>
        <v/>
      </c>
    </row>
    <row r="504">
      <c r="A504" s="17" t="n">
        <v>45779</v>
      </c>
      <c r="B504" s="29">
        <f>MONTH(A504)</f>
        <v/>
      </c>
      <c r="C504" s="29">
        <f>IF(AND(ISNUMBER(W504),ISNUMBER($C$4),ABS(W504-$C$4)&lt;=$C$5,ABS(MOD(B504-$C$6+6,12)-6)&lt;=$C$7,OR($C$8="Any",P504=$C$8)),1,0)</f>
        <v/>
      </c>
      <c r="D504" s="29">
        <f>IF(C504=1,COUNTIF($C$16:C504,1),"")</f>
        <v/>
      </c>
      <c r="E504" s="18" t="n">
        <v>33.34</v>
      </c>
      <c r="F504" s="18" t="n">
        <v>44.13</v>
      </c>
      <c r="G504" s="18" t="n">
        <v>11.75</v>
      </c>
      <c r="H504" s="38" t="n">
        <v>22.43</v>
      </c>
      <c r="I504" s="38" t="n">
        <v>14.25</v>
      </c>
      <c r="J504" s="13" t="n">
        <v>9881</v>
      </c>
      <c r="K504" s="13" t="n">
        <v>9733.059999999999</v>
      </c>
      <c r="L504" s="13" t="n">
        <v>1157.06</v>
      </c>
      <c r="M504" s="13" t="n">
        <v>1746.25</v>
      </c>
      <c r="N504" s="13" t="n">
        <v>4270</v>
      </c>
      <c r="O504" s="38" t="n">
        <v>40.9</v>
      </c>
      <c r="P504" s="39" t="inlineStr">
        <is>
          <t>Windy</t>
        </is>
      </c>
      <c r="Q504" s="13" t="n">
        <v>1705</v>
      </c>
      <c r="R504" s="13" t="n">
        <v>605.66</v>
      </c>
      <c r="S504" s="13" t="n">
        <v>-275.12</v>
      </c>
      <c r="T504" s="13" t="n">
        <v>9031.01</v>
      </c>
      <c r="U504" s="13" t="n">
        <v>797.16</v>
      </c>
      <c r="V504" s="13" t="n">
        <v>405.66</v>
      </c>
      <c r="W504" s="13" t="n">
        <v>1745.87</v>
      </c>
      <c r="X504" s="13" t="n">
        <v>2549.67</v>
      </c>
      <c r="Y504" s="13" t="n">
        <v>1761.64</v>
      </c>
      <c r="Z504" s="19" t="n"/>
      <c r="AA504" s="18" t="n"/>
      <c r="AB504" s="38" t="n">
        <v>19.3</v>
      </c>
      <c r="AC504" s="14">
        <f>IFERROR(AVERAGEIFS($E$16:$E$736,$W$16:$W$736,"&gt;="&amp;W504-$C$5,$W$16:$W$736,"&lt;="&amp;W504+$C$5,$B$16:$B$736,B504,$A$16:$A$736,"&lt;&gt;"&amp;A504),"")</f>
        <v/>
      </c>
      <c r="AD504" s="14">
        <f>IF(AND(ISNUMBER(E504),ISNUMBER(AC504)),E504-AC504,"")</f>
        <v/>
      </c>
    </row>
    <row r="505">
      <c r="A505" s="17" t="n">
        <v>45778</v>
      </c>
      <c r="B505" s="29">
        <f>MONTH(A505)</f>
        <v/>
      </c>
      <c r="C505" s="29">
        <f>IF(AND(ISNUMBER(W505),ISNUMBER($C$4),ABS(W505-$C$4)&lt;=$C$5,ABS(MOD(B505-$C$6+6,12)-6)&lt;=$C$7,OR($C$8="Any",P505=$C$8)),1,0)</f>
        <v/>
      </c>
      <c r="D505" s="29">
        <f>IF(C505=1,COUNTIF($C$16:C505,1),"")</f>
        <v/>
      </c>
      <c r="E505" s="18" t="n">
        <v>32.06</v>
      </c>
      <c r="F505" s="18" t="n">
        <v>30.48</v>
      </c>
      <c r="G505" s="18" t="n">
        <v>35.22</v>
      </c>
      <c r="H505" s="38" t="n">
        <v>18.47</v>
      </c>
      <c r="I505" s="38" t="n">
        <v>10.27</v>
      </c>
      <c r="J505" s="13" t="n">
        <v>9808</v>
      </c>
      <c r="K505" s="13" t="n">
        <v>9620.190000000001</v>
      </c>
      <c r="L505" s="13" t="n">
        <v>885.6900000000001</v>
      </c>
      <c r="M505" s="13" t="n">
        <v>903.46</v>
      </c>
      <c r="N505" s="13" t="n">
        <v>4270</v>
      </c>
      <c r="O505" s="38" t="n">
        <v>21.16</v>
      </c>
      <c r="P505" s="39" t="inlineStr">
        <is>
          <t>Windy</t>
        </is>
      </c>
      <c r="Q505" s="13" t="n">
        <v>1719</v>
      </c>
      <c r="R505" s="13" t="n">
        <v>654.62</v>
      </c>
      <c r="S505" s="13" t="n">
        <v>-99.88</v>
      </c>
      <c r="T505" s="13" t="n">
        <v>9471.18</v>
      </c>
      <c r="U505" s="13" t="n">
        <v>803.5</v>
      </c>
      <c r="V505" s="13" t="n">
        <v>111.53</v>
      </c>
      <c r="W505" s="13" t="n">
        <v>2137.63</v>
      </c>
      <c r="X505" s="13" t="n">
        <v>2785.15</v>
      </c>
      <c r="Y505" s="13" t="n">
        <v>2181.8</v>
      </c>
      <c r="Z505" s="19" t="n"/>
      <c r="AA505" s="18" t="n"/>
      <c r="AB505" s="38" t="n">
        <v>14.32</v>
      </c>
      <c r="AC505" s="14">
        <f>IFERROR(AVERAGEIFS($E$16:$E$736,$W$16:$W$736,"&gt;="&amp;W505-$C$5,$W$16:$W$736,"&lt;="&amp;W505+$C$5,$B$16:$B$736,B505,$A$16:$A$736,"&lt;&gt;"&amp;A505),"")</f>
        <v/>
      </c>
      <c r="AD505" s="14">
        <f>IF(AND(ISNUMBER(E505),ISNUMBER(AC505)),E505-AC505,"")</f>
        <v/>
      </c>
    </row>
    <row r="506">
      <c r="A506" s="17" t="n">
        <v>45777</v>
      </c>
      <c r="B506" s="29">
        <f>MONTH(A506)</f>
        <v/>
      </c>
      <c r="C506" s="29">
        <f>IF(AND(ISNUMBER(W506),ISNUMBER($C$4),ABS(W506-$C$4)&lt;=$C$5,ABS(MOD(B506-$C$6+6,12)-6)&lt;=$C$7,OR($C$8="Any",P506=$C$8)),1,0)</f>
        <v/>
      </c>
      <c r="D506" s="29">
        <f>IF(C506=1,COUNTIF($C$16:C506,1),"")</f>
        <v/>
      </c>
      <c r="E506" s="18" t="n">
        <v>50.73</v>
      </c>
      <c r="F506" s="18" t="n">
        <v>59.27</v>
      </c>
      <c r="G506" s="18" t="n">
        <v>33.66</v>
      </c>
      <c r="H506" s="38" t="n">
        <v>13.8</v>
      </c>
      <c r="I506" s="38" t="n">
        <v>8.640000000000001</v>
      </c>
      <c r="J506" s="13" t="n">
        <v>10051</v>
      </c>
      <c r="K506" s="13" t="n">
        <v>9861.75</v>
      </c>
      <c r="L506" s="13" t="n">
        <v>591.88</v>
      </c>
      <c r="M506" s="13" t="n">
        <v>922.21</v>
      </c>
      <c r="N506" s="13" t="n">
        <v>4270</v>
      </c>
      <c r="O506" s="38" t="n">
        <v>21.6</v>
      </c>
      <c r="P506" s="39" t="inlineStr">
        <is>
          <t>Windy</t>
        </is>
      </c>
      <c r="Q506" s="13" t="n">
        <v>1316</v>
      </c>
      <c r="R506" s="13" t="n">
        <v>684.59</v>
      </c>
      <c r="S506" s="13" t="n">
        <v>-55.96</v>
      </c>
      <c r="T506" s="13" t="n">
        <v>9710.790000000001</v>
      </c>
      <c r="U506" s="13" t="n">
        <v>818.9299999999999</v>
      </c>
      <c r="V506" s="13" t="n">
        <v>81.42</v>
      </c>
      <c r="W506" s="13" t="n">
        <v>1590.33</v>
      </c>
      <c r="X506" s="13" t="n">
        <v>2243.85</v>
      </c>
      <c r="Y506" s="13" t="n">
        <v>1631.03</v>
      </c>
      <c r="Z506" s="19" t="n"/>
      <c r="AA506" s="18" t="n"/>
      <c r="AB506" s="38" t="n">
        <v>16.88</v>
      </c>
      <c r="AC506" s="14">
        <f>IFERROR(AVERAGEIFS($E$16:$E$736,$W$16:$W$736,"&gt;="&amp;W506-$C$5,$W$16:$W$736,"&lt;="&amp;W506+$C$5,$B$16:$B$736,B506,$A$16:$A$736,"&lt;&gt;"&amp;A506),"")</f>
        <v/>
      </c>
      <c r="AD506" s="14">
        <f>IF(AND(ISNUMBER(E506),ISNUMBER(AC506)),E506-AC506,"")</f>
        <v/>
      </c>
    </row>
    <row r="507">
      <c r="A507" s="17" t="n">
        <v>45776</v>
      </c>
      <c r="B507" s="29">
        <f>MONTH(A507)</f>
        <v/>
      </c>
      <c r="C507" s="29">
        <f>IF(AND(ISNUMBER(W507),ISNUMBER($C$4),ABS(W507-$C$4)&lt;=$C$5,ABS(MOD(B507-$C$6+6,12)-6)&lt;=$C$7,OR($C$8="Any",P507=$C$8)),1,0)</f>
        <v/>
      </c>
      <c r="D507" s="29">
        <f>IF(C507=1,COUNTIF($C$16:C507,1),"")</f>
        <v/>
      </c>
      <c r="E507" s="18" t="n">
        <v>17.58</v>
      </c>
      <c r="F507" s="18" t="n">
        <v>22.6</v>
      </c>
      <c r="G507" s="18" t="n">
        <v>7.55</v>
      </c>
      <c r="H507" s="38" t="n">
        <v>14.03</v>
      </c>
      <c r="I507" s="38" t="n">
        <v>10.01</v>
      </c>
      <c r="J507" s="13" t="n">
        <v>10168</v>
      </c>
      <c r="K507" s="13" t="n">
        <v>9887.25</v>
      </c>
      <c r="L507" s="13" t="n">
        <v>2044.81</v>
      </c>
      <c r="M507" s="13" t="n">
        <v>2364.04</v>
      </c>
      <c r="N507" s="13" t="n">
        <v>4270</v>
      </c>
      <c r="O507" s="38" t="n">
        <v>55.36</v>
      </c>
      <c r="P507" s="39" t="inlineStr">
        <is>
          <t>Windy</t>
        </is>
      </c>
      <c r="Q507" s="13" t="n">
        <v>1241</v>
      </c>
      <c r="R507" s="13" t="n">
        <v>694.66</v>
      </c>
      <c r="S507" s="13" t="n">
        <v>-367.96</v>
      </c>
      <c r="T507" s="13" t="n">
        <v>9624.98</v>
      </c>
      <c r="U507" s="13" t="n">
        <v>826.25</v>
      </c>
      <c r="V507" s="13" t="n">
        <v>116.84</v>
      </c>
      <c r="W507" s="13" t="n">
        <v>2341.23</v>
      </c>
      <c r="X507" s="13" t="n">
        <v>3100.3</v>
      </c>
      <c r="Y507" s="13" t="n">
        <v>2366.87</v>
      </c>
      <c r="Z507" s="19" t="n"/>
      <c r="AA507" s="18" t="n"/>
      <c r="AB507" s="38" t="n">
        <v>25.77</v>
      </c>
      <c r="AC507" s="14">
        <f>IFERROR(AVERAGEIFS($E$16:$E$736,$W$16:$W$736,"&gt;="&amp;W507-$C$5,$W$16:$W$736,"&lt;="&amp;W507+$C$5,$B$16:$B$736,B507,$A$16:$A$736,"&lt;&gt;"&amp;A507),"")</f>
        <v/>
      </c>
      <c r="AD507" s="14">
        <f>IF(AND(ISNUMBER(E507),ISNUMBER(AC507)),E507-AC507,"")</f>
        <v/>
      </c>
    </row>
    <row r="508">
      <c r="A508" s="17" t="n">
        <v>45775</v>
      </c>
      <c r="B508" s="29">
        <f>MONTH(A508)</f>
        <v/>
      </c>
      <c r="C508" s="29">
        <f>IF(AND(ISNUMBER(W508),ISNUMBER($C$4),ABS(W508-$C$4)&lt;=$C$5,ABS(MOD(B508-$C$6+6,12)-6)&lt;=$C$7,OR($C$8="Any",P508=$C$8)),1,0)</f>
        <v/>
      </c>
      <c r="D508" s="29">
        <f>IF(C508=1,COUNTIF($C$16:C508,1),"")</f>
        <v/>
      </c>
      <c r="E508" s="18" t="n">
        <v>45.75</v>
      </c>
      <c r="F508" s="18" t="n">
        <v>18.5</v>
      </c>
      <c r="G508" s="18" t="n">
        <v>100.26</v>
      </c>
      <c r="H508" s="38" t="n">
        <v>14.97</v>
      </c>
      <c r="I508" s="38" t="n">
        <v>7.79</v>
      </c>
      <c r="J508" s="13" t="n">
        <v>10189</v>
      </c>
      <c r="K508" s="13" t="n">
        <v>9926.25</v>
      </c>
      <c r="L508" s="13" t="n">
        <v>2101.94</v>
      </c>
      <c r="M508" s="13" t="n">
        <v>1589.79</v>
      </c>
      <c r="N508" s="13" t="n">
        <v>4270</v>
      </c>
      <c r="O508" s="38" t="n">
        <v>37.23</v>
      </c>
      <c r="P508" s="39" t="inlineStr">
        <is>
          <t>Windy</t>
        </is>
      </c>
      <c r="Q508" s="13" t="n">
        <v>1721</v>
      </c>
      <c r="R508" s="13" t="n">
        <v>696.24</v>
      </c>
      <c r="S508" s="13" t="n">
        <v>-305.08</v>
      </c>
      <c r="T508" s="13" t="n">
        <v>9643.35</v>
      </c>
      <c r="U508" s="13" t="n">
        <v>826.6799999999999</v>
      </c>
      <c r="V508" s="13" t="n">
        <v>101.49</v>
      </c>
      <c r="W508" s="13" t="n">
        <v>2421.31</v>
      </c>
      <c r="X508" s="13" t="n">
        <v>3328.93</v>
      </c>
      <c r="Y508" s="13" t="n">
        <v>2459.46</v>
      </c>
      <c r="Z508" s="19" t="n"/>
      <c r="AA508" s="18" t="n"/>
      <c r="AB508" s="38" t="n">
        <v>20.43</v>
      </c>
      <c r="AC508" s="14">
        <f>IFERROR(AVERAGEIFS($E$16:$E$736,$W$16:$W$736,"&gt;="&amp;W508-$C$5,$W$16:$W$736,"&lt;="&amp;W508+$C$5,$B$16:$B$736,B508,$A$16:$A$736,"&lt;&gt;"&amp;A508),"")</f>
        <v/>
      </c>
      <c r="AD508" s="14">
        <f>IF(AND(ISNUMBER(E508),ISNUMBER(AC508)),E508-AC508,"")</f>
        <v/>
      </c>
    </row>
    <row r="509">
      <c r="A509" s="17" t="n">
        <v>45774</v>
      </c>
      <c r="B509" s="29">
        <f>MONTH(A509)</f>
        <v/>
      </c>
      <c r="C509" s="29">
        <f>IF(AND(ISNUMBER(W509),ISNUMBER($C$4),ABS(W509-$C$4)&lt;=$C$5,ABS(MOD(B509-$C$6+6,12)-6)&lt;=$C$7,OR($C$8="Any",P509=$C$8)),1,0)</f>
        <v/>
      </c>
      <c r="D509" s="29">
        <f>IF(C509=1,COUNTIF($C$16:C509,1),"")</f>
        <v/>
      </c>
      <c r="E509" s="18" t="n">
        <v>33.31</v>
      </c>
      <c r="F509" s="18" t="n">
        <v>27.14</v>
      </c>
      <c r="G509" s="18" t="n">
        <v>45.65</v>
      </c>
      <c r="H509" s="38" t="n">
        <v>7.27</v>
      </c>
      <c r="I509" s="38" t="n">
        <v>5.34</v>
      </c>
      <c r="J509" s="13" t="n">
        <v>9939</v>
      </c>
      <c r="K509" s="13" t="n">
        <v>9790.120000000001</v>
      </c>
      <c r="L509" s="13" t="n">
        <v>2474.31</v>
      </c>
      <c r="M509" s="13" t="n">
        <v>2218.38</v>
      </c>
      <c r="N509" s="13" t="n">
        <v>4270</v>
      </c>
      <c r="O509" s="38" t="n">
        <v>51.95</v>
      </c>
      <c r="P509" s="39" t="inlineStr">
        <is>
          <t>Windy</t>
        </is>
      </c>
      <c r="Q509" s="13" t="n">
        <v>1173</v>
      </c>
      <c r="R509" s="13" t="n">
        <v>692.75</v>
      </c>
      <c r="S509" s="13" t="n">
        <v>-409.54</v>
      </c>
      <c r="T509" s="13" t="n">
        <v>9358.719999999999</v>
      </c>
      <c r="U509" s="13" t="n">
        <v>841.01</v>
      </c>
      <c r="V509" s="13" t="n">
        <v>57.03</v>
      </c>
      <c r="W509" s="13" t="n">
        <v>1660.26</v>
      </c>
      <c r="X509" s="13" t="n">
        <v>3155.11</v>
      </c>
      <c r="Y509" s="13" t="n">
        <v>1685.95</v>
      </c>
      <c r="Z509" s="19" t="n"/>
      <c r="AA509" s="18" t="n"/>
      <c r="AB509" s="38" t="n">
        <v>16.43</v>
      </c>
      <c r="AC509" s="14">
        <f>IFERROR(AVERAGEIFS($E$16:$E$736,$W$16:$W$736,"&gt;="&amp;W509-$C$5,$W$16:$W$736,"&lt;="&amp;W509+$C$5,$B$16:$B$736,B509,$A$16:$A$736,"&lt;&gt;"&amp;A509),"")</f>
        <v/>
      </c>
      <c r="AD509" s="14">
        <f>IF(AND(ISNUMBER(E509),ISNUMBER(AC509)),E509-AC509,"")</f>
        <v/>
      </c>
    </row>
    <row r="510">
      <c r="A510" s="17" t="n">
        <v>45773</v>
      </c>
      <c r="B510" s="29">
        <f>MONTH(A510)</f>
        <v/>
      </c>
      <c r="C510" s="29">
        <f>IF(AND(ISNUMBER(W510),ISNUMBER($C$4),ABS(W510-$C$4)&lt;=$C$5,ABS(MOD(B510-$C$6+6,12)-6)&lt;=$C$7,OR($C$8="Any",P510=$C$8)),1,0)</f>
        <v/>
      </c>
      <c r="D510" s="29">
        <f>IF(C510=1,COUNTIF($C$16:C510,1),"")</f>
        <v/>
      </c>
      <c r="E510" s="18" t="n">
        <v>39.68</v>
      </c>
      <c r="F510" s="18" t="n">
        <v>45.8</v>
      </c>
      <c r="G510" s="18" t="n">
        <v>27.45</v>
      </c>
      <c r="H510" s="38" t="n">
        <v>18.53</v>
      </c>
      <c r="I510" s="38" t="n">
        <v>10.92</v>
      </c>
      <c r="J510" s="13" t="n">
        <v>9732</v>
      </c>
      <c r="K510" s="13" t="n">
        <v>9537.879999999999</v>
      </c>
      <c r="L510" s="13" t="n">
        <v>418.5</v>
      </c>
      <c r="M510" s="13" t="n">
        <v>1039.62</v>
      </c>
      <c r="N510" s="13" t="n">
        <v>4270</v>
      </c>
      <c r="O510" s="38" t="n">
        <v>24.35</v>
      </c>
      <c r="P510" s="39" t="inlineStr">
        <is>
          <t>Windy</t>
        </is>
      </c>
      <c r="Q510" s="13" t="n">
        <v>1720</v>
      </c>
      <c r="R510" s="13" t="n">
        <v>690.73</v>
      </c>
      <c r="S510" s="13" t="n">
        <v>-165.29</v>
      </c>
      <c r="T510" s="13" t="n">
        <v>9270.43</v>
      </c>
      <c r="U510" s="13" t="n">
        <v>827.54</v>
      </c>
      <c r="V510" s="13" t="n">
        <v>370.89</v>
      </c>
      <c r="W510" s="13" t="n">
        <v>1595.32</v>
      </c>
      <c r="X510" s="13" t="n">
        <v>2382.02</v>
      </c>
      <c r="Y510" s="13" t="n">
        <v>1631.19</v>
      </c>
      <c r="Z510" s="19" t="n"/>
      <c r="AA510" s="18" t="n"/>
      <c r="AB510" s="38" t="n">
        <v>12.84</v>
      </c>
      <c r="AC510" s="14">
        <f>IFERROR(AVERAGEIFS($E$16:$E$736,$W$16:$W$736,"&gt;="&amp;W510-$C$5,$W$16:$W$736,"&lt;="&amp;W510+$C$5,$B$16:$B$736,B510,$A$16:$A$736,"&lt;&gt;"&amp;A510),"")</f>
        <v/>
      </c>
      <c r="AD510" s="14">
        <f>IF(AND(ISNUMBER(E510),ISNUMBER(AC510)),E510-AC510,"")</f>
        <v/>
      </c>
    </row>
    <row r="511">
      <c r="A511" s="17" t="n">
        <v>45772</v>
      </c>
      <c r="B511" s="29">
        <f>MONTH(A511)</f>
        <v/>
      </c>
      <c r="C511" s="29">
        <f>IF(AND(ISNUMBER(W511),ISNUMBER($C$4),ABS(W511-$C$4)&lt;=$C$5,ABS(MOD(B511-$C$6+6,12)-6)&lt;=$C$7,OR($C$8="Any",P511=$C$8)),1,0)</f>
        <v/>
      </c>
      <c r="D511" s="29">
        <f>IF(C511=1,COUNTIF($C$16:C511,1),"")</f>
        <v/>
      </c>
      <c r="E511" s="18" t="n">
        <v>10.16</v>
      </c>
      <c r="F511" s="18" t="n">
        <v>8.06</v>
      </c>
      <c r="G511" s="18" t="n">
        <v>14.35</v>
      </c>
      <c r="H511" s="38" t="n">
        <v>16.77</v>
      </c>
      <c r="I511" s="38" t="n">
        <v>9.27</v>
      </c>
      <c r="J511" s="13" t="n">
        <v>10244</v>
      </c>
      <c r="K511" s="13" t="n">
        <v>9983.559999999999</v>
      </c>
      <c r="L511" s="13" t="n">
        <v>3120.69</v>
      </c>
      <c r="M511" s="13" t="n">
        <v>3172.46</v>
      </c>
      <c r="N511" s="13" t="n">
        <v>4270</v>
      </c>
      <c r="O511" s="38" t="n">
        <v>74.3</v>
      </c>
      <c r="P511" s="39" t="inlineStr">
        <is>
          <t>Windy</t>
        </is>
      </c>
      <c r="Q511" s="13" t="n">
        <v>1564</v>
      </c>
      <c r="R511" s="13" t="n">
        <v>690.99</v>
      </c>
      <c r="S511" s="13" t="n">
        <v>-913.75</v>
      </c>
      <c r="T511" s="13" t="n">
        <v>9680.610000000001</v>
      </c>
      <c r="U511" s="13" t="n">
        <v>813.58</v>
      </c>
      <c r="V511" s="13" t="n">
        <v>384.11</v>
      </c>
      <c r="W511" s="13" t="n">
        <v>3049.63</v>
      </c>
      <c r="X511" s="13" t="n">
        <v>3960.54</v>
      </c>
      <c r="Y511" s="13" t="n">
        <v>3115.02</v>
      </c>
      <c r="Z511" s="19" t="n"/>
      <c r="AA511" s="18" t="n"/>
      <c r="AB511" s="38" t="n">
        <v>23.42</v>
      </c>
      <c r="AC511" s="14">
        <f>IFERROR(AVERAGEIFS($E$16:$E$736,$W$16:$W$736,"&gt;="&amp;W511-$C$5,$W$16:$W$736,"&lt;="&amp;W511+$C$5,$B$16:$B$736,B511,$A$16:$A$736,"&lt;&gt;"&amp;A511),"")</f>
        <v/>
      </c>
      <c r="AD511" s="14">
        <f>IF(AND(ISNUMBER(E511),ISNUMBER(AC511)),E511-AC511,"")</f>
        <v/>
      </c>
    </row>
    <row r="512">
      <c r="A512" s="17" t="n">
        <v>45769</v>
      </c>
      <c r="B512" s="29">
        <f>MONTH(A512)</f>
        <v/>
      </c>
      <c r="C512" s="29">
        <f>IF(AND(ISNUMBER(W512),ISNUMBER($C$4),ABS(W512-$C$4)&lt;=$C$5,ABS(MOD(B512-$C$6+6,12)-6)&lt;=$C$7,OR($C$8="Any",P512=$C$8)),1,0)</f>
        <v/>
      </c>
      <c r="D512" s="29">
        <f>IF(C512=1,COUNTIF($C$16:C512,1),"")</f>
        <v/>
      </c>
      <c r="E512" s="18" t="n">
        <v>40.43</v>
      </c>
      <c r="F512" s="18" t="n">
        <v>44.55</v>
      </c>
      <c r="G512" s="18" t="n">
        <v>32.19</v>
      </c>
      <c r="H512" s="38" t="n">
        <v>8.57</v>
      </c>
      <c r="I512" s="38" t="n">
        <v>3.28</v>
      </c>
      <c r="J512" s="13" t="n">
        <v>10294</v>
      </c>
      <c r="K512" s="13" t="n">
        <v>10128.5</v>
      </c>
      <c r="L512" s="13" t="n">
        <v>527.0599999999999</v>
      </c>
      <c r="M512" s="13" t="n">
        <v>591.25</v>
      </c>
      <c r="N512" s="13" t="n">
        <v>4270</v>
      </c>
      <c r="O512" s="38" t="n">
        <v>13.85</v>
      </c>
      <c r="P512" s="39" t="inlineStr">
        <is>
          <t>Calm</t>
        </is>
      </c>
      <c r="Q512" s="13" t="n">
        <v>1320</v>
      </c>
      <c r="R512" s="13" t="n">
        <v>687.92</v>
      </c>
      <c r="S512" s="13" t="n">
        <v>-17.67</v>
      </c>
      <c r="T512" s="13" t="n">
        <v>10399.63</v>
      </c>
      <c r="U512" s="13" t="n">
        <v>847.72</v>
      </c>
      <c r="V512" s="13" t="n">
        <v>40.89</v>
      </c>
      <c r="W512" s="13" t="n">
        <v>1809.28</v>
      </c>
      <c r="X512" s="13" t="n">
        <v>2542.09</v>
      </c>
      <c r="Y512" s="13" t="n">
        <v>1845.33</v>
      </c>
      <c r="Z512" s="19" t="n"/>
      <c r="AA512" s="18" t="n"/>
      <c r="AB512" s="38" t="n">
        <v>12.04</v>
      </c>
      <c r="AC512" s="14">
        <f>IFERROR(AVERAGEIFS($E$16:$E$736,$W$16:$W$736,"&gt;="&amp;W512-$C$5,$W$16:$W$736,"&lt;="&amp;W512+$C$5,$B$16:$B$736,B512,$A$16:$A$736,"&lt;&gt;"&amp;A512),"")</f>
        <v/>
      </c>
      <c r="AD512" s="14">
        <f>IF(AND(ISNUMBER(E512),ISNUMBER(AC512)),E512-AC512,"")</f>
        <v/>
      </c>
    </row>
    <row r="513">
      <c r="A513" s="17" t="n">
        <v>45768</v>
      </c>
      <c r="B513" s="29">
        <f>MONTH(A513)</f>
        <v/>
      </c>
      <c r="C513" s="29">
        <f>IF(AND(ISNUMBER(W513),ISNUMBER($C$4),ABS(W513-$C$4)&lt;=$C$5,ABS(MOD(B513-$C$6+6,12)-6)&lt;=$C$7,OR($C$8="Any",P513=$C$8)),1,0)</f>
        <v/>
      </c>
      <c r="D513" s="29">
        <f>IF(C513=1,COUNTIF($C$16:C513,1),"")</f>
        <v/>
      </c>
      <c r="E513" s="18" t="n">
        <v>51.91</v>
      </c>
      <c r="F513" s="18" t="n">
        <v>48.04</v>
      </c>
      <c r="G513" s="18" t="n">
        <v>59.65</v>
      </c>
      <c r="H513" s="38" t="n">
        <v>7.53</v>
      </c>
      <c r="I513" s="38" t="n">
        <v>2.92</v>
      </c>
      <c r="J513" s="13" t="n">
        <v>10433</v>
      </c>
      <c r="K513" s="13" t="n">
        <v>10226.81</v>
      </c>
      <c r="L513" s="13" t="n">
        <v>1099</v>
      </c>
      <c r="M513" s="13" t="n">
        <v>867.88</v>
      </c>
      <c r="N513" s="13" t="n">
        <v>4270</v>
      </c>
      <c r="O513" s="38" t="n">
        <v>20.32</v>
      </c>
      <c r="P513" s="39" t="inlineStr">
        <is>
          <t>Windy</t>
        </is>
      </c>
      <c r="Q513" s="13" t="n">
        <v>767</v>
      </c>
      <c r="R513" s="13" t="n">
        <v>697.77</v>
      </c>
      <c r="S513" s="13" t="n">
        <v>199.46</v>
      </c>
      <c r="T513" s="13" t="n">
        <v>9941.34</v>
      </c>
      <c r="U513" s="13" t="n">
        <v>841.63</v>
      </c>
      <c r="V513" s="13" t="n">
        <v>279.88</v>
      </c>
      <c r="W513" s="13" t="n">
        <v>1638.77</v>
      </c>
      <c r="X513" s="13" t="n">
        <v>2412.42</v>
      </c>
      <c r="Y513" s="13" t="n">
        <v>1650.13</v>
      </c>
      <c r="Z513" s="19" t="n"/>
      <c r="AA513" s="18" t="n"/>
      <c r="AB513" s="38" t="n">
        <v>16.25</v>
      </c>
      <c r="AC513" s="14">
        <f>IFERROR(AVERAGEIFS($E$16:$E$736,$W$16:$W$736,"&gt;="&amp;W513-$C$5,$W$16:$W$736,"&lt;="&amp;W513+$C$5,$B$16:$B$736,B513,$A$16:$A$736,"&lt;&gt;"&amp;A513),"")</f>
        <v/>
      </c>
      <c r="AD513" s="14">
        <f>IF(AND(ISNUMBER(E513),ISNUMBER(AC513)),E513-AC513,"")</f>
        <v/>
      </c>
    </row>
    <row r="514">
      <c r="A514" s="17" t="n">
        <v>45767</v>
      </c>
      <c r="B514" s="29">
        <f>MONTH(A514)</f>
        <v/>
      </c>
      <c r="C514" s="29">
        <f>IF(AND(ISNUMBER(W514),ISNUMBER($C$4),ABS(W514-$C$4)&lt;=$C$5,ABS(MOD(B514-$C$6+6,12)-6)&lt;=$C$7,OR($C$8="Any",P514=$C$8)),1,0)</f>
        <v/>
      </c>
      <c r="D514" s="29">
        <f>IF(C514=1,COUNTIF($C$16:C514,1),"")</f>
        <v/>
      </c>
      <c r="E514" s="18" t="n">
        <v>52.58</v>
      </c>
      <c r="F514" s="18" t="n">
        <v>59.33</v>
      </c>
      <c r="G514" s="18" t="n">
        <v>39.09</v>
      </c>
      <c r="H514" s="38" t="n">
        <v>6.27</v>
      </c>
      <c r="I514" s="38" t="n">
        <v>3.2</v>
      </c>
      <c r="J514" s="13" t="n">
        <v>9842</v>
      </c>
      <c r="K514" s="13" t="n">
        <v>9670</v>
      </c>
      <c r="L514" s="13" t="n">
        <v>457.5</v>
      </c>
      <c r="M514" s="13" t="n">
        <v>696.58</v>
      </c>
      <c r="N514" s="13" t="n">
        <v>4270</v>
      </c>
      <c r="O514" s="38" t="n">
        <v>16.31</v>
      </c>
      <c r="P514" s="39" t="inlineStr">
        <is>
          <t>Windy</t>
        </is>
      </c>
      <c r="Q514" s="13" t="n">
        <v>786</v>
      </c>
      <c r="R514" s="13" t="n">
        <v>729.01</v>
      </c>
      <c r="S514" s="13" t="n">
        <v>263.79</v>
      </c>
      <c r="T514" s="13" t="n">
        <v>9523.549999999999</v>
      </c>
      <c r="U514" s="13" t="n">
        <v>854.97</v>
      </c>
      <c r="V514" s="13" t="n">
        <v>320.01</v>
      </c>
      <c r="W514" s="13" t="n">
        <v>1257.83</v>
      </c>
      <c r="X514" s="13" t="n">
        <v>2143.3</v>
      </c>
      <c r="Y514" s="13" t="n">
        <v>1387.47</v>
      </c>
      <c r="Z514" s="19" t="n"/>
      <c r="AA514" s="18" t="n"/>
      <c r="AB514" s="38" t="n">
        <v>9.57</v>
      </c>
      <c r="AC514" s="14">
        <f>IFERROR(AVERAGEIFS($E$16:$E$736,$W$16:$W$736,"&gt;="&amp;W514-$C$5,$W$16:$W$736,"&lt;="&amp;W514+$C$5,$B$16:$B$736,B514,$A$16:$A$736,"&lt;&gt;"&amp;A514),"")</f>
        <v/>
      </c>
      <c r="AD514" s="14">
        <f>IF(AND(ISNUMBER(E514),ISNUMBER(AC514)),E514-AC514,"")</f>
        <v/>
      </c>
    </row>
    <row r="515">
      <c r="A515" s="17" t="n">
        <v>45766</v>
      </c>
      <c r="B515" s="29">
        <f>MONTH(A515)</f>
        <v/>
      </c>
      <c r="C515" s="29">
        <f>IF(AND(ISNUMBER(W515),ISNUMBER($C$4),ABS(W515-$C$4)&lt;=$C$5,ABS(MOD(B515-$C$6+6,12)-6)&lt;=$C$7,OR($C$8="Any",P515=$C$8)),1,0)</f>
        <v/>
      </c>
      <c r="D515" s="29">
        <f>IF(C515=1,COUNTIF($C$16:C515,1),"")</f>
        <v/>
      </c>
      <c r="E515" s="18" t="n">
        <v>9.57</v>
      </c>
      <c r="F515" s="18" t="n">
        <v>12.28</v>
      </c>
      <c r="G515" s="18" t="n">
        <v>4.14</v>
      </c>
      <c r="H515" s="38" t="n">
        <v>11.47</v>
      </c>
      <c r="I515" s="38" t="n">
        <v>8.44</v>
      </c>
      <c r="J515" s="13" t="n">
        <v>9953</v>
      </c>
      <c r="K515" s="13" t="n">
        <v>9645</v>
      </c>
      <c r="L515" s="13" t="n">
        <v>2240.62</v>
      </c>
      <c r="M515" s="13" t="n">
        <v>2647.67</v>
      </c>
      <c r="N515" s="13" t="n">
        <v>4270</v>
      </c>
      <c r="O515" s="38" t="n">
        <v>62.01</v>
      </c>
      <c r="P515" s="39" t="inlineStr">
        <is>
          <t>Windy</t>
        </is>
      </c>
      <c r="Q515" s="13" t="n">
        <v>1175</v>
      </c>
      <c r="R515" s="13" t="n">
        <v>725.91</v>
      </c>
      <c r="S515" s="13" t="n">
        <v>-294.62</v>
      </c>
      <c r="T515" s="13" t="n">
        <v>9380.98</v>
      </c>
      <c r="U515" s="13" t="n">
        <v>857.74</v>
      </c>
      <c r="V515" s="13" t="n">
        <v>262.69</v>
      </c>
      <c r="W515" s="13" t="n">
        <v>2418.56</v>
      </c>
      <c r="X515" s="13" t="n">
        <v>3505.15</v>
      </c>
      <c r="Y515" s="13" t="n">
        <v>2471.79</v>
      </c>
      <c r="Z515" s="19" t="n"/>
      <c r="AA515" s="18" t="n"/>
      <c r="AB515" s="38" t="n">
        <v>28.94</v>
      </c>
      <c r="AC515" s="14">
        <f>IFERROR(AVERAGEIFS($E$16:$E$736,$W$16:$W$736,"&gt;="&amp;W515-$C$5,$W$16:$W$736,"&lt;="&amp;W515+$C$5,$B$16:$B$736,B515,$A$16:$A$736,"&lt;&gt;"&amp;A515),"")</f>
        <v/>
      </c>
      <c r="AD515" s="14">
        <f>IF(AND(ISNUMBER(E515),ISNUMBER(AC515)),E515-AC515,"")</f>
        <v/>
      </c>
    </row>
    <row r="516">
      <c r="A516" s="17" t="n">
        <v>45765</v>
      </c>
      <c r="B516" s="29">
        <f>MONTH(A516)</f>
        <v/>
      </c>
      <c r="C516" s="29">
        <f>IF(AND(ISNUMBER(W516),ISNUMBER($C$4),ABS(W516-$C$4)&lt;=$C$5,ABS(MOD(B516-$C$6+6,12)-6)&lt;=$C$7,OR($C$8="Any",P516=$C$8)),1,0)</f>
        <v/>
      </c>
      <c r="D516" s="29">
        <f>IF(C516=1,COUNTIF($C$16:C516,1),"")</f>
        <v/>
      </c>
      <c r="E516" s="18" t="n">
        <v>32.7</v>
      </c>
      <c r="F516" s="18" t="n">
        <v>21.23</v>
      </c>
      <c r="G516" s="18" t="n">
        <v>55.62</v>
      </c>
      <c r="H516" s="38" t="n">
        <v>14.53</v>
      </c>
      <c r="I516" s="38" t="n">
        <v>5.34</v>
      </c>
      <c r="J516" s="13" t="n">
        <v>9914</v>
      </c>
      <c r="K516" s="13" t="n">
        <v>9729</v>
      </c>
      <c r="L516" s="13" t="n">
        <v>1790.69</v>
      </c>
      <c r="M516" s="13" t="n">
        <v>1561</v>
      </c>
      <c r="N516" s="13" t="n">
        <v>4255.12</v>
      </c>
      <c r="O516" s="38" t="n">
        <v>36.69</v>
      </c>
      <c r="P516" s="39" t="inlineStr">
        <is>
          <t>Windy</t>
        </is>
      </c>
      <c r="Q516" s="13" t="n">
        <v>1673</v>
      </c>
      <c r="R516" s="13" t="n">
        <v>725.38</v>
      </c>
      <c r="S516" s="13" t="n">
        <v>-225.21</v>
      </c>
      <c r="T516" s="13" t="n">
        <v>9452.32</v>
      </c>
      <c r="U516" s="13" t="n">
        <v>805.77</v>
      </c>
      <c r="V516" s="13" t="n">
        <v>71.69</v>
      </c>
      <c r="W516" s="13" t="n">
        <v>2182.18</v>
      </c>
      <c r="X516" s="13" t="n">
        <v>3243.6</v>
      </c>
      <c r="Y516" s="13" t="n">
        <v>2324.3</v>
      </c>
      <c r="Z516" s="19" t="n"/>
      <c r="AA516" s="18" t="n"/>
      <c r="AB516" s="38" t="n">
        <v>22.83</v>
      </c>
      <c r="AC516" s="14">
        <f>IFERROR(AVERAGEIFS($E$16:$E$736,$W$16:$W$736,"&gt;="&amp;W516-$C$5,$W$16:$W$736,"&lt;="&amp;W516+$C$5,$B$16:$B$736,B516,$A$16:$A$736,"&lt;&gt;"&amp;A516),"")</f>
        <v/>
      </c>
      <c r="AD516" s="14">
        <f>IF(AND(ISNUMBER(E516),ISNUMBER(AC516)),E516-AC516,"")</f>
        <v/>
      </c>
    </row>
    <row r="517">
      <c r="A517" s="17" t="n">
        <v>45764</v>
      </c>
      <c r="B517" s="29">
        <f>MONTH(A517)</f>
        <v/>
      </c>
      <c r="C517" s="29">
        <f>IF(AND(ISNUMBER(W517),ISNUMBER($C$4),ABS(W517-$C$4)&lt;=$C$5,ABS(MOD(B517-$C$6+6,12)-6)&lt;=$C$7,OR($C$8="Any",P517=$C$8)),1,0)</f>
        <v/>
      </c>
      <c r="D517" s="29">
        <f>IF(C517=1,COUNTIF($C$16:C517,1),"")</f>
        <v/>
      </c>
      <c r="E517" s="18" t="n">
        <v>32.53</v>
      </c>
      <c r="F517" s="18" t="n">
        <v>27.12</v>
      </c>
      <c r="G517" s="18" t="n">
        <v>43.35</v>
      </c>
      <c r="H517" s="38" t="n">
        <v>6.03</v>
      </c>
      <c r="I517" s="38" t="n">
        <v>1.21</v>
      </c>
      <c r="J517" s="13" t="n">
        <v>10398</v>
      </c>
      <c r="K517" s="13" t="n">
        <v>10150.44</v>
      </c>
      <c r="L517" s="13" t="n">
        <v>1919.81</v>
      </c>
      <c r="M517" s="13" t="n">
        <v>1670.58</v>
      </c>
      <c r="N517" s="13" t="n">
        <v>4253</v>
      </c>
      <c r="O517" s="38" t="n">
        <v>39.28</v>
      </c>
      <c r="P517" s="39" t="inlineStr">
        <is>
          <t>Windy</t>
        </is>
      </c>
      <c r="Q517" s="13" t="n">
        <v>1418</v>
      </c>
      <c r="R517" s="13" t="n">
        <v>652.45</v>
      </c>
      <c r="S517" s="13" t="n">
        <v>-223.83</v>
      </c>
      <c r="T517" s="13" t="n">
        <v>9699.379999999999</v>
      </c>
      <c r="U517" s="13" t="n">
        <v>763.46</v>
      </c>
      <c r="V517" s="13" t="n">
        <v>355.15</v>
      </c>
      <c r="W517" s="13" t="n">
        <v>1450.24</v>
      </c>
      <c r="X517" s="13" t="n">
        <v>2850.76</v>
      </c>
      <c r="Y517" s="13" t="n">
        <v>1572.89</v>
      </c>
      <c r="Z517" s="19" t="n"/>
      <c r="AA517" s="18" t="n"/>
      <c r="AB517" s="38" t="n">
        <v>20.37</v>
      </c>
      <c r="AC517" s="14">
        <f>IFERROR(AVERAGEIFS($E$16:$E$736,$W$16:$W$736,"&gt;="&amp;W517-$C$5,$W$16:$W$736,"&lt;="&amp;W517+$C$5,$B$16:$B$736,B517,$A$16:$A$736,"&lt;&gt;"&amp;A517),"")</f>
        <v/>
      </c>
      <c r="AD517" s="14">
        <f>IF(AND(ISNUMBER(E517),ISNUMBER(AC517)),E517-AC517,"")</f>
        <v/>
      </c>
    </row>
    <row r="518">
      <c r="A518" s="17" t="n">
        <v>45763</v>
      </c>
      <c r="B518" s="29">
        <f>MONTH(A518)</f>
        <v/>
      </c>
      <c r="C518" s="29">
        <f>IF(AND(ISNUMBER(W518),ISNUMBER($C$4),ABS(W518-$C$4)&lt;=$C$5,ABS(MOD(B518-$C$6+6,12)-6)&lt;=$C$7,OR($C$8="Any",P518=$C$8)),1,0)</f>
        <v/>
      </c>
      <c r="D518" s="29">
        <f>IF(C518=1,COUNTIF($C$16:C518,1),"")</f>
        <v/>
      </c>
      <c r="E518" s="18" t="n">
        <v>16.3</v>
      </c>
      <c r="F518" s="18" t="n">
        <v>15.83</v>
      </c>
      <c r="G518" s="18" t="n">
        <v>17.24</v>
      </c>
      <c r="H518" s="38" t="n">
        <v>5.2</v>
      </c>
      <c r="I518" s="38" t="n">
        <v>2.7</v>
      </c>
      <c r="J518" s="13" t="n">
        <v>10424</v>
      </c>
      <c r="K518" s="13" t="n">
        <v>10163.38</v>
      </c>
      <c r="L518" s="13" t="n">
        <v>2453.81</v>
      </c>
      <c r="M518" s="13" t="n">
        <v>2553.12</v>
      </c>
      <c r="N518" s="13" t="n">
        <v>4253</v>
      </c>
      <c r="O518" s="38" t="n">
        <v>60.03</v>
      </c>
      <c r="P518" s="39" t="inlineStr">
        <is>
          <t>Windy</t>
        </is>
      </c>
      <c r="Q518" s="13" t="n">
        <v>1013</v>
      </c>
      <c r="R518" s="13" t="n">
        <v>664.59</v>
      </c>
      <c r="S518" s="13" t="n">
        <v>-387.5</v>
      </c>
      <c r="T518" s="13" t="n">
        <v>9922.719999999999</v>
      </c>
      <c r="U518" s="13" t="n">
        <v>751.84</v>
      </c>
      <c r="V518" s="13" t="n">
        <v>36.58</v>
      </c>
      <c r="W518" s="13" t="n">
        <v>2209.98</v>
      </c>
      <c r="X518" s="13" t="n">
        <v>3345.99</v>
      </c>
      <c r="Y518" s="13" t="n">
        <v>2317.46</v>
      </c>
      <c r="Z518" s="19" t="n"/>
      <c r="AA518" s="18" t="n"/>
      <c r="AB518" s="38" t="n">
        <v>27.77</v>
      </c>
      <c r="AC518" s="14">
        <f>IFERROR(AVERAGEIFS($E$16:$E$736,$W$16:$W$736,"&gt;="&amp;W518-$C$5,$W$16:$W$736,"&lt;="&amp;W518+$C$5,$B$16:$B$736,B518,$A$16:$A$736,"&lt;&gt;"&amp;A518),"")</f>
        <v/>
      </c>
      <c r="AD518" s="14">
        <f>IF(AND(ISNUMBER(E518),ISNUMBER(AC518)),E518-AC518,"")</f>
        <v/>
      </c>
    </row>
    <row r="519">
      <c r="A519" s="17" t="n">
        <v>45762</v>
      </c>
      <c r="B519" s="29">
        <f>MONTH(A519)</f>
        <v/>
      </c>
      <c r="C519" s="29">
        <f>IF(AND(ISNUMBER(W519),ISNUMBER($C$4),ABS(W519-$C$4)&lt;=$C$5,ABS(MOD(B519-$C$6+6,12)-6)&lt;=$C$7,OR($C$8="Any",P519=$C$8)),1,0)</f>
        <v/>
      </c>
      <c r="D519" s="29">
        <f>IF(C519=1,COUNTIF($C$16:C519,1),"")</f>
        <v/>
      </c>
      <c r="E519" s="18" t="n">
        <v>13.19</v>
      </c>
      <c r="F519" s="18" t="n">
        <v>15.43</v>
      </c>
      <c r="G519" s="18" t="n">
        <v>8.720000000000001</v>
      </c>
      <c r="H519" s="38" t="n">
        <v>14.7</v>
      </c>
      <c r="I519" s="38" t="n">
        <v>9.42</v>
      </c>
      <c r="J519" s="13" t="n">
        <v>10110</v>
      </c>
      <c r="K519" s="13" t="n">
        <v>9969.120000000001</v>
      </c>
      <c r="L519" s="13" t="n">
        <v>1883.12</v>
      </c>
      <c r="M519" s="13" t="n">
        <v>2246.88</v>
      </c>
      <c r="N519" s="13" t="n">
        <v>4253</v>
      </c>
      <c r="O519" s="38" t="n">
        <v>52.83</v>
      </c>
      <c r="P519" s="39" t="inlineStr">
        <is>
          <t>Windy</t>
        </is>
      </c>
      <c r="Q519" s="13" t="n">
        <v>1506</v>
      </c>
      <c r="R519" s="13" t="n">
        <v>669.72</v>
      </c>
      <c r="S519" s="13" t="n">
        <v>-465.04</v>
      </c>
      <c r="T519" s="13" t="n">
        <v>9785.33</v>
      </c>
      <c r="U519" s="13" t="n">
        <v>760.26</v>
      </c>
      <c r="V519" s="13" t="n">
        <v>141.59</v>
      </c>
      <c r="W519" s="13" t="n">
        <v>2701</v>
      </c>
      <c r="X519" s="13" t="n">
        <v>3207.82</v>
      </c>
      <c r="Y519" s="13" t="n">
        <v>2834.12</v>
      </c>
      <c r="Z519" s="19" t="n"/>
      <c r="AA519" s="18" t="n"/>
      <c r="AB519" s="38" t="n">
        <v>26.93</v>
      </c>
      <c r="AC519" s="14">
        <f>IFERROR(AVERAGEIFS($E$16:$E$736,$W$16:$W$736,"&gt;="&amp;W519-$C$5,$W$16:$W$736,"&lt;="&amp;W519+$C$5,$B$16:$B$736,B519,$A$16:$A$736,"&lt;&gt;"&amp;A519),"")</f>
        <v/>
      </c>
      <c r="AD519" s="14">
        <f>IF(AND(ISNUMBER(E519),ISNUMBER(AC519)),E519-AC519,"")</f>
        <v/>
      </c>
    </row>
    <row r="520">
      <c r="A520" s="17" t="n">
        <v>45761</v>
      </c>
      <c r="B520" s="29">
        <f>MONTH(A520)</f>
        <v/>
      </c>
      <c r="C520" s="29">
        <f>IF(AND(ISNUMBER(W520),ISNUMBER($C$4),ABS(W520-$C$4)&lt;=$C$5,ABS(MOD(B520-$C$6+6,12)-6)&lt;=$C$7,OR($C$8="Any",P520=$C$8)),1,0)</f>
        <v/>
      </c>
      <c r="D520" s="29">
        <f>IF(C520=1,COUNTIF($C$16:C520,1),"")</f>
        <v/>
      </c>
      <c r="E520" s="18" t="n">
        <v>41.23</v>
      </c>
      <c r="F520" s="18" t="n">
        <v>36.77</v>
      </c>
      <c r="G520" s="18" t="n">
        <v>50.13</v>
      </c>
      <c r="H520" s="38" t="n">
        <v>13.9</v>
      </c>
      <c r="I520" s="38" t="n">
        <v>5.66</v>
      </c>
      <c r="J520" s="13" t="n">
        <v>10124</v>
      </c>
      <c r="K520" s="13" t="n">
        <v>9990.620000000001</v>
      </c>
      <c r="L520" s="13" t="n">
        <v>1287.44</v>
      </c>
      <c r="M520" s="13" t="n">
        <v>1201.5</v>
      </c>
      <c r="N520" s="13" t="n">
        <v>4253</v>
      </c>
      <c r="O520" s="38" t="n">
        <v>28.25</v>
      </c>
      <c r="P520" s="39" t="inlineStr">
        <is>
          <t>Windy</t>
        </is>
      </c>
      <c r="Q520" s="13" t="n">
        <v>1447</v>
      </c>
      <c r="R520" s="13" t="n">
        <v>705.53</v>
      </c>
      <c r="S520" s="13" t="n">
        <v>-95.33</v>
      </c>
      <c r="T520" s="13" t="n">
        <v>9876.67</v>
      </c>
      <c r="U520" s="13" t="n">
        <v>754.24</v>
      </c>
      <c r="V520" s="13" t="n">
        <v>101.49</v>
      </c>
      <c r="W520" s="13" t="n">
        <v>2061.05</v>
      </c>
      <c r="X520" s="13" t="n">
        <v>2844.48</v>
      </c>
      <c r="Y520" s="13" t="n">
        <v>2166.96</v>
      </c>
      <c r="Z520" s="19" t="n"/>
      <c r="AA520" s="18" t="n"/>
      <c r="AB520" s="38" t="n">
        <v>16.53</v>
      </c>
      <c r="AC520" s="14">
        <f>IFERROR(AVERAGEIFS($E$16:$E$736,$W$16:$W$736,"&gt;="&amp;W520-$C$5,$W$16:$W$736,"&lt;="&amp;W520+$C$5,$B$16:$B$736,B520,$A$16:$A$736,"&lt;&gt;"&amp;A520),"")</f>
        <v/>
      </c>
      <c r="AD520" s="14">
        <f>IF(AND(ISNUMBER(E520),ISNUMBER(AC520)),E520-AC520,"")</f>
        <v/>
      </c>
    </row>
    <row r="521">
      <c r="A521" s="17" t="n">
        <v>45760</v>
      </c>
      <c r="B521" s="29">
        <f>MONTH(A521)</f>
        <v/>
      </c>
      <c r="C521" s="29">
        <f>IF(AND(ISNUMBER(W521),ISNUMBER($C$4),ABS(W521-$C$4)&lt;=$C$5,ABS(MOD(B521-$C$6+6,12)-6)&lt;=$C$7,OR($C$8="Any",P521=$C$8)),1,0)</f>
        <v/>
      </c>
      <c r="D521" s="29">
        <f>IF(C521=1,COUNTIF($C$16:C521,1),"")</f>
        <v/>
      </c>
      <c r="E521" s="18" t="n">
        <v>15.65</v>
      </c>
      <c r="F521" s="18" t="n">
        <v>20.24</v>
      </c>
      <c r="G521" s="18" t="n">
        <v>6.48</v>
      </c>
      <c r="H521" s="38" t="n">
        <v>8.6</v>
      </c>
      <c r="I521" s="38" t="n">
        <v>3.37</v>
      </c>
      <c r="J521" s="13" t="n">
        <v>9884</v>
      </c>
      <c r="K521" s="13" t="n">
        <v>9678.190000000001</v>
      </c>
      <c r="L521" s="13" t="n">
        <v>1758.38</v>
      </c>
      <c r="M521" s="13" t="n">
        <v>2175.33</v>
      </c>
      <c r="N521" s="13" t="n">
        <v>4253</v>
      </c>
      <c r="O521" s="38" t="n">
        <v>51.15</v>
      </c>
      <c r="P521" s="39" t="inlineStr">
        <is>
          <t>Windy</t>
        </is>
      </c>
      <c r="Q521" s="13" t="n">
        <v>1460</v>
      </c>
      <c r="R521" s="13" t="n">
        <v>715.98</v>
      </c>
      <c r="S521" s="13" t="n">
        <v>-581.04</v>
      </c>
      <c r="T521" s="13" t="n">
        <v>9873.66</v>
      </c>
      <c r="U521" s="13" t="n">
        <v>834.4299999999999</v>
      </c>
      <c r="V521" s="13" t="n">
        <v>73.16</v>
      </c>
      <c r="W521" s="13" t="n">
        <v>2127.88</v>
      </c>
      <c r="X521" s="13" t="n">
        <v>3278.42</v>
      </c>
      <c r="Y521" s="13" t="n">
        <v>2160.54</v>
      </c>
      <c r="Z521" s="19" t="n"/>
      <c r="AA521" s="18" t="n"/>
      <c r="AB521" s="38" t="n">
        <v>20.03</v>
      </c>
      <c r="AC521" s="14">
        <f>IFERROR(AVERAGEIFS($E$16:$E$736,$W$16:$W$736,"&gt;="&amp;W521-$C$5,$W$16:$W$736,"&lt;="&amp;W521+$C$5,$B$16:$B$736,B521,$A$16:$A$736,"&lt;&gt;"&amp;A521),"")</f>
        <v/>
      </c>
      <c r="AD521" s="14">
        <f>IF(AND(ISNUMBER(E521),ISNUMBER(AC521)),E521-AC521,"")</f>
        <v/>
      </c>
    </row>
    <row r="522">
      <c r="A522" s="17" t="n">
        <v>45759</v>
      </c>
      <c r="B522" s="29">
        <f>MONTH(A522)</f>
        <v/>
      </c>
      <c r="C522" s="29">
        <f>IF(AND(ISNUMBER(W522),ISNUMBER($C$4),ABS(W522-$C$4)&lt;=$C$5,ABS(MOD(B522-$C$6+6,12)-6)&lt;=$C$7,OR($C$8="Any",P522=$C$8)),1,0)</f>
        <v/>
      </c>
      <c r="D522" s="29">
        <f>IF(C522=1,COUNTIF($C$16:C522,1),"")</f>
        <v/>
      </c>
      <c r="E522" s="18" t="n">
        <v>19.75</v>
      </c>
      <c r="F522" s="18" t="n">
        <v>12.51</v>
      </c>
      <c r="G522" s="18" t="n">
        <v>34.24</v>
      </c>
      <c r="H522" s="38" t="n">
        <v>8.93</v>
      </c>
      <c r="I522" s="38" t="n">
        <v>4.12</v>
      </c>
      <c r="J522" s="13" t="n">
        <v>10144</v>
      </c>
      <c r="K522" s="13" t="n">
        <v>9886.690000000001</v>
      </c>
      <c r="L522" s="13" t="n">
        <v>2327.31</v>
      </c>
      <c r="M522" s="13" t="n">
        <v>2095.38</v>
      </c>
      <c r="N522" s="13" t="n">
        <v>4253</v>
      </c>
      <c r="O522" s="38" t="n">
        <v>49.27</v>
      </c>
      <c r="P522" s="39" t="inlineStr">
        <is>
          <t>Windy</t>
        </is>
      </c>
      <c r="Q522" s="13" t="n">
        <v>1395</v>
      </c>
      <c r="R522" s="13" t="n">
        <v>714.85</v>
      </c>
      <c r="S522" s="13" t="n">
        <v>-233.08</v>
      </c>
      <c r="T522" s="13" t="n">
        <v>9813.559999999999</v>
      </c>
      <c r="U522" s="13" t="n">
        <v>859.83</v>
      </c>
      <c r="V522" s="13" t="n">
        <v>93.23999999999999</v>
      </c>
      <c r="W522" s="13" t="n">
        <v>2985.5</v>
      </c>
      <c r="X522" s="13" t="n">
        <v>3610.4</v>
      </c>
      <c r="Y522" s="13" t="n">
        <v>2999.67</v>
      </c>
      <c r="Z522" s="19" t="n"/>
      <c r="AA522" s="18" t="n"/>
      <c r="AB522" s="38" t="n">
        <v>24.04</v>
      </c>
      <c r="AC522" s="14">
        <f>IFERROR(AVERAGEIFS($E$16:$E$736,$W$16:$W$736,"&gt;="&amp;W522-$C$5,$W$16:$W$736,"&lt;="&amp;W522+$C$5,$B$16:$B$736,B522,$A$16:$A$736,"&lt;&gt;"&amp;A522),"")</f>
        <v/>
      </c>
      <c r="AD522" s="14">
        <f>IF(AND(ISNUMBER(E522),ISNUMBER(AC522)),E522-AC522,"")</f>
        <v/>
      </c>
    </row>
    <row r="523">
      <c r="A523" s="17" t="n">
        <v>45758</v>
      </c>
      <c r="B523" s="29">
        <f>MONTH(A523)</f>
        <v/>
      </c>
      <c r="C523" s="29">
        <f>IF(AND(ISNUMBER(W523),ISNUMBER($C$4),ABS(W523-$C$4)&lt;=$C$5,ABS(MOD(B523-$C$6+6,12)-6)&lt;=$C$7,OR($C$8="Any",P523=$C$8)),1,0)</f>
        <v/>
      </c>
      <c r="D523" s="29">
        <f>IF(C523=1,COUNTIF($C$16:C523,1),"")</f>
        <v/>
      </c>
      <c r="E523" s="18" t="n">
        <v>8.98</v>
      </c>
      <c r="F523" s="18" t="n">
        <v>12.24</v>
      </c>
      <c r="G523" s="18" t="n">
        <v>2.46</v>
      </c>
      <c r="H523" s="38" t="n">
        <v>13.77</v>
      </c>
      <c r="I523" s="38" t="n">
        <v>9.779999999999999</v>
      </c>
      <c r="J523" s="13" t="n">
        <v>10555</v>
      </c>
      <c r="K523" s="13" t="n">
        <v>10235.62</v>
      </c>
      <c r="L523" s="13" t="n">
        <v>2931.38</v>
      </c>
      <c r="M523" s="13" t="n">
        <v>3244.04</v>
      </c>
      <c r="N523" s="13" t="n">
        <v>4253</v>
      </c>
      <c r="O523" s="38" t="n">
        <v>76.28</v>
      </c>
      <c r="P523" s="39" t="inlineStr">
        <is>
          <t>Windy</t>
        </is>
      </c>
      <c r="Q523" s="13" t="n">
        <v>1395</v>
      </c>
      <c r="R523" s="13" t="n">
        <v>717.59</v>
      </c>
      <c r="S523" s="13" t="n">
        <v>-574.54</v>
      </c>
      <c r="T523" s="13" t="n">
        <v>9219.059999999999</v>
      </c>
      <c r="U523" s="13" t="n">
        <v>834.4299999999999</v>
      </c>
      <c r="V523" s="13" t="n">
        <v>90.67</v>
      </c>
      <c r="W523" s="13" t="n">
        <v>2557.77</v>
      </c>
      <c r="X523" s="13" t="n">
        <v>3263.03</v>
      </c>
      <c r="Y523" s="13" t="n">
        <v>2667.36</v>
      </c>
      <c r="Z523" s="19" t="n"/>
      <c r="AA523" s="18" t="n"/>
      <c r="AB523" s="38" t="n">
        <v>33.05</v>
      </c>
      <c r="AC523" s="14">
        <f>IFERROR(AVERAGEIFS($E$16:$E$736,$W$16:$W$736,"&gt;="&amp;W523-$C$5,$W$16:$W$736,"&lt;="&amp;W523+$C$5,$B$16:$B$736,B523,$A$16:$A$736,"&lt;&gt;"&amp;A523),"")</f>
        <v/>
      </c>
      <c r="AD523" s="14">
        <f>IF(AND(ISNUMBER(E523),ISNUMBER(AC523)),E523-AC523,"")</f>
        <v/>
      </c>
    </row>
    <row r="524">
      <c r="A524" s="17" t="n">
        <v>45757</v>
      </c>
      <c r="B524" s="29">
        <f>MONTH(A524)</f>
        <v/>
      </c>
      <c r="C524" s="29">
        <f>IF(AND(ISNUMBER(W524),ISNUMBER($C$4),ABS(W524-$C$4)&lt;=$C$5,ABS(MOD(B524-$C$6+6,12)-6)&lt;=$C$7,OR($C$8="Any",P524=$C$8)),1,0)</f>
        <v/>
      </c>
      <c r="D524" s="29">
        <f>IF(C524=1,COUNTIF($C$16:C524,1),"")</f>
        <v/>
      </c>
      <c r="E524" s="18" t="n">
        <v>57.03</v>
      </c>
      <c r="F524" s="18" t="n">
        <v>61.13</v>
      </c>
      <c r="G524" s="18" t="n">
        <v>48.83</v>
      </c>
      <c r="H524" s="38" t="n">
        <v>15.83</v>
      </c>
      <c r="I524" s="38" t="n">
        <v>7.65</v>
      </c>
      <c r="J524" s="13" t="n">
        <v>10306</v>
      </c>
      <c r="K524" s="13" t="n">
        <v>10085.25</v>
      </c>
      <c r="L524" s="13" t="n">
        <v>1735.88</v>
      </c>
      <c r="M524" s="13" t="n">
        <v>1934.58</v>
      </c>
      <c r="N524" s="13" t="n">
        <v>4253</v>
      </c>
      <c r="O524" s="38" t="n">
        <v>45.49</v>
      </c>
      <c r="P524" s="39" t="inlineStr">
        <is>
          <t>Windy</t>
        </is>
      </c>
      <c r="Q524" s="13" t="n">
        <v>1523</v>
      </c>
      <c r="R524" s="13" t="n">
        <v>720.77</v>
      </c>
      <c r="S524" s="13" t="n">
        <v>-244.25</v>
      </c>
      <c r="T524" s="13" t="n">
        <v>9431.98</v>
      </c>
      <c r="U524" s="13" t="n">
        <v>812.78</v>
      </c>
      <c r="V524" s="13" t="n">
        <v>87.51000000000001</v>
      </c>
      <c r="W524" s="13" t="n">
        <v>1820.03</v>
      </c>
      <c r="X524" s="13" t="n">
        <v>2716.78</v>
      </c>
      <c r="Y524" s="13" t="n">
        <v>1861.47</v>
      </c>
      <c r="Z524" s="19" t="n"/>
      <c r="AA524" s="18" t="n"/>
      <c r="AB524" s="38" t="n">
        <v>19.15</v>
      </c>
      <c r="AC524" s="14">
        <f>IFERROR(AVERAGEIFS($E$16:$E$736,$W$16:$W$736,"&gt;="&amp;W524-$C$5,$W$16:$W$736,"&lt;="&amp;W524+$C$5,$B$16:$B$736,B524,$A$16:$A$736,"&lt;&gt;"&amp;A524),"")</f>
        <v/>
      </c>
      <c r="AD524" s="14">
        <f>IF(AND(ISNUMBER(E524),ISNUMBER(AC524)),E524-AC524,"")</f>
        <v/>
      </c>
    </row>
    <row r="525">
      <c r="A525" s="17" t="n">
        <v>45756</v>
      </c>
      <c r="B525" s="29">
        <f>MONTH(A525)</f>
        <v/>
      </c>
      <c r="C525" s="29">
        <f>IF(AND(ISNUMBER(W525),ISNUMBER($C$4),ABS(W525-$C$4)&lt;=$C$5,ABS(MOD(B525-$C$6+6,12)-6)&lt;=$C$7,OR($C$8="Any",P525=$C$8)),1,0)</f>
        <v/>
      </c>
      <c r="D525" s="29">
        <f>IF(C525=1,COUNTIF($C$16:C525,1),"")</f>
        <v/>
      </c>
      <c r="E525" s="18" t="n">
        <v>29.52</v>
      </c>
      <c r="F525" s="18" t="n">
        <v>31.8</v>
      </c>
      <c r="G525" s="18" t="n">
        <v>24.96</v>
      </c>
      <c r="H525" s="38" t="n">
        <v>12.57</v>
      </c>
      <c r="I525" s="38" t="n">
        <v>6.41</v>
      </c>
      <c r="J525" s="13" t="n">
        <v>10285</v>
      </c>
      <c r="K525" s="13" t="n">
        <v>10108.56</v>
      </c>
      <c r="L525" s="13" t="n">
        <v>2309.81</v>
      </c>
      <c r="M525" s="13" t="n">
        <v>2409.96</v>
      </c>
      <c r="N525" s="13" t="n">
        <v>4253</v>
      </c>
      <c r="O525" s="38" t="n">
        <v>56.66</v>
      </c>
      <c r="P525" s="39" t="inlineStr">
        <is>
          <t>Windy</t>
        </is>
      </c>
      <c r="Q525" s="13" t="n">
        <v>1455</v>
      </c>
      <c r="R525" s="13" t="n">
        <v>716.8</v>
      </c>
      <c r="S525" s="13" t="n">
        <v>-156</v>
      </c>
      <c r="T525" s="13" t="n">
        <v>9274.6</v>
      </c>
      <c r="U525" s="13" t="n">
        <v>844.15</v>
      </c>
      <c r="V525" s="13" t="n">
        <v>494.03</v>
      </c>
      <c r="W525" s="13" t="n">
        <v>2201.67</v>
      </c>
      <c r="X525" s="13" t="n">
        <v>3103.34</v>
      </c>
      <c r="Y525" s="13" t="n">
        <v>2256.97</v>
      </c>
      <c r="Z525" s="19" t="n"/>
      <c r="AA525" s="18" t="n"/>
      <c r="AB525" s="38" t="n">
        <v>25.89</v>
      </c>
      <c r="AC525" s="14">
        <f>IFERROR(AVERAGEIFS($E$16:$E$736,$W$16:$W$736,"&gt;="&amp;W525-$C$5,$W$16:$W$736,"&lt;="&amp;W525+$C$5,$B$16:$B$736,B525,$A$16:$A$736,"&lt;&gt;"&amp;A525),"")</f>
        <v/>
      </c>
      <c r="AD525" s="14">
        <f>IF(AND(ISNUMBER(E525),ISNUMBER(AC525)),E525-AC525,"")</f>
        <v/>
      </c>
    </row>
    <row r="526">
      <c r="A526" s="17" t="n">
        <v>45755</v>
      </c>
      <c r="B526" s="29">
        <f>MONTH(A526)</f>
        <v/>
      </c>
      <c r="C526" s="29">
        <f>IF(AND(ISNUMBER(W526),ISNUMBER($C$4),ABS(W526-$C$4)&lt;=$C$5,ABS(MOD(B526-$C$6+6,12)-6)&lt;=$C$7,OR($C$8="Any",P526=$C$8)),1,0)</f>
        <v/>
      </c>
      <c r="D526" s="29">
        <f>IF(C526=1,COUNTIF($C$16:C526,1),"")</f>
        <v/>
      </c>
      <c r="E526" s="18" t="n">
        <v>22.15</v>
      </c>
      <c r="F526" s="18" t="n">
        <v>20.58</v>
      </c>
      <c r="G526" s="18" t="n">
        <v>25.27</v>
      </c>
      <c r="H526" s="38" t="n">
        <v>11.43</v>
      </c>
      <c r="I526" s="38" t="n">
        <v>6.44</v>
      </c>
      <c r="J526" s="13" t="n">
        <v>10406</v>
      </c>
      <c r="K526" s="13" t="n">
        <v>10177.31</v>
      </c>
      <c r="L526" s="13" t="n">
        <v>3041.19</v>
      </c>
      <c r="M526" s="13" t="n">
        <v>2985.75</v>
      </c>
      <c r="N526" s="13" t="n">
        <v>4253</v>
      </c>
      <c r="O526" s="38" t="n">
        <v>70.2</v>
      </c>
      <c r="P526" s="39" t="inlineStr">
        <is>
          <t>Windy</t>
        </is>
      </c>
      <c r="Q526" s="13" t="n">
        <v>1028</v>
      </c>
      <c r="R526" s="13" t="n">
        <v>718.6</v>
      </c>
      <c r="S526" s="13" t="n">
        <v>-641.92</v>
      </c>
      <c r="T526" s="13" t="n">
        <v>9352.75</v>
      </c>
      <c r="U526" s="13" t="n">
        <v>832.03</v>
      </c>
      <c r="V526" s="13" t="n">
        <v>279.88</v>
      </c>
      <c r="W526" s="13" t="n">
        <v>2478.41</v>
      </c>
      <c r="X526" s="13" t="n">
        <v>3177.79</v>
      </c>
      <c r="Y526" s="13" t="n">
        <v>2538.3</v>
      </c>
      <c r="Z526" s="19" t="n"/>
      <c r="AA526" s="18" t="n"/>
      <c r="AB526" s="38" t="n">
        <v>31.14</v>
      </c>
      <c r="AC526" s="14">
        <f>IFERROR(AVERAGEIFS($E$16:$E$736,$W$16:$W$736,"&gt;="&amp;W526-$C$5,$W$16:$W$736,"&lt;="&amp;W526+$C$5,$B$16:$B$736,B526,$A$16:$A$736,"&lt;&gt;"&amp;A526),"")</f>
        <v/>
      </c>
      <c r="AD526" s="14">
        <f>IF(AND(ISNUMBER(E526),ISNUMBER(AC526)),E526-AC526,"")</f>
        <v/>
      </c>
    </row>
    <row r="527">
      <c r="A527" s="17" t="n">
        <v>45754</v>
      </c>
      <c r="B527" s="29">
        <f>MONTH(A527)</f>
        <v/>
      </c>
      <c r="C527" s="29">
        <f>IF(AND(ISNUMBER(W527),ISNUMBER($C$4),ABS(W527-$C$4)&lt;=$C$5,ABS(MOD(B527-$C$6+6,12)-6)&lt;=$C$7,OR($C$8="Any",P527=$C$8)),1,0)</f>
        <v/>
      </c>
      <c r="D527" s="29">
        <f>IF(C527=1,COUNTIF($C$16:C527,1),"")</f>
        <v/>
      </c>
      <c r="E527" s="18" t="n">
        <v>8.710000000000001</v>
      </c>
      <c r="F527" s="18" t="n">
        <v>10.14</v>
      </c>
      <c r="G527" s="18" t="n">
        <v>6.39</v>
      </c>
      <c r="H527" s="38" t="n">
        <v>13.63</v>
      </c>
      <c r="I527" s="38" t="n">
        <v>7.5</v>
      </c>
      <c r="J527" s="13" t="n">
        <v>10708</v>
      </c>
      <c r="K527" s="13" t="n">
        <v>10464</v>
      </c>
      <c r="L527" s="13" t="n">
        <v>3420.15</v>
      </c>
      <c r="M527" s="13" t="n">
        <v>3393.71</v>
      </c>
      <c r="N527" s="13" t="n">
        <v>4253</v>
      </c>
      <c r="O527" s="38" t="n">
        <v>79.8</v>
      </c>
      <c r="P527" s="39" t="inlineStr">
        <is>
          <t>Windy</t>
        </is>
      </c>
      <c r="Q527" s="13" t="n">
        <v>1170</v>
      </c>
      <c r="R527" s="13" t="n">
        <v>717.96</v>
      </c>
      <c r="S527" s="13" t="n">
        <v>-808</v>
      </c>
      <c r="T527" s="13" t="n">
        <v>9629.889999999999</v>
      </c>
      <c r="U527" s="13" t="n">
        <v>782.2</v>
      </c>
      <c r="V527" s="13" t="n">
        <v>488.3</v>
      </c>
      <c r="W527" s="13" t="n">
        <v>2944.55</v>
      </c>
      <c r="X527" s="13" t="n">
        <v>3346.17</v>
      </c>
      <c r="Y527" s="13" t="n">
        <v>2988.04</v>
      </c>
      <c r="Z527" s="19" t="n"/>
      <c r="AA527" s="18" t="n"/>
      <c r="AB527" s="38" t="n">
        <v>23.53</v>
      </c>
      <c r="AC527" s="14">
        <f>IFERROR(AVERAGEIFS($E$16:$E$736,$W$16:$W$736,"&gt;="&amp;W527-$C$5,$W$16:$W$736,"&lt;="&amp;W527+$C$5,$B$16:$B$736,B527,$A$16:$A$736,"&lt;&gt;"&amp;A527),"")</f>
        <v/>
      </c>
      <c r="AD527" s="14">
        <f>IF(AND(ISNUMBER(E527),ISNUMBER(AC527)),E527-AC527,"")</f>
        <v/>
      </c>
    </row>
    <row r="528">
      <c r="A528" s="17" t="n">
        <v>45753</v>
      </c>
      <c r="B528" s="29">
        <f>MONTH(A528)</f>
        <v/>
      </c>
      <c r="C528" s="29">
        <f>IF(AND(ISNUMBER(W528),ISNUMBER($C$4),ABS(W528-$C$4)&lt;=$C$5,ABS(MOD(B528-$C$6+6,12)-6)&lt;=$C$7,OR($C$8="Any",P528=$C$8)),1,0)</f>
        <v/>
      </c>
      <c r="D528" s="29">
        <f>IF(C528=1,COUNTIF($C$16:C528,1),"")</f>
        <v/>
      </c>
      <c r="E528" s="18" t="n">
        <v>24.96</v>
      </c>
      <c r="F528" s="18" t="n">
        <v>21.27</v>
      </c>
      <c r="G528" s="18" t="n">
        <v>32.34</v>
      </c>
      <c r="H528" s="38" t="n">
        <v>15.27</v>
      </c>
      <c r="I528" s="38" t="n">
        <v>7.48</v>
      </c>
      <c r="J528" s="13" t="n">
        <v>10254</v>
      </c>
      <c r="K528" s="13" t="n">
        <v>9867.440000000001</v>
      </c>
      <c r="L528" s="13" t="n">
        <v>1489</v>
      </c>
      <c r="M528" s="13" t="n">
        <v>1522.17</v>
      </c>
      <c r="N528" s="13" t="n">
        <v>4253</v>
      </c>
      <c r="O528" s="38" t="n">
        <v>35.79</v>
      </c>
      <c r="P528" s="39" t="inlineStr">
        <is>
          <t>Windy</t>
        </is>
      </c>
      <c r="Q528" s="13" t="n">
        <v>1655</v>
      </c>
      <c r="R528" s="13" t="n">
        <v>718.23</v>
      </c>
      <c r="S528" s="13" t="n">
        <v>-103.25</v>
      </c>
      <c r="T528" s="13" t="n">
        <v>9787.629999999999</v>
      </c>
      <c r="U528" s="13" t="n">
        <v>819.4299999999999</v>
      </c>
      <c r="V528" s="13" t="n">
        <v>99.34</v>
      </c>
      <c r="W528" s="13" t="n">
        <v>2639.74</v>
      </c>
      <c r="X528" s="13" t="n">
        <v>3312.13</v>
      </c>
      <c r="Y528" s="13" t="n">
        <v>2779.75</v>
      </c>
      <c r="Z528" s="19" t="n"/>
      <c r="AA528" s="18" t="n"/>
      <c r="AB528" s="38" t="n">
        <v>22.39</v>
      </c>
      <c r="AC528" s="14">
        <f>IFERROR(AVERAGEIFS($E$16:$E$736,$W$16:$W$736,"&gt;="&amp;W528-$C$5,$W$16:$W$736,"&lt;="&amp;W528+$C$5,$B$16:$B$736,B528,$A$16:$A$736,"&lt;&gt;"&amp;A528),"")</f>
        <v/>
      </c>
      <c r="AD528" s="14">
        <f>IF(AND(ISNUMBER(E528),ISNUMBER(AC528)),E528-AC528,"")</f>
        <v/>
      </c>
    </row>
    <row r="529">
      <c r="A529" s="17" t="n">
        <v>45752</v>
      </c>
      <c r="B529" s="29">
        <f>MONTH(A529)</f>
        <v/>
      </c>
      <c r="C529" s="29">
        <f>IF(AND(ISNUMBER(W529),ISNUMBER($C$4),ABS(W529-$C$4)&lt;=$C$5,ABS(MOD(B529-$C$6+6,12)-6)&lt;=$C$7,OR($C$8="Any",P529=$C$8)),1,0)</f>
        <v/>
      </c>
      <c r="D529" s="29">
        <f>IF(C529=1,COUNTIF($C$16:C529,1),"")</f>
        <v/>
      </c>
      <c r="E529" s="18" t="n">
        <v>28.83</v>
      </c>
      <c r="F529" s="18" t="n">
        <v>30.07</v>
      </c>
      <c r="G529" s="18" t="n">
        <v>26.35</v>
      </c>
      <c r="H529" s="38" t="n">
        <v>12.1</v>
      </c>
      <c r="I529" s="38" t="n">
        <v>3.47</v>
      </c>
      <c r="J529" s="13" t="n">
        <v>10171</v>
      </c>
      <c r="K529" s="13" t="n">
        <v>9972.809999999999</v>
      </c>
      <c r="L529" s="13" t="n">
        <v>1436.69</v>
      </c>
      <c r="M529" s="13" t="n">
        <v>1713.42</v>
      </c>
      <c r="N529" s="13" t="n">
        <v>4253</v>
      </c>
      <c r="O529" s="38" t="n">
        <v>40.29</v>
      </c>
      <c r="P529" s="39" t="inlineStr">
        <is>
          <t>Windy</t>
        </is>
      </c>
      <c r="Q529" s="13" t="n">
        <v>1671</v>
      </c>
      <c r="R529" s="13" t="n">
        <v>718.23</v>
      </c>
      <c r="S529" s="13" t="n">
        <v>-362.62</v>
      </c>
      <c r="T529" s="13" t="n">
        <v>9880.389999999999</v>
      </c>
      <c r="U529" s="13" t="n">
        <v>839.29</v>
      </c>
      <c r="V529" s="13" t="n">
        <v>50.56</v>
      </c>
      <c r="W529" s="13" t="n">
        <v>1754.69</v>
      </c>
      <c r="X529" s="13" t="n">
        <v>3126.5</v>
      </c>
      <c r="Y529" s="13" t="n">
        <v>1826.6</v>
      </c>
      <c r="Z529" s="19" t="n"/>
      <c r="AA529" s="18" t="n"/>
      <c r="AB529" s="38" t="n">
        <v>24.81</v>
      </c>
      <c r="AC529" s="14">
        <f>IFERROR(AVERAGEIFS($E$16:$E$736,$W$16:$W$736,"&gt;="&amp;W529-$C$5,$W$16:$W$736,"&lt;="&amp;W529+$C$5,$B$16:$B$736,B529,$A$16:$A$736,"&lt;&gt;"&amp;A529),"")</f>
        <v/>
      </c>
      <c r="AD529" s="14">
        <f>IF(AND(ISNUMBER(E529),ISNUMBER(AC529)),E529-AC529,"")</f>
        <v/>
      </c>
    </row>
    <row r="530">
      <c r="A530" s="17" t="n">
        <v>45751</v>
      </c>
      <c r="B530" s="29">
        <f>MONTH(A530)</f>
        <v/>
      </c>
      <c r="C530" s="29">
        <f>IF(AND(ISNUMBER(W530),ISNUMBER($C$4),ABS(W530-$C$4)&lt;=$C$5,ABS(MOD(B530-$C$6+6,12)-6)&lt;=$C$7,OR($C$8="Any",P530=$C$8)),1,0)</f>
        <v/>
      </c>
      <c r="D530" s="29">
        <f>IF(C530=1,COUNTIF($C$16:C530,1),"")</f>
        <v/>
      </c>
      <c r="E530" s="18" t="n">
        <v>57.44</v>
      </c>
      <c r="F530" s="18" t="n">
        <v>56.39</v>
      </c>
      <c r="G530" s="18" t="n">
        <v>59.53</v>
      </c>
      <c r="H530" s="38" t="n">
        <v>3.57</v>
      </c>
      <c r="I530" s="38" t="n">
        <v>-3.85</v>
      </c>
      <c r="J530" s="13" t="n">
        <v>10558</v>
      </c>
      <c r="K530" s="13" t="n">
        <v>10351.31</v>
      </c>
      <c r="L530" s="13" t="n">
        <v>479.75</v>
      </c>
      <c r="M530" s="13" t="n">
        <v>601.62</v>
      </c>
      <c r="N530" s="13" t="n">
        <v>4253</v>
      </c>
      <c r="O530" s="38" t="n">
        <v>14.15</v>
      </c>
      <c r="P530" s="39" t="inlineStr">
        <is>
          <t>Calm</t>
        </is>
      </c>
      <c r="Q530" s="13" t="n">
        <v>1693</v>
      </c>
      <c r="R530" s="13" t="n">
        <v>718.6</v>
      </c>
      <c r="S530" s="13" t="n">
        <v>98.58</v>
      </c>
      <c r="T530" s="13" t="n">
        <v>9802.32</v>
      </c>
      <c r="U530" s="13" t="n">
        <v>843.23</v>
      </c>
      <c r="V530" s="13" t="n">
        <v>297.81</v>
      </c>
      <c r="W530" s="13" t="n">
        <v>1352.81</v>
      </c>
      <c r="X530" s="13" t="n">
        <v>2080.84</v>
      </c>
      <c r="Y530" s="13" t="n">
        <v>1382.53</v>
      </c>
      <c r="Z530" s="19" t="n"/>
      <c r="AA530" s="18" t="n"/>
      <c r="AB530" s="38" t="n">
        <v>16.6</v>
      </c>
      <c r="AC530" s="14">
        <f>IFERROR(AVERAGEIFS($E$16:$E$736,$W$16:$W$736,"&gt;="&amp;W530-$C$5,$W$16:$W$736,"&lt;="&amp;W530+$C$5,$B$16:$B$736,B530,$A$16:$A$736,"&lt;&gt;"&amp;A530),"")</f>
        <v/>
      </c>
      <c r="AD530" s="14">
        <f>IF(AND(ISNUMBER(E530),ISNUMBER(AC530)),E530-AC530,"")</f>
        <v/>
      </c>
    </row>
    <row r="531">
      <c r="A531" s="17" t="n">
        <v>45750</v>
      </c>
      <c r="B531" s="29">
        <f>MONTH(A531)</f>
        <v/>
      </c>
      <c r="C531" s="29">
        <f>IF(AND(ISNUMBER(W531),ISNUMBER($C$4),ABS(W531-$C$4)&lt;=$C$5,ABS(MOD(B531-$C$6+6,12)-6)&lt;=$C$7,OR($C$8="Any",P531=$C$8)),1,0)</f>
        <v/>
      </c>
      <c r="D531" s="29">
        <f>IF(C531=1,COUNTIF($C$16:C531,1),"")</f>
        <v/>
      </c>
      <c r="E531" s="18" t="n">
        <v>39.34</v>
      </c>
      <c r="F531" s="18" t="n">
        <v>33.7</v>
      </c>
      <c r="G531" s="18" t="n">
        <v>50.62</v>
      </c>
      <c r="H531" s="38" t="n">
        <v>-2.57</v>
      </c>
      <c r="I531" s="38" t="n">
        <v>-4.65</v>
      </c>
      <c r="J531" s="13" t="n">
        <v>10782</v>
      </c>
      <c r="K531" s="13" t="n">
        <v>10626</v>
      </c>
      <c r="L531" s="13" t="n">
        <v>1412</v>
      </c>
      <c r="M531" s="13" t="n">
        <v>1302.29</v>
      </c>
      <c r="N531" s="13" t="n">
        <v>4253</v>
      </c>
      <c r="O531" s="38" t="n">
        <v>30.62</v>
      </c>
      <c r="P531" s="39" t="inlineStr">
        <is>
          <t>Windy</t>
        </is>
      </c>
      <c r="Q531" s="13" t="n">
        <v>1608</v>
      </c>
      <c r="R531" s="13" t="n">
        <v>718.85</v>
      </c>
      <c r="S531" s="13" t="n">
        <v>1.5</v>
      </c>
      <c r="T531" s="13" t="n">
        <v>9210.27</v>
      </c>
      <c r="U531" s="13" t="n">
        <v>853.3099999999999</v>
      </c>
      <c r="V531" s="13" t="n">
        <v>24.39</v>
      </c>
      <c r="W531" s="13" t="n">
        <v>676.9400000000001</v>
      </c>
      <c r="X531" s="13" t="n">
        <v>1850.62</v>
      </c>
      <c r="Y531" s="13" t="n">
        <v>712.02</v>
      </c>
      <c r="Z531" s="19" t="n"/>
      <c r="AA531" s="18" t="n"/>
      <c r="AB531" s="38" t="n">
        <v>13.69</v>
      </c>
      <c r="AC531" s="14">
        <f>IFERROR(AVERAGEIFS($E$16:$E$736,$W$16:$W$736,"&gt;="&amp;W531-$C$5,$W$16:$W$736,"&lt;="&amp;W531+$C$5,$B$16:$B$736,B531,$A$16:$A$736,"&lt;&gt;"&amp;A531),"")</f>
        <v/>
      </c>
      <c r="AD531" s="14">
        <f>IF(AND(ISNUMBER(E531),ISNUMBER(AC531)),E531-AC531,"")</f>
        <v/>
      </c>
    </row>
    <row r="532">
      <c r="A532" s="17" t="n">
        <v>45749</v>
      </c>
      <c r="B532" s="29">
        <f>MONTH(A532)</f>
        <v/>
      </c>
      <c r="C532" s="29">
        <f>IF(AND(ISNUMBER(W532),ISNUMBER($C$4),ABS(W532-$C$4)&lt;=$C$5,ABS(MOD(B532-$C$6+6,12)-6)&lt;=$C$7,OR($C$8="Any",P532=$C$8)),1,0)</f>
        <v/>
      </c>
      <c r="D532" s="29">
        <f>IF(C532=1,COUNTIF($C$16:C532,1),"")</f>
        <v/>
      </c>
      <c r="E532" s="18" t="n">
        <v>60.78</v>
      </c>
      <c r="F532" s="18" t="n">
        <v>72.88</v>
      </c>
      <c r="G532" s="18" t="n">
        <v>36.57</v>
      </c>
      <c r="H532" s="38" t="n">
        <v>-0.7</v>
      </c>
      <c r="I532" s="38" t="n">
        <v>-2.95</v>
      </c>
      <c r="J532" s="13" t="n">
        <v>10675</v>
      </c>
      <c r="K532" s="13" t="n">
        <v>10443.62</v>
      </c>
      <c r="L532" s="13" t="n">
        <v>701.5</v>
      </c>
      <c r="M532" s="13" t="n">
        <v>924.88</v>
      </c>
      <c r="N532" s="13" t="n">
        <v>4253</v>
      </c>
      <c r="O532" s="38" t="n">
        <v>21.75</v>
      </c>
      <c r="P532" s="39" t="inlineStr">
        <is>
          <t>Windy</t>
        </is>
      </c>
      <c r="Q532" s="13" t="n">
        <v>1096</v>
      </c>
      <c r="R532" s="13" t="n">
        <v>718.85</v>
      </c>
      <c r="S532" s="13" t="n">
        <v>262.79</v>
      </c>
      <c r="T532" s="13" t="n">
        <v>9177.74</v>
      </c>
      <c r="U532" s="13" t="n">
        <v>857.99</v>
      </c>
      <c r="V532" s="13" t="n">
        <v>221.56</v>
      </c>
      <c r="W532" s="13" t="n">
        <v>457.26</v>
      </c>
      <c r="X532" s="13" t="n">
        <v>1239.31</v>
      </c>
      <c r="Y532" s="13" t="n">
        <v>479.55</v>
      </c>
      <c r="Z532" s="19" t="n"/>
      <c r="AA532" s="18" t="n"/>
      <c r="AB532" s="38" t="n">
        <v>12.93</v>
      </c>
      <c r="AC532" s="14">
        <f>IFERROR(AVERAGEIFS($E$16:$E$736,$W$16:$W$736,"&gt;="&amp;W532-$C$5,$W$16:$W$736,"&lt;="&amp;W532+$C$5,$B$16:$B$736,B532,$A$16:$A$736,"&lt;&gt;"&amp;A532),"")</f>
        <v/>
      </c>
      <c r="AD532" s="14">
        <f>IF(AND(ISNUMBER(E532),ISNUMBER(AC532)),E532-AC532,"")</f>
        <v/>
      </c>
    </row>
    <row r="533">
      <c r="A533" s="17" t="n">
        <v>45748</v>
      </c>
      <c r="B533" s="29">
        <f>MONTH(A533)</f>
        <v/>
      </c>
      <c r="C533" s="29">
        <f>IF(AND(ISNUMBER(W533),ISNUMBER($C$4),ABS(W533-$C$4)&lt;=$C$5,ABS(MOD(B533-$C$6+6,12)-6)&lt;=$C$7,OR($C$8="Any",P533=$C$8)),1,0)</f>
        <v/>
      </c>
      <c r="D533" s="29">
        <f>IF(C533=1,COUNTIF($C$16:C533,1),"")</f>
        <v/>
      </c>
      <c r="E533" s="18" t="n">
        <v>56.05</v>
      </c>
      <c r="F533" s="18" t="n">
        <v>56.8</v>
      </c>
      <c r="G533" s="18" t="n">
        <v>54.56</v>
      </c>
      <c r="H533" s="38" t="n">
        <v>6.27</v>
      </c>
      <c r="I533" s="38" t="n">
        <v>0.87</v>
      </c>
      <c r="J533" s="13" t="n">
        <v>10479</v>
      </c>
      <c r="K533" s="13" t="n">
        <v>10364.81</v>
      </c>
      <c r="L533" s="13" t="n">
        <v>474.69</v>
      </c>
      <c r="M533" s="13" t="n">
        <v>554.75</v>
      </c>
      <c r="N533" s="13" t="n">
        <v>4253</v>
      </c>
      <c r="O533" s="38" t="n">
        <v>13.04</v>
      </c>
      <c r="P533" s="39" t="inlineStr">
        <is>
          <t>Calm</t>
        </is>
      </c>
      <c r="Q533" s="13" t="n">
        <v>1490</v>
      </c>
      <c r="R533" s="13" t="n">
        <v>718.1799999999999</v>
      </c>
      <c r="S533" s="13" t="n">
        <v>218.38</v>
      </c>
      <c r="T533" s="13" t="n">
        <v>9263.219999999999</v>
      </c>
      <c r="U533" s="13" t="n">
        <v>855.1</v>
      </c>
      <c r="V533" s="13" t="n">
        <v>245.3</v>
      </c>
      <c r="W533" s="13" t="n">
        <v>869.4299999999999</v>
      </c>
      <c r="X533" s="13" t="n">
        <v>1478.71</v>
      </c>
      <c r="Y533" s="13" t="n">
        <v>896.01</v>
      </c>
      <c r="Z533" s="19" t="n"/>
      <c r="AA533" s="18" t="n"/>
      <c r="AB533" s="38" t="n">
        <v>13.58</v>
      </c>
      <c r="AC533" s="14">
        <f>IFERROR(AVERAGEIFS($E$16:$E$736,$W$16:$W$736,"&gt;="&amp;W533-$C$5,$W$16:$W$736,"&lt;="&amp;W533+$C$5,$B$16:$B$736,B533,$A$16:$A$736,"&lt;&gt;"&amp;A533),"")</f>
        <v/>
      </c>
      <c r="AD533" s="14">
        <f>IF(AND(ISNUMBER(E533),ISNUMBER(AC533)),E533-AC533,"")</f>
        <v/>
      </c>
    </row>
    <row r="534">
      <c r="A534" s="17" t="n">
        <v>45747</v>
      </c>
      <c r="B534" s="29">
        <f>MONTH(A534)</f>
        <v/>
      </c>
      <c r="C534" s="29">
        <f>IF(AND(ISNUMBER(W534),ISNUMBER($C$4),ABS(W534-$C$4)&lt;=$C$5,ABS(MOD(B534-$C$6+6,12)-6)&lt;=$C$7,OR($C$8="Any",P534=$C$8)),1,0)</f>
        <v/>
      </c>
      <c r="D534" s="29">
        <f>IF(C534=1,COUNTIF($C$16:C534,1),"")</f>
        <v/>
      </c>
      <c r="E534" s="18" t="n">
        <v>30.52</v>
      </c>
      <c r="F534" s="18" t="n">
        <v>35.5</v>
      </c>
      <c r="G534" s="18" t="n">
        <v>20.55</v>
      </c>
      <c r="H534" s="38" t="n">
        <v>3.23</v>
      </c>
      <c r="I534" s="38" t="n">
        <v>-0.99</v>
      </c>
      <c r="J534" s="13" t="n">
        <v>10962</v>
      </c>
      <c r="K534" s="13" t="n">
        <v>10751.25</v>
      </c>
      <c r="L534" s="13" t="n">
        <v>1296.31</v>
      </c>
      <c r="M534" s="13" t="n">
        <v>1355.92</v>
      </c>
      <c r="N534" s="13" t="n">
        <v>4253</v>
      </c>
      <c r="O534" s="38" t="n">
        <v>31.88</v>
      </c>
      <c r="P534" s="39" t="inlineStr">
        <is>
          <t>Windy</t>
        </is>
      </c>
      <c r="Q534" s="13" t="n">
        <v>857</v>
      </c>
      <c r="R534" s="13" t="n">
        <v>702.87</v>
      </c>
      <c r="S534" s="13" t="n">
        <v>238.33</v>
      </c>
      <c r="T534" s="13" t="n">
        <v>9998.15</v>
      </c>
      <c r="U534" s="13" t="n">
        <v>846.73</v>
      </c>
      <c r="V534" s="13" t="n">
        <v>140.23</v>
      </c>
      <c r="W534" s="13" t="n">
        <v>1748</v>
      </c>
      <c r="X534" s="13" t="n">
        <v>2275.36</v>
      </c>
      <c r="Y534" s="13" t="n">
        <v>1750.62</v>
      </c>
      <c r="Z534" s="19" t="n"/>
      <c r="AA534" s="18" t="n"/>
      <c r="AB534" s="38" t="n">
        <v>17.46</v>
      </c>
      <c r="AC534" s="14">
        <f>IFERROR(AVERAGEIFS($E$16:$E$736,$W$16:$W$736,"&gt;="&amp;W534-$C$5,$W$16:$W$736,"&lt;="&amp;W534+$C$5,$B$16:$B$736,B534,$A$16:$A$736,"&lt;&gt;"&amp;A534),"")</f>
        <v/>
      </c>
      <c r="AD534" s="14">
        <f>IF(AND(ISNUMBER(E534),ISNUMBER(AC534)),E534-AC534,"")</f>
        <v/>
      </c>
    </row>
    <row r="535">
      <c r="A535" s="17" t="n">
        <v>45746</v>
      </c>
      <c r="B535" s="29">
        <f>MONTH(A535)</f>
        <v/>
      </c>
      <c r="C535" s="29">
        <f>IF(AND(ISNUMBER(W535),ISNUMBER($C$4),ABS(W535-$C$4)&lt;=$C$5,ABS(MOD(B535-$C$6+6,12)-6)&lt;=$C$7,OR($C$8="Any",P535=$C$8)),1,0)</f>
        <v/>
      </c>
      <c r="D535" s="29">
        <f>IF(C535=1,COUNTIF($C$16:C535,1),"")</f>
        <v/>
      </c>
      <c r="E535" s="18" t="n">
        <v>36.71</v>
      </c>
      <c r="F535" s="18" t="n">
        <v>35.98</v>
      </c>
      <c r="G535" s="18" t="n">
        <v>38.19</v>
      </c>
      <c r="H535" s="38" t="n">
        <v>-0.53</v>
      </c>
      <c r="I535" s="38" t="n">
        <v>-4.52</v>
      </c>
      <c r="J535" s="13" t="n">
        <v>10688</v>
      </c>
      <c r="K535" s="13" t="n">
        <v>10445.06</v>
      </c>
      <c r="L535" s="13" t="n">
        <v>351.06</v>
      </c>
      <c r="M535" s="13" t="n">
        <v>347.88</v>
      </c>
      <c r="N535" s="13" t="n">
        <v>4253</v>
      </c>
      <c r="O535" s="38" t="n">
        <v>8.18</v>
      </c>
      <c r="P535" s="39" t="inlineStr">
        <is>
          <t>Calm</t>
        </is>
      </c>
      <c r="Q535" s="13" t="n">
        <v>884</v>
      </c>
      <c r="R535" s="13" t="n">
        <v>714.42</v>
      </c>
      <c r="S535" s="13" t="n">
        <v>513.17</v>
      </c>
      <c r="T535" s="13" t="n">
        <v>10401.39</v>
      </c>
      <c r="U535" s="13" t="n">
        <v>839.66</v>
      </c>
      <c r="V535" s="13" t="n">
        <v>406.24</v>
      </c>
      <c r="W535" s="13" t="n">
        <v>1593.45</v>
      </c>
      <c r="X535" s="13" t="n">
        <v>2311.92</v>
      </c>
      <c r="Y535" s="13" t="n">
        <v>1640.42</v>
      </c>
      <c r="Z535" s="19" t="n"/>
      <c r="AA535" s="18" t="n"/>
      <c r="AB535" s="38" t="n">
        <v>15.05</v>
      </c>
      <c r="AC535" s="14">
        <f>IFERROR(AVERAGEIFS($E$16:$E$736,$W$16:$W$736,"&gt;="&amp;W535-$C$5,$W$16:$W$736,"&lt;="&amp;W535+$C$5,$B$16:$B$736,B535,$A$16:$A$736,"&lt;&gt;"&amp;A535),"")</f>
        <v/>
      </c>
      <c r="AD535" s="14">
        <f>IF(AND(ISNUMBER(E535),ISNUMBER(AC535)),E535-AC535,"")</f>
        <v/>
      </c>
    </row>
    <row r="536">
      <c r="A536" s="17" t="n">
        <v>45745</v>
      </c>
      <c r="B536" s="29">
        <f>MONTH(A536)</f>
        <v/>
      </c>
      <c r="C536" s="29">
        <f>IF(AND(ISNUMBER(W536),ISNUMBER($C$4),ABS(W536-$C$4)&lt;=$C$5,ABS(MOD(B536-$C$6+6,12)-6)&lt;=$C$7,OR($C$8="Any",P536=$C$8)),1,0)</f>
        <v/>
      </c>
      <c r="D536" s="29">
        <f>IF(C536=1,COUNTIF($C$16:C536,1),"")</f>
        <v/>
      </c>
      <c r="E536" s="18" t="n">
        <v>43.12</v>
      </c>
      <c r="F536" s="18" t="n">
        <v>44.75</v>
      </c>
      <c r="G536" s="18" t="n">
        <v>39.85</v>
      </c>
      <c r="H536" s="38" t="n">
        <v>-3.13</v>
      </c>
      <c r="I536" s="38" t="n">
        <v>-5.29</v>
      </c>
      <c r="J536" s="13" t="n">
        <v>10801</v>
      </c>
      <c r="K536" s="13" t="n">
        <v>10596</v>
      </c>
      <c r="L536" s="13" t="n">
        <v>185.62</v>
      </c>
      <c r="M536" s="13" t="n">
        <v>161.58</v>
      </c>
      <c r="N536" s="13" t="n">
        <v>4253</v>
      </c>
      <c r="O536" s="38" t="n">
        <v>3.8</v>
      </c>
      <c r="P536" s="39" t="inlineStr">
        <is>
          <t>Calm</t>
        </is>
      </c>
      <c r="Q536" s="13" t="n">
        <v>641</v>
      </c>
      <c r="R536" s="13" t="n">
        <v>713.8200000000001</v>
      </c>
      <c r="S536" s="13" t="n">
        <v>493.83</v>
      </c>
      <c r="T536" s="13" t="n">
        <v>10663.25</v>
      </c>
      <c r="U536" s="13" t="n">
        <v>855.47</v>
      </c>
      <c r="V536" s="13" t="n">
        <v>416.07</v>
      </c>
      <c r="W536" s="13" t="n">
        <v>1664.97</v>
      </c>
      <c r="X536" s="13" t="n">
        <v>2090.99</v>
      </c>
      <c r="Y536" s="13" t="n">
        <v>1690.57</v>
      </c>
      <c r="Z536" s="19" t="n"/>
      <c r="AA536" s="18" t="n"/>
      <c r="AB536" s="38" t="n">
        <v>9.720000000000001</v>
      </c>
      <c r="AC536" s="14">
        <f>IFERROR(AVERAGEIFS($E$16:$E$736,$W$16:$W$736,"&gt;="&amp;W536-$C$5,$W$16:$W$736,"&lt;="&amp;W536+$C$5,$B$16:$B$736,B536,$A$16:$A$736,"&lt;&gt;"&amp;A536),"")</f>
        <v/>
      </c>
      <c r="AD536" s="14">
        <f>IF(AND(ISNUMBER(E536),ISNUMBER(AC536)),E536-AC536,"")</f>
        <v/>
      </c>
    </row>
    <row r="537">
      <c r="A537" s="17" t="n">
        <v>45744</v>
      </c>
      <c r="B537" s="29">
        <f>MONTH(A537)</f>
        <v/>
      </c>
      <c r="C537" s="29">
        <f>IF(AND(ISNUMBER(W537),ISNUMBER($C$4),ABS(W537-$C$4)&lt;=$C$5,ABS(MOD(B537-$C$6+6,12)-6)&lt;=$C$7,OR($C$8="Any",P537=$C$8)),1,0)</f>
        <v/>
      </c>
      <c r="D537" s="29">
        <f>IF(C537=1,COUNTIF($C$16:C537,1),"")</f>
        <v/>
      </c>
      <c r="E537" s="18" t="n">
        <v>99.5</v>
      </c>
      <c r="F537" s="18" t="n">
        <v>135.34</v>
      </c>
      <c r="G537" s="18" t="n">
        <v>41.26</v>
      </c>
      <c r="H537" s="38" t="n">
        <v>-1.97</v>
      </c>
      <c r="I537" s="38" t="n">
        <v>-4.15</v>
      </c>
      <c r="J537" s="13" t="n">
        <v>11081</v>
      </c>
      <c r="K537" s="13" t="n">
        <v>10874.46</v>
      </c>
      <c r="L537" s="13" t="n">
        <v>273.62</v>
      </c>
      <c r="M537" s="13" t="n">
        <v>473.86</v>
      </c>
      <c r="N537" s="13" t="n">
        <v>4253</v>
      </c>
      <c r="O537" s="38" t="n">
        <v>11.14</v>
      </c>
      <c r="P537" s="39" t="inlineStr">
        <is>
          <t>Calm</t>
        </is>
      </c>
      <c r="Q537" s="13" t="n">
        <v>748</v>
      </c>
      <c r="R537" s="13" t="n">
        <v>702.77</v>
      </c>
      <c r="S537" s="13" t="n">
        <v>306.81</v>
      </c>
      <c r="T537" s="13" t="n">
        <v>10832.46</v>
      </c>
      <c r="U537" s="13" t="n">
        <v>808.7</v>
      </c>
      <c r="V537" s="13" t="n">
        <v>400.14</v>
      </c>
      <c r="W537" s="13" t="n">
        <v>1609.04</v>
      </c>
      <c r="X537" s="13" t="n">
        <v>1894.32</v>
      </c>
      <c r="Y537" s="13" t="n">
        <v>1723.29</v>
      </c>
      <c r="Z537" s="19" t="n"/>
      <c r="AA537" s="18" t="n"/>
      <c r="AB537" s="38" t="n">
        <v>13.75</v>
      </c>
      <c r="AC537" s="14">
        <f>IFERROR(AVERAGEIFS($E$16:$E$736,$W$16:$W$736,"&gt;="&amp;W537-$C$5,$W$16:$W$736,"&lt;="&amp;W537+$C$5,$B$16:$B$736,B537,$A$16:$A$736,"&lt;&gt;"&amp;A537),"")</f>
        <v/>
      </c>
      <c r="AD537" s="14">
        <f>IF(AND(ISNUMBER(E537),ISNUMBER(AC537)),E537-AC537,"")</f>
        <v/>
      </c>
    </row>
    <row r="538">
      <c r="A538" s="17" t="n">
        <v>45743</v>
      </c>
      <c r="B538" s="29">
        <f>MONTH(A538)</f>
        <v/>
      </c>
      <c r="C538" s="29">
        <f>IF(AND(ISNUMBER(W538),ISNUMBER($C$4),ABS(W538-$C$4)&lt;=$C$5,ABS(MOD(B538-$C$6+6,12)-6)&lt;=$C$7,OR($C$8="Any",P538=$C$8)),1,0)</f>
        <v/>
      </c>
      <c r="D538" s="29">
        <f>IF(C538=1,COUNTIF($C$16:C538,1),"")</f>
        <v/>
      </c>
      <c r="E538" s="18" t="n">
        <v>27.15</v>
      </c>
      <c r="F538" s="18" t="n">
        <v>32.99</v>
      </c>
      <c r="G538" s="18" t="n">
        <v>15.46</v>
      </c>
      <c r="H538" s="38" t="n">
        <v>2.83</v>
      </c>
      <c r="I538" s="38" t="n">
        <v>0.34</v>
      </c>
      <c r="J538" s="13" t="n">
        <v>11001</v>
      </c>
      <c r="K538" s="13" t="n">
        <v>10868.19</v>
      </c>
      <c r="L538" s="13" t="n">
        <v>1584.88</v>
      </c>
      <c r="M538" s="13" t="n">
        <v>1819.83</v>
      </c>
      <c r="N538" s="13" t="n">
        <v>4253</v>
      </c>
      <c r="O538" s="38" t="n">
        <v>42.79</v>
      </c>
      <c r="P538" s="39" t="inlineStr">
        <is>
          <t>Windy</t>
        </is>
      </c>
      <c r="Q538" s="13" t="n">
        <v>646</v>
      </c>
      <c r="R538" s="13" t="n">
        <v>676.12</v>
      </c>
      <c r="S538" s="13" t="n">
        <v>20</v>
      </c>
      <c r="T538" s="13" t="n">
        <v>10589.32</v>
      </c>
      <c r="U538" s="13" t="n">
        <v>756.08</v>
      </c>
      <c r="V538" s="13" t="n">
        <v>315.36</v>
      </c>
      <c r="W538" s="13" t="n">
        <v>2280.41</v>
      </c>
      <c r="X538" s="13" t="n">
        <v>2719</v>
      </c>
      <c r="Y538" s="13" t="n">
        <v>2312.99</v>
      </c>
      <c r="Z538" s="19" t="n"/>
      <c r="AA538" s="18" t="n"/>
      <c r="AB538" s="38" t="n">
        <v>21.69</v>
      </c>
      <c r="AC538" s="14">
        <f>IFERROR(AVERAGEIFS($E$16:$E$736,$W$16:$W$736,"&gt;="&amp;W538-$C$5,$W$16:$W$736,"&lt;="&amp;W538+$C$5,$B$16:$B$736,B538,$A$16:$A$736,"&lt;&gt;"&amp;A538),"")</f>
        <v/>
      </c>
      <c r="AD538" s="14">
        <f>IF(AND(ISNUMBER(E538),ISNUMBER(AC538)),E538-AC538,"")</f>
        <v/>
      </c>
    </row>
    <row r="539">
      <c r="A539" s="17" t="n">
        <v>45742</v>
      </c>
      <c r="B539" s="29">
        <f>MONTH(A539)</f>
        <v/>
      </c>
      <c r="C539" s="29">
        <f>IF(AND(ISNUMBER(W539),ISNUMBER($C$4),ABS(W539-$C$4)&lt;=$C$5,ABS(MOD(B539-$C$6+6,12)-6)&lt;=$C$7,OR($C$8="Any",P539=$C$8)),1,0)</f>
        <v/>
      </c>
      <c r="D539" s="29">
        <f>IF(C539=1,COUNTIF($C$16:C539,1),"")</f>
        <v/>
      </c>
      <c r="E539" s="18" t="n">
        <v>32.15</v>
      </c>
      <c r="F539" s="18" t="n">
        <v>36.93</v>
      </c>
      <c r="G539" s="18" t="n">
        <v>22.58</v>
      </c>
      <c r="H539" s="38" t="n">
        <v>8.4</v>
      </c>
      <c r="I539" s="38" t="n">
        <v>3.71</v>
      </c>
      <c r="J539" s="13" t="n">
        <v>10753</v>
      </c>
      <c r="K539" s="13" t="n">
        <v>10629.62</v>
      </c>
      <c r="L539" s="13" t="n">
        <v>1148.31</v>
      </c>
      <c r="M539" s="13" t="n">
        <v>1296.12</v>
      </c>
      <c r="N539" s="13" t="n">
        <v>4253</v>
      </c>
      <c r="O539" s="38" t="n">
        <v>30.48</v>
      </c>
      <c r="P539" s="39" t="inlineStr">
        <is>
          <t>Windy</t>
        </is>
      </c>
      <c r="Q539" s="13" t="n">
        <v>1184</v>
      </c>
      <c r="R539" s="13" t="n">
        <v>708.05</v>
      </c>
      <c r="S539" s="13" t="n">
        <v>-19.88</v>
      </c>
      <c r="T539" s="13" t="n">
        <v>10779.04</v>
      </c>
      <c r="U539" s="13" t="n">
        <v>805.1</v>
      </c>
      <c r="V539" s="13" t="n">
        <v>193.56</v>
      </c>
      <c r="W539" s="13" t="n">
        <v>2178</v>
      </c>
      <c r="X539" s="13" t="n">
        <v>2923.25</v>
      </c>
      <c r="Y539" s="13" t="n">
        <v>2204.67</v>
      </c>
      <c r="Z539" s="19" t="n"/>
      <c r="AA539" s="18" t="n"/>
      <c r="AB539" s="38" t="n">
        <v>14.73</v>
      </c>
      <c r="AC539" s="14">
        <f>IFERROR(AVERAGEIFS($E$16:$E$736,$W$16:$W$736,"&gt;="&amp;W539-$C$5,$W$16:$W$736,"&lt;="&amp;W539+$C$5,$B$16:$B$736,B539,$A$16:$A$736,"&lt;&gt;"&amp;A539),"")</f>
        <v/>
      </c>
      <c r="AD539" s="14">
        <f>IF(AND(ISNUMBER(E539),ISNUMBER(AC539)),E539-AC539,"")</f>
        <v/>
      </c>
    </row>
    <row r="540">
      <c r="A540" s="17" t="n">
        <v>45741</v>
      </c>
      <c r="B540" s="29">
        <f>MONTH(A540)</f>
        <v/>
      </c>
      <c r="C540" s="29">
        <f>IF(AND(ISNUMBER(W540),ISNUMBER($C$4),ABS(W540-$C$4)&lt;=$C$5,ABS(MOD(B540-$C$6+6,12)-6)&lt;=$C$7,OR($C$8="Any",P540=$C$8)),1,0)</f>
        <v/>
      </c>
      <c r="D540" s="29">
        <f>IF(C540=1,COUNTIF($C$16:C540,1),"")</f>
        <v/>
      </c>
      <c r="E540" s="18" t="n">
        <v>50.58</v>
      </c>
      <c r="F540" s="18" t="n">
        <v>52.41</v>
      </c>
      <c r="G540" s="18" t="n">
        <v>46.93</v>
      </c>
      <c r="H540" s="38" t="n">
        <v>9.130000000000001</v>
      </c>
      <c r="I540" s="38" t="n">
        <v>3.84</v>
      </c>
      <c r="J540" s="13" t="n">
        <v>10658</v>
      </c>
      <c r="K540" s="13" t="n">
        <v>10518.75</v>
      </c>
      <c r="L540" s="13" t="n">
        <v>733.6900000000001</v>
      </c>
      <c r="M540" s="13" t="n">
        <v>776</v>
      </c>
      <c r="N540" s="13" t="n">
        <v>4253</v>
      </c>
      <c r="O540" s="38" t="n">
        <v>18.25</v>
      </c>
      <c r="P540" s="39" t="inlineStr">
        <is>
          <t>Windy</t>
        </is>
      </c>
      <c r="Q540" s="13" t="n">
        <v>1171</v>
      </c>
      <c r="R540" s="13" t="n">
        <v>649.86</v>
      </c>
      <c r="S540" s="13" t="n">
        <v>-32.08</v>
      </c>
      <c r="T540" s="13" t="n">
        <v>10995.78</v>
      </c>
      <c r="U540" s="13" t="n">
        <v>839.72</v>
      </c>
      <c r="V540" s="13" t="n">
        <v>425</v>
      </c>
      <c r="W540" s="13" t="n">
        <v>2529.21</v>
      </c>
      <c r="X540" s="13" t="n">
        <v>2874.81</v>
      </c>
      <c r="Y540" s="13" t="n">
        <v>2431.78</v>
      </c>
      <c r="Z540" s="19" t="n"/>
      <c r="AA540" s="18" t="n"/>
      <c r="AB540" s="38" t="n">
        <v>13.31</v>
      </c>
      <c r="AC540" s="14">
        <f>IFERROR(AVERAGEIFS($E$16:$E$736,$W$16:$W$736,"&gt;="&amp;W540-$C$5,$W$16:$W$736,"&lt;="&amp;W540+$C$5,$B$16:$B$736,B540,$A$16:$A$736,"&lt;&gt;"&amp;A540),"")</f>
        <v/>
      </c>
      <c r="AD540" s="14">
        <f>IF(AND(ISNUMBER(E540),ISNUMBER(AC540)),E540-AC540,"")</f>
        <v/>
      </c>
    </row>
    <row r="541">
      <c r="A541" s="17" t="n">
        <v>45740</v>
      </c>
      <c r="B541" s="29">
        <f>MONTH(A541)</f>
        <v/>
      </c>
      <c r="C541" s="29">
        <f>IF(AND(ISNUMBER(W541),ISNUMBER($C$4),ABS(W541-$C$4)&lt;=$C$5,ABS(MOD(B541-$C$6+6,12)-6)&lt;=$C$7,OR($C$8="Any",P541=$C$8)),1,0)</f>
        <v/>
      </c>
      <c r="D541" s="29">
        <f>IF(C541=1,COUNTIF($C$16:C541,1),"")</f>
        <v/>
      </c>
      <c r="E541" s="18" t="n">
        <v>28.86</v>
      </c>
      <c r="F541" s="18" t="n">
        <v>29.99</v>
      </c>
      <c r="G541" s="18" t="n">
        <v>26.59</v>
      </c>
      <c r="H541" s="38" t="n">
        <v>11.3</v>
      </c>
      <c r="I541" s="38" t="n">
        <v>5.67</v>
      </c>
      <c r="J541" s="13" t="n">
        <v>10802</v>
      </c>
      <c r="K541" s="13" t="n">
        <v>10609.56</v>
      </c>
      <c r="L541" s="13" t="n">
        <v>1629</v>
      </c>
      <c r="M541" s="13" t="n">
        <v>1709.42</v>
      </c>
      <c r="N541" s="13" t="n">
        <v>4253</v>
      </c>
      <c r="O541" s="38" t="n">
        <v>40.19</v>
      </c>
      <c r="P541" s="39" t="inlineStr">
        <is>
          <t>Windy</t>
        </is>
      </c>
      <c r="Q541" s="13" t="n">
        <v>1364</v>
      </c>
      <c r="R541" s="13" t="n">
        <v>586.4299999999999</v>
      </c>
      <c r="S541" s="13" t="n">
        <v>-355.62</v>
      </c>
      <c r="T541" s="13" t="n">
        <v>11070.14</v>
      </c>
      <c r="U541" s="13" t="n">
        <v>837.88</v>
      </c>
      <c r="V541" s="13" t="n">
        <v>283.82</v>
      </c>
      <c r="W541" s="13" t="n">
        <v>2843.75</v>
      </c>
      <c r="X541" s="13" t="n">
        <v>3620.31</v>
      </c>
      <c r="Y541" s="13" t="n">
        <v>2694.94</v>
      </c>
      <c r="Z541" s="19" t="n"/>
      <c r="AA541" s="18" t="n"/>
      <c r="AB541" s="38" t="n">
        <v>24.75</v>
      </c>
      <c r="AC541" s="14">
        <f>IFERROR(AVERAGEIFS($E$16:$E$736,$W$16:$W$736,"&gt;="&amp;W541-$C$5,$W$16:$W$736,"&lt;="&amp;W541+$C$5,$B$16:$B$736,B541,$A$16:$A$736,"&lt;&gt;"&amp;A541),"")</f>
        <v/>
      </c>
      <c r="AD541" s="14">
        <f>IF(AND(ISNUMBER(E541),ISNUMBER(AC541)),E541-AC541,"")</f>
        <v/>
      </c>
    </row>
    <row r="542">
      <c r="A542" s="17" t="n">
        <v>45739</v>
      </c>
      <c r="B542" s="29">
        <f>MONTH(A542)</f>
        <v/>
      </c>
      <c r="C542" s="29">
        <f>IF(AND(ISNUMBER(W542),ISNUMBER($C$4),ABS(W542-$C$4)&lt;=$C$5,ABS(MOD(B542-$C$6+6,12)-6)&lt;=$C$7,OR($C$8="Any",P542=$C$8)),1,0)</f>
        <v/>
      </c>
      <c r="D542" s="29">
        <f>IF(C542=1,COUNTIF($C$16:C542,1),"")</f>
        <v/>
      </c>
      <c r="E542" s="18" t="n">
        <v>23.43</v>
      </c>
      <c r="F542" s="18" t="n">
        <v>25.06</v>
      </c>
      <c r="G542" s="18" t="n">
        <v>20.16</v>
      </c>
      <c r="H542" s="38" t="n">
        <v>5.53</v>
      </c>
      <c r="I542" s="38" t="n">
        <v>1.45</v>
      </c>
      <c r="J542" s="13" t="n">
        <v>10473</v>
      </c>
      <c r="K542" s="13" t="n">
        <v>10147.88</v>
      </c>
      <c r="L542" s="13" t="n">
        <v>2020.06</v>
      </c>
      <c r="M542" s="13" t="n">
        <v>2148.96</v>
      </c>
      <c r="N542" s="13" t="n">
        <v>4253</v>
      </c>
      <c r="O542" s="38" t="n">
        <v>50.53</v>
      </c>
      <c r="P542" s="39" t="inlineStr">
        <is>
          <t>Windy</t>
        </is>
      </c>
      <c r="Q542" s="13" t="n">
        <v>1385</v>
      </c>
      <c r="R542" s="13" t="n">
        <v>694</v>
      </c>
      <c r="S542" s="13" t="n">
        <v>-851.79</v>
      </c>
      <c r="T542" s="13" t="n">
        <v>11067.78</v>
      </c>
      <c r="U542" s="13" t="n">
        <v>830.1900000000001</v>
      </c>
      <c r="V542" s="13" t="n">
        <v>146.33</v>
      </c>
      <c r="W542" s="13" t="n">
        <v>2790.23</v>
      </c>
      <c r="X542" s="13" t="n">
        <v>3803.56</v>
      </c>
      <c r="Y542" s="13" t="n">
        <v>2802.24</v>
      </c>
      <c r="Z542" s="19" t="n"/>
      <c r="AA542" s="18" t="n"/>
      <c r="AB542" s="38" t="n">
        <v>21.68</v>
      </c>
      <c r="AC542" s="14">
        <f>IFERROR(AVERAGEIFS($E$16:$E$736,$W$16:$W$736,"&gt;="&amp;W542-$C$5,$W$16:$W$736,"&lt;="&amp;W542+$C$5,$B$16:$B$736,B542,$A$16:$A$736,"&lt;&gt;"&amp;A542),"")</f>
        <v/>
      </c>
      <c r="AD542" s="14">
        <f>IF(AND(ISNUMBER(E542),ISNUMBER(AC542)),E542-AC542,"")</f>
        <v/>
      </c>
    </row>
    <row r="543">
      <c r="A543" s="17" t="n">
        <v>45738</v>
      </c>
      <c r="B543" s="29">
        <f>MONTH(A543)</f>
        <v/>
      </c>
      <c r="C543" s="29">
        <f>IF(AND(ISNUMBER(W543),ISNUMBER($C$4),ABS(W543-$C$4)&lt;=$C$5,ABS(MOD(B543-$C$6+6,12)-6)&lt;=$C$7,OR($C$8="Any",P543=$C$8)),1,0)</f>
        <v/>
      </c>
      <c r="D543" s="29">
        <f>IF(C543=1,COUNTIF($C$16:C543,1),"")</f>
        <v/>
      </c>
      <c r="E543" s="18" t="n">
        <v>25.52</v>
      </c>
      <c r="F543" s="18" t="n">
        <v>21.98</v>
      </c>
      <c r="G543" s="18" t="n">
        <v>32.62</v>
      </c>
      <c r="H543" s="38" t="n">
        <v>5.87</v>
      </c>
      <c r="I543" s="38" t="n">
        <v>1.18</v>
      </c>
      <c r="J543" s="13" t="n">
        <v>10411</v>
      </c>
      <c r="K543" s="13" t="n">
        <v>10276.56</v>
      </c>
      <c r="L543" s="13" t="n">
        <v>1793.38</v>
      </c>
      <c r="M543" s="13" t="n">
        <v>1833.83</v>
      </c>
      <c r="N543" s="13" t="n">
        <v>4253</v>
      </c>
      <c r="O543" s="38" t="n">
        <v>43.12</v>
      </c>
      <c r="P543" s="39" t="inlineStr">
        <is>
          <t>Windy</t>
        </is>
      </c>
      <c r="Q543" s="13" t="n">
        <v>1490</v>
      </c>
      <c r="R543" s="13" t="n">
        <v>686.1799999999999</v>
      </c>
      <c r="S543" s="13" t="n">
        <v>-547.88</v>
      </c>
      <c r="T543" s="13" t="n">
        <v>11184.13</v>
      </c>
      <c r="U543" s="13" t="n">
        <v>842.67</v>
      </c>
      <c r="V543" s="13" t="n">
        <v>24.39</v>
      </c>
      <c r="W543" s="13" t="n">
        <v>2963.39</v>
      </c>
      <c r="X543" s="13" t="n">
        <v>4060.22</v>
      </c>
      <c r="Y543" s="13" t="n">
        <v>2976.11</v>
      </c>
      <c r="Z543" s="19" t="n"/>
      <c r="AA543" s="18" t="n"/>
      <c r="AB543" s="38" t="n">
        <v>21.64</v>
      </c>
      <c r="AC543" s="14">
        <f>IFERROR(AVERAGEIFS($E$16:$E$736,$W$16:$W$736,"&gt;="&amp;W543-$C$5,$W$16:$W$736,"&lt;="&amp;W543+$C$5,$B$16:$B$736,B543,$A$16:$A$736,"&lt;&gt;"&amp;A543),"")</f>
        <v/>
      </c>
      <c r="AD543" s="14">
        <f>IF(AND(ISNUMBER(E543),ISNUMBER(AC543)),E543-AC543,"")</f>
        <v/>
      </c>
    </row>
    <row r="544">
      <c r="A544" s="17" t="n">
        <v>45735</v>
      </c>
      <c r="B544" s="29">
        <f>MONTH(A544)</f>
        <v/>
      </c>
      <c r="C544" s="29">
        <f>IF(AND(ISNUMBER(W544),ISNUMBER($C$4),ABS(W544-$C$4)&lt;=$C$5,ABS(MOD(B544-$C$6+6,12)-6)&lt;=$C$7,OR($C$8="Any",P544=$C$8)),1,0)</f>
        <v/>
      </c>
      <c r="D544" s="29">
        <f>IF(C544=1,COUNTIF($C$16:C544,1),"")</f>
        <v/>
      </c>
      <c r="E544" s="18" t="n">
        <v>20.54</v>
      </c>
      <c r="F544" s="18" t="n">
        <v>22.36</v>
      </c>
      <c r="G544" s="18" t="n">
        <v>16.89</v>
      </c>
      <c r="H544" s="38" t="n">
        <v>4.73</v>
      </c>
      <c r="I544" s="38" t="n">
        <v>-0.7</v>
      </c>
      <c r="J544" s="13" t="n">
        <v>11054</v>
      </c>
      <c r="K544" s="13" t="n">
        <v>10769.81</v>
      </c>
      <c r="L544" s="13" t="n">
        <v>2116.31</v>
      </c>
      <c r="M544" s="13" t="n">
        <v>2362.21</v>
      </c>
      <c r="N544" s="13" t="n">
        <v>4253</v>
      </c>
      <c r="O544" s="38" t="n">
        <v>55.54</v>
      </c>
      <c r="P544" s="39" t="inlineStr">
        <is>
          <t>Windy</t>
        </is>
      </c>
      <c r="Q544" s="13" t="n">
        <v>1556</v>
      </c>
      <c r="R544" s="13" t="n">
        <v>674.08</v>
      </c>
      <c r="S544" s="13" t="n">
        <v>-833.29</v>
      </c>
      <c r="T544" s="13" t="n">
        <v>11046.14</v>
      </c>
      <c r="U544" s="13" t="n">
        <v>777.54</v>
      </c>
      <c r="V544" s="13" t="n">
        <v>316.1</v>
      </c>
      <c r="W544" s="13" t="n">
        <v>2968</v>
      </c>
      <c r="X544" s="13" t="n">
        <v>3404.7</v>
      </c>
      <c r="Y544" s="13" t="n">
        <v>3001.32</v>
      </c>
      <c r="Z544" s="19" t="n"/>
      <c r="AA544" s="18" t="n"/>
      <c r="AB544" s="38" t="n">
        <v>24.47</v>
      </c>
      <c r="AC544" s="14">
        <f>IFERROR(AVERAGEIFS($E$16:$E$736,$W$16:$W$736,"&gt;="&amp;W544-$C$5,$W$16:$W$736,"&lt;="&amp;W544+$C$5,$B$16:$B$736,B544,$A$16:$A$736,"&lt;&gt;"&amp;A544),"")</f>
        <v/>
      </c>
      <c r="AD544" s="14">
        <f>IF(AND(ISNUMBER(E544),ISNUMBER(AC544)),E544-AC544,"")</f>
        <v/>
      </c>
    </row>
    <row r="545">
      <c r="A545" s="17" t="n">
        <v>45734</v>
      </c>
      <c r="B545" s="29">
        <f>MONTH(A545)</f>
        <v/>
      </c>
      <c r="C545" s="29">
        <f>IF(AND(ISNUMBER(W545),ISNUMBER($C$4),ABS(W545-$C$4)&lt;=$C$5,ABS(MOD(B545-$C$6+6,12)-6)&lt;=$C$7,OR($C$8="Any",P545=$C$8)),1,0)</f>
        <v/>
      </c>
      <c r="D545" s="29">
        <f>IF(C545=1,COUNTIF($C$16:C545,1),"")</f>
        <v/>
      </c>
      <c r="E545" s="18" t="n">
        <v>31.25</v>
      </c>
      <c r="F545" s="18" t="n">
        <v>37.24</v>
      </c>
      <c r="G545" s="18" t="n">
        <v>19.28</v>
      </c>
      <c r="H545" s="38" t="n">
        <v>1.7</v>
      </c>
      <c r="I545" s="38" t="n">
        <v>-3.17</v>
      </c>
      <c r="J545" s="13" t="n">
        <v>11113</v>
      </c>
      <c r="K545" s="13" t="n">
        <v>10880.5</v>
      </c>
      <c r="L545" s="13" t="n">
        <v>1084.5</v>
      </c>
      <c r="M545" s="13" t="n">
        <v>1455.08</v>
      </c>
      <c r="N545" s="13" t="n">
        <v>4253</v>
      </c>
      <c r="O545" s="38" t="n">
        <v>34.21</v>
      </c>
      <c r="P545" s="39" t="inlineStr">
        <is>
          <t>Windy</t>
        </is>
      </c>
      <c r="Q545" s="13" t="n">
        <v>1202</v>
      </c>
      <c r="R545" s="13" t="n">
        <v>657.35</v>
      </c>
      <c r="S545" s="13" t="n">
        <v>-219.92</v>
      </c>
      <c r="T545" s="13" t="n">
        <v>11074.35</v>
      </c>
      <c r="U545" s="13" t="n">
        <v>783.45</v>
      </c>
      <c r="V545" s="13" t="n">
        <v>279.88</v>
      </c>
      <c r="W545" s="13" t="n">
        <v>2102.7</v>
      </c>
      <c r="X545" s="13" t="n">
        <v>2724.69</v>
      </c>
      <c r="Y545" s="13" t="n">
        <v>2119.93</v>
      </c>
      <c r="Z545" s="19" t="n"/>
      <c r="AA545" s="18" t="n"/>
      <c r="AB545" s="38" t="n">
        <v>14.63</v>
      </c>
      <c r="AC545" s="14">
        <f>IFERROR(AVERAGEIFS($E$16:$E$736,$W$16:$W$736,"&gt;="&amp;W545-$C$5,$W$16:$W$736,"&lt;="&amp;W545+$C$5,$B$16:$B$736,B545,$A$16:$A$736,"&lt;&gt;"&amp;A545),"")</f>
        <v/>
      </c>
      <c r="AD545" s="14">
        <f>IF(AND(ISNUMBER(E545),ISNUMBER(AC545)),E545-AC545,"")</f>
        <v/>
      </c>
    </row>
    <row r="546">
      <c r="A546" s="17" t="n">
        <v>45733</v>
      </c>
      <c r="B546" s="29">
        <f>MONTH(A546)</f>
        <v/>
      </c>
      <c r="C546" s="29">
        <f>IF(AND(ISNUMBER(W546),ISNUMBER($C$4),ABS(W546-$C$4)&lt;=$C$5,ABS(MOD(B546-$C$6+6,12)-6)&lt;=$C$7,OR($C$8="Any",P546=$C$8)),1,0)</f>
        <v/>
      </c>
      <c r="D546" s="29">
        <f>IF(C546=1,COUNTIF($C$16:C546,1),"")</f>
        <v/>
      </c>
      <c r="E546" s="18" t="n">
        <v>51.25</v>
      </c>
      <c r="F546" s="18" t="n">
        <v>40.87</v>
      </c>
      <c r="G546" s="18" t="n">
        <v>72.01000000000001</v>
      </c>
      <c r="H546" s="38" t="n">
        <v>2.33</v>
      </c>
      <c r="I546" s="38" t="n">
        <v>-3.14</v>
      </c>
      <c r="J546" s="13" t="n">
        <v>11069</v>
      </c>
      <c r="K546" s="13" t="n">
        <v>10901.75</v>
      </c>
      <c r="L546" s="13" t="n">
        <v>970.62</v>
      </c>
      <c r="M546" s="13" t="n">
        <v>801.92</v>
      </c>
      <c r="N546" s="13" t="n">
        <v>4253</v>
      </c>
      <c r="O546" s="38" t="n">
        <v>18.86</v>
      </c>
      <c r="P546" s="39" t="inlineStr">
        <is>
          <t>Windy</t>
        </is>
      </c>
      <c r="Q546" s="13" t="n">
        <v>1413</v>
      </c>
      <c r="R546" s="13" t="n">
        <v>674.15</v>
      </c>
      <c r="S546" s="13" t="n">
        <v>-178.42</v>
      </c>
      <c r="T546" s="13" t="n">
        <v>11305.14</v>
      </c>
      <c r="U546" s="13" t="n">
        <v>770.47</v>
      </c>
      <c r="V546" s="13" t="n">
        <v>97.44</v>
      </c>
      <c r="W546" s="13" t="n">
        <v>2250.45</v>
      </c>
      <c r="X546" s="13" t="n">
        <v>2770.79</v>
      </c>
      <c r="Y546" s="13" t="n">
        <v>2301.3</v>
      </c>
      <c r="Z546" s="19" t="n"/>
      <c r="AA546" s="18" t="n"/>
      <c r="AB546" s="38" t="n">
        <v>18.75</v>
      </c>
      <c r="AC546" s="14">
        <f>IFERROR(AVERAGEIFS($E$16:$E$736,$W$16:$W$736,"&gt;="&amp;W546-$C$5,$W$16:$W$736,"&lt;="&amp;W546+$C$5,$B$16:$B$736,B546,$A$16:$A$736,"&lt;&gt;"&amp;A546),"")</f>
        <v/>
      </c>
      <c r="AD546" s="14">
        <f>IF(AND(ISNUMBER(E546),ISNUMBER(AC546)),E546-AC546,"")</f>
        <v/>
      </c>
    </row>
    <row r="547">
      <c r="A547" s="17" t="n">
        <v>45732</v>
      </c>
      <c r="B547" s="29">
        <f>MONTH(A547)</f>
        <v/>
      </c>
      <c r="C547" s="29">
        <f>IF(AND(ISNUMBER(W547),ISNUMBER($C$4),ABS(W547-$C$4)&lt;=$C$5,ABS(MOD(B547-$C$6+6,12)-6)&lt;=$C$7,OR($C$8="Any",P547=$C$8)),1,0)</f>
        <v/>
      </c>
      <c r="D547" s="29">
        <f>IF(C547=1,COUNTIF($C$16:C547,1),"")</f>
        <v/>
      </c>
      <c r="E547" s="18" t="n">
        <v>48.59</v>
      </c>
      <c r="F547" s="18" t="n">
        <v>47.85</v>
      </c>
      <c r="G547" s="18" t="n">
        <v>50.05</v>
      </c>
      <c r="H547" s="38" t="n">
        <v>-4.23</v>
      </c>
      <c r="I547" s="38" t="n">
        <v>-7.95</v>
      </c>
      <c r="J547" s="13" t="n">
        <v>11019</v>
      </c>
      <c r="K547" s="13" t="n">
        <v>10852.06</v>
      </c>
      <c r="L547" s="13" t="n">
        <v>723.75</v>
      </c>
      <c r="M547" s="13" t="n">
        <v>658.25</v>
      </c>
      <c r="N547" s="13" t="n">
        <v>4253</v>
      </c>
      <c r="O547" s="38" t="n">
        <v>15.48</v>
      </c>
      <c r="P547" s="39" t="inlineStr">
        <is>
          <t>Calm</t>
        </is>
      </c>
      <c r="Q547" s="13" t="n">
        <v>413</v>
      </c>
      <c r="R547" s="13" t="n">
        <v>675.83</v>
      </c>
      <c r="S547" s="13" t="n">
        <v>-102.25</v>
      </c>
      <c r="T547" s="13" t="n">
        <v>11367.2</v>
      </c>
      <c r="U547" s="13" t="n">
        <v>768.63</v>
      </c>
      <c r="V547" s="13" t="n">
        <v>30.45</v>
      </c>
      <c r="W547" s="13" t="n">
        <v>2093.26</v>
      </c>
      <c r="X547" s="13" t="n">
        <v>2359.53</v>
      </c>
      <c r="Y547" s="13" t="n">
        <v>2146.39</v>
      </c>
      <c r="Z547" s="19" t="n"/>
      <c r="AA547" s="18" t="n"/>
      <c r="AB547" s="38" t="n">
        <v>13.85</v>
      </c>
      <c r="AC547" s="14">
        <f>IFERROR(AVERAGEIFS($E$16:$E$736,$W$16:$W$736,"&gt;="&amp;W547-$C$5,$W$16:$W$736,"&lt;="&amp;W547+$C$5,$B$16:$B$736,B547,$A$16:$A$736,"&lt;&gt;"&amp;A547),"")</f>
        <v/>
      </c>
      <c r="AD547" s="14">
        <f>IF(AND(ISNUMBER(E547),ISNUMBER(AC547)),E547-AC547,"")</f>
        <v/>
      </c>
    </row>
    <row r="548">
      <c r="A548" s="17" t="n">
        <v>45731</v>
      </c>
      <c r="B548" s="29">
        <f>MONTH(A548)</f>
        <v/>
      </c>
      <c r="C548" s="29">
        <f>IF(AND(ISNUMBER(W548),ISNUMBER($C$4),ABS(W548-$C$4)&lt;=$C$5,ABS(MOD(B548-$C$6+6,12)-6)&lt;=$C$7,OR($C$8="Any",P548=$C$8)),1,0)</f>
        <v/>
      </c>
      <c r="D548" s="29">
        <f>IF(C548=1,COUNTIF($C$16:C548,1),"")</f>
        <v/>
      </c>
      <c r="E548" s="18" t="n">
        <v>56.73</v>
      </c>
      <c r="F548" s="18" t="n">
        <v>52.1</v>
      </c>
      <c r="G548" s="18" t="n">
        <v>66</v>
      </c>
      <c r="H548" s="38" t="n">
        <v>-5.6</v>
      </c>
      <c r="I548" s="38" t="n">
        <v>-9.9</v>
      </c>
      <c r="J548" s="13" t="n">
        <v>11022</v>
      </c>
      <c r="K548" s="13" t="n">
        <v>10839.31</v>
      </c>
      <c r="L548" s="13" t="n">
        <v>481.31</v>
      </c>
      <c r="M548" s="13" t="n">
        <v>446</v>
      </c>
      <c r="N548" s="13" t="n">
        <v>4253</v>
      </c>
      <c r="O548" s="38" t="n">
        <v>10.49</v>
      </c>
      <c r="P548" s="39" t="inlineStr">
        <is>
          <t>Calm</t>
        </is>
      </c>
      <c r="Q548" s="13" t="n">
        <v>665</v>
      </c>
      <c r="R548" s="13" t="n">
        <v>675.72</v>
      </c>
      <c r="S548" s="13" t="n">
        <v>54.92</v>
      </c>
      <c r="T548" s="13" t="n">
        <v>11391.84</v>
      </c>
      <c r="U548" s="13" t="n">
        <v>806.88</v>
      </c>
      <c r="V548" s="13" t="n">
        <v>6.09</v>
      </c>
      <c r="W548" s="13" t="n">
        <v>2173.74</v>
      </c>
      <c r="X548" s="13" t="n">
        <v>2502.85</v>
      </c>
      <c r="Y548" s="13" t="n">
        <v>2207.2</v>
      </c>
      <c r="Z548" s="19" t="n"/>
      <c r="AA548" s="18" t="n"/>
      <c r="AB548" s="38" t="n">
        <v>11.52</v>
      </c>
      <c r="AC548" s="14">
        <f>IFERROR(AVERAGEIFS($E$16:$E$736,$W$16:$W$736,"&gt;="&amp;W548-$C$5,$W$16:$W$736,"&lt;="&amp;W548+$C$5,$B$16:$B$736,B548,$A$16:$A$736,"&lt;&gt;"&amp;A548),"")</f>
        <v/>
      </c>
      <c r="AD548" s="14">
        <f>IF(AND(ISNUMBER(E548),ISNUMBER(AC548)),E548-AC548,"")</f>
        <v/>
      </c>
    </row>
    <row r="549">
      <c r="A549" s="17" t="n">
        <v>45730</v>
      </c>
      <c r="B549" s="29">
        <f>MONTH(A549)</f>
        <v/>
      </c>
      <c r="C549" s="29">
        <f>IF(AND(ISNUMBER(W549),ISNUMBER($C$4),ABS(W549-$C$4)&lt;=$C$5,ABS(MOD(B549-$C$6+6,12)-6)&lt;=$C$7,OR($C$8="Any",P549=$C$8)),1,0)</f>
        <v/>
      </c>
      <c r="D549" s="29">
        <f>IF(C549=1,COUNTIF($C$16:C549,1),"")</f>
        <v/>
      </c>
      <c r="E549" s="18" t="n">
        <v>37.53</v>
      </c>
      <c r="F549" s="18" t="n">
        <v>36.7</v>
      </c>
      <c r="G549" s="18" t="n">
        <v>39.18</v>
      </c>
      <c r="H549" s="38" t="n">
        <v>-4.73</v>
      </c>
      <c r="I549" s="38" t="n">
        <v>-8.98</v>
      </c>
      <c r="J549" s="13" t="n">
        <v>11222</v>
      </c>
      <c r="K549" s="13" t="n">
        <v>11014.5</v>
      </c>
      <c r="L549" s="13" t="n">
        <v>781.75</v>
      </c>
      <c r="M549" s="13" t="n">
        <v>892.83</v>
      </c>
      <c r="N549" s="13" t="n">
        <v>4253</v>
      </c>
      <c r="O549" s="38" t="n">
        <v>20.99</v>
      </c>
      <c r="P549" s="39" t="inlineStr">
        <is>
          <t>Windy</t>
        </is>
      </c>
      <c r="Q549" s="13" t="n">
        <v>1257</v>
      </c>
      <c r="R549" s="13" t="n">
        <v>677.76</v>
      </c>
      <c r="S549" s="13" t="n">
        <v>-294.71</v>
      </c>
      <c r="T549" s="13" t="n">
        <v>11264.21</v>
      </c>
      <c r="U549" s="13" t="n">
        <v>807.8</v>
      </c>
      <c r="V549" s="13" t="n">
        <v>18.27</v>
      </c>
      <c r="W549" s="13" t="n">
        <v>1738.9</v>
      </c>
      <c r="X549" s="13" t="n">
        <v>2353.59</v>
      </c>
      <c r="Y549" s="13" t="n">
        <v>1777.22</v>
      </c>
      <c r="Z549" s="19" t="n"/>
      <c r="AA549" s="18" t="n"/>
      <c r="AB549" s="38" t="n">
        <v>11.46</v>
      </c>
      <c r="AC549" s="14">
        <f>IFERROR(AVERAGEIFS($E$16:$E$736,$W$16:$W$736,"&gt;="&amp;W549-$C$5,$W$16:$W$736,"&lt;="&amp;W549+$C$5,$B$16:$B$736,B549,$A$16:$A$736,"&lt;&gt;"&amp;A549),"")</f>
        <v/>
      </c>
      <c r="AD549" s="14">
        <f>IF(AND(ISNUMBER(E549),ISNUMBER(AC549)),E549-AC549,"")</f>
        <v/>
      </c>
    </row>
    <row r="550">
      <c r="A550" s="17" t="n">
        <v>45729</v>
      </c>
      <c r="B550" s="29">
        <f>MONTH(A550)</f>
        <v/>
      </c>
      <c r="C550" s="29">
        <f>IF(AND(ISNUMBER(W550),ISNUMBER($C$4),ABS(W550-$C$4)&lt;=$C$5,ABS(MOD(B550-$C$6+6,12)-6)&lt;=$C$7,OR($C$8="Any",P550=$C$8)),1,0)</f>
        <v/>
      </c>
      <c r="D550" s="29">
        <f>IF(C550=1,COUNTIF($C$16:C550,1),"")</f>
        <v/>
      </c>
      <c r="E550" s="18" t="n">
        <v>30.2</v>
      </c>
      <c r="F550" s="18" t="n">
        <v>29.79</v>
      </c>
      <c r="G550" s="18" t="n">
        <v>31</v>
      </c>
      <c r="H550" s="38" t="n">
        <v>-0.8</v>
      </c>
      <c r="I550" s="38" t="n">
        <v>-3.28</v>
      </c>
      <c r="J550" s="13" t="n">
        <v>11279</v>
      </c>
      <c r="K550" s="13" t="n">
        <v>11152.38</v>
      </c>
      <c r="L550" s="13" t="n">
        <v>2009.62</v>
      </c>
      <c r="M550" s="13" t="n">
        <v>1973.58</v>
      </c>
      <c r="N550" s="13" t="n">
        <v>4253</v>
      </c>
      <c r="O550" s="38" t="n">
        <v>46.4</v>
      </c>
      <c r="P550" s="39" t="inlineStr">
        <is>
          <t>Windy</t>
        </is>
      </c>
      <c r="Q550" s="13" t="n">
        <v>1034</v>
      </c>
      <c r="R550" s="13" t="n">
        <v>676.27</v>
      </c>
      <c r="S550" s="13" t="n">
        <v>-628.58</v>
      </c>
      <c r="T550" s="13" t="n">
        <v>10806.72</v>
      </c>
      <c r="U550" s="13" t="n">
        <v>793.17</v>
      </c>
      <c r="V550" s="13" t="n">
        <v>81.31999999999999</v>
      </c>
      <c r="W550" s="13" t="n">
        <v>1820.43</v>
      </c>
      <c r="X550" s="13" t="n">
        <v>2467.28</v>
      </c>
      <c r="Y550" s="13" t="n">
        <v>1894.18</v>
      </c>
      <c r="Z550" s="19" t="n"/>
      <c r="AA550" s="18" t="n"/>
      <c r="AB550" s="38" t="n">
        <v>23.21</v>
      </c>
      <c r="AC550" s="14">
        <f>IFERROR(AVERAGEIFS($E$16:$E$736,$W$16:$W$736,"&gt;="&amp;W550-$C$5,$W$16:$W$736,"&lt;="&amp;W550+$C$5,$B$16:$B$736,B550,$A$16:$A$736,"&lt;&gt;"&amp;A550),"")</f>
        <v/>
      </c>
      <c r="AD550" s="14">
        <f>IF(AND(ISNUMBER(E550),ISNUMBER(AC550)),E550-AC550,"")</f>
        <v/>
      </c>
    </row>
    <row r="551">
      <c r="A551" s="17" t="n">
        <v>45728</v>
      </c>
      <c r="B551" s="29">
        <f>MONTH(A551)</f>
        <v/>
      </c>
      <c r="C551" s="29">
        <f>IF(AND(ISNUMBER(W551),ISNUMBER($C$4),ABS(W551-$C$4)&lt;=$C$5,ABS(MOD(B551-$C$6+6,12)-6)&lt;=$C$7,OR($C$8="Any",P551=$C$8)),1,0)</f>
        <v/>
      </c>
      <c r="D551" s="29">
        <f>IF(C551=1,COUNTIF($C$16:C551,1),"")</f>
        <v/>
      </c>
      <c r="E551" s="18" t="n">
        <v>42.91</v>
      </c>
      <c r="F551" s="18" t="n">
        <v>35.18</v>
      </c>
      <c r="G551" s="18" t="n">
        <v>58.37</v>
      </c>
      <c r="H551" s="38" t="n">
        <v>1.2</v>
      </c>
      <c r="I551" s="38" t="n">
        <v>-2.15</v>
      </c>
      <c r="J551" s="13" t="n">
        <v>10990</v>
      </c>
      <c r="K551" s="13" t="n">
        <v>10878.5</v>
      </c>
      <c r="L551" s="13" t="n">
        <v>1193.31</v>
      </c>
      <c r="M551" s="13" t="n">
        <v>1076.42</v>
      </c>
      <c r="N551" s="13" t="n">
        <v>4253</v>
      </c>
      <c r="O551" s="38" t="n">
        <v>25.31</v>
      </c>
      <c r="P551" s="39" t="inlineStr">
        <is>
          <t>Windy</t>
        </is>
      </c>
      <c r="Q551" s="13" t="n">
        <v>1246</v>
      </c>
      <c r="R551" s="13" t="n">
        <v>676.61</v>
      </c>
      <c r="S551" s="13" t="n">
        <v>-303.58</v>
      </c>
      <c r="T551" s="13" t="n">
        <v>10629.64</v>
      </c>
      <c r="U551" s="13" t="n">
        <v>811.62</v>
      </c>
      <c r="V551" s="13" t="n">
        <v>401.38</v>
      </c>
      <c r="W551" s="13" t="n">
        <v>2003.31</v>
      </c>
      <c r="X551" s="13" t="n">
        <v>2357.26</v>
      </c>
      <c r="Y551" s="13" t="n">
        <v>2048.84</v>
      </c>
      <c r="Z551" s="19" t="n"/>
      <c r="AA551" s="18" t="n"/>
      <c r="AB551" s="38" t="n">
        <v>14.45</v>
      </c>
      <c r="AC551" s="14">
        <f>IFERROR(AVERAGEIFS($E$16:$E$736,$W$16:$W$736,"&gt;="&amp;W551-$C$5,$W$16:$W$736,"&lt;="&amp;W551+$C$5,$B$16:$B$736,B551,$A$16:$A$736,"&lt;&gt;"&amp;A551),"")</f>
        <v/>
      </c>
      <c r="AD551" s="14">
        <f>IF(AND(ISNUMBER(E551),ISNUMBER(AC551)),E551-AC551,"")</f>
        <v/>
      </c>
    </row>
    <row r="552">
      <c r="A552" s="17" t="n">
        <v>45727</v>
      </c>
      <c r="B552" s="29">
        <f>MONTH(A552)</f>
        <v/>
      </c>
      <c r="C552" s="29">
        <f>IF(AND(ISNUMBER(W552),ISNUMBER($C$4),ABS(W552-$C$4)&lt;=$C$5,ABS(MOD(B552-$C$6+6,12)-6)&lt;=$C$7,OR($C$8="Any",P552=$C$8)),1,0)</f>
        <v/>
      </c>
      <c r="D552" s="29">
        <f>IF(C552=1,COUNTIF($C$16:C552,1),"")</f>
        <v/>
      </c>
      <c r="E552" s="18" t="n">
        <v>29.87</v>
      </c>
      <c r="F552" s="18" t="n">
        <v>28.42</v>
      </c>
      <c r="G552" s="18" t="n">
        <v>32.77</v>
      </c>
      <c r="H552" s="38" t="n">
        <v>4</v>
      </c>
      <c r="I552" s="38" t="n">
        <v>-0.67</v>
      </c>
      <c r="J552" s="13" t="n">
        <v>10942</v>
      </c>
      <c r="K552" s="13" t="n">
        <v>10743.38</v>
      </c>
      <c r="L552" s="13" t="n">
        <v>1505</v>
      </c>
      <c r="M552" s="13" t="n">
        <v>1636.21</v>
      </c>
      <c r="N552" s="13" t="n">
        <v>4253</v>
      </c>
      <c r="O552" s="38" t="n">
        <v>38.47</v>
      </c>
      <c r="P552" s="39" t="inlineStr">
        <is>
          <t>Windy</t>
        </is>
      </c>
      <c r="Q552" s="13" t="n">
        <v>1604</v>
      </c>
      <c r="R552" s="13" t="n">
        <v>676.5</v>
      </c>
      <c r="S552" s="13" t="n">
        <v>-617</v>
      </c>
      <c r="T552" s="13" t="n">
        <v>10749.87</v>
      </c>
      <c r="U552" s="13" t="n">
        <v>805.16</v>
      </c>
      <c r="V552" s="13" t="n">
        <v>79.17</v>
      </c>
      <c r="W552" s="13" t="n">
        <v>1984.66</v>
      </c>
      <c r="X552" s="13" t="n">
        <v>2700.03</v>
      </c>
      <c r="Y552" s="13" t="n">
        <v>2034.12</v>
      </c>
      <c r="Z552" s="19" t="n"/>
      <c r="AA552" s="18" t="n"/>
      <c r="AB552" s="38" t="n">
        <v>22.85</v>
      </c>
      <c r="AC552" s="14">
        <f>IFERROR(AVERAGEIFS($E$16:$E$736,$W$16:$W$736,"&gt;="&amp;W552-$C$5,$W$16:$W$736,"&lt;="&amp;W552+$C$5,$B$16:$B$736,B552,$A$16:$A$736,"&lt;&gt;"&amp;A552),"")</f>
        <v/>
      </c>
      <c r="AD552" s="14">
        <f>IF(AND(ISNUMBER(E552),ISNUMBER(AC552)),E552-AC552,"")</f>
        <v/>
      </c>
    </row>
    <row r="553">
      <c r="A553" s="17" t="n">
        <v>45726</v>
      </c>
      <c r="B553" s="29">
        <f>MONTH(A553)</f>
        <v/>
      </c>
      <c r="C553" s="29">
        <f>IF(AND(ISNUMBER(W553),ISNUMBER($C$4),ABS(W553-$C$4)&lt;=$C$5,ABS(MOD(B553-$C$6+6,12)-6)&lt;=$C$7,OR($C$8="Any",P553=$C$8)),1,0)</f>
        <v/>
      </c>
      <c r="D553" s="29">
        <f>IF(C553=1,COUNTIF($C$16:C553,1),"")</f>
        <v/>
      </c>
      <c r="E553" s="18" t="n">
        <v>51.37</v>
      </c>
      <c r="F553" s="18" t="n">
        <v>66.89</v>
      </c>
      <c r="G553" s="18" t="n">
        <v>20.32</v>
      </c>
      <c r="H553" s="38" t="n">
        <v>1.67</v>
      </c>
      <c r="I553" s="38" t="n">
        <v>-2.45</v>
      </c>
      <c r="J553" s="13" t="n">
        <v>10936</v>
      </c>
      <c r="K553" s="13" t="n">
        <v>10767.44</v>
      </c>
      <c r="L553" s="13" t="n">
        <v>1176.81</v>
      </c>
      <c r="M553" s="13" t="n">
        <v>1752.79</v>
      </c>
      <c r="N553" s="13" t="n">
        <v>4253</v>
      </c>
      <c r="O553" s="38" t="n">
        <v>41.21</v>
      </c>
      <c r="P553" s="39" t="inlineStr">
        <is>
          <t>Windy</t>
        </is>
      </c>
      <c r="Q553" s="13" t="n">
        <v>1445</v>
      </c>
      <c r="R553" s="13" t="n">
        <v>677.54</v>
      </c>
      <c r="S553" s="13" t="n">
        <v>-434.33</v>
      </c>
      <c r="T553" s="13" t="n">
        <v>10319.18</v>
      </c>
      <c r="U553" s="13" t="n">
        <v>799.9299999999999</v>
      </c>
      <c r="V553" s="13" t="n">
        <v>406.03</v>
      </c>
      <c r="W553" s="13" t="n">
        <v>1292.74</v>
      </c>
      <c r="X553" s="13" t="n">
        <v>2188.74</v>
      </c>
      <c r="Y553" s="13" t="n">
        <v>1347.87</v>
      </c>
      <c r="Z553" s="19" t="n"/>
      <c r="AA553" s="18" t="n"/>
      <c r="AB553" s="38" t="n">
        <v>14.72</v>
      </c>
      <c r="AC553" s="14">
        <f>IFERROR(AVERAGEIFS($E$16:$E$736,$W$16:$W$736,"&gt;="&amp;W553-$C$5,$W$16:$W$736,"&lt;="&amp;W553+$C$5,$B$16:$B$736,B553,$A$16:$A$736,"&lt;&gt;"&amp;A553),"")</f>
        <v/>
      </c>
      <c r="AD553" s="14">
        <f>IF(AND(ISNUMBER(E553),ISNUMBER(AC553)),E553-AC553,"")</f>
        <v/>
      </c>
    </row>
    <row r="554">
      <c r="A554" s="17" t="n">
        <v>45725</v>
      </c>
      <c r="B554" s="29">
        <f>MONTH(A554)</f>
        <v/>
      </c>
      <c r="C554" s="29">
        <f>IF(AND(ISNUMBER(W554),ISNUMBER($C$4),ABS(W554-$C$4)&lt;=$C$5,ABS(MOD(B554-$C$6+6,12)-6)&lt;=$C$7,OR($C$8="Any",P554=$C$8)),1,0)</f>
        <v/>
      </c>
      <c r="D554" s="29">
        <f>IF(C554=1,COUNTIF($C$16:C554,1),"")</f>
        <v/>
      </c>
      <c r="E554" s="18" t="n">
        <v>17.7</v>
      </c>
      <c r="F554" s="18" t="n">
        <v>18.4</v>
      </c>
      <c r="G554" s="18" t="n">
        <v>16.09</v>
      </c>
      <c r="H554" s="38" t="n">
        <v>7.63</v>
      </c>
      <c r="I554" s="38" t="n">
        <v>4.1</v>
      </c>
      <c r="J554" s="13" t="n">
        <v>10898</v>
      </c>
      <c r="K554" s="13" t="n">
        <v>10596.88</v>
      </c>
      <c r="L554" s="13" t="n">
        <v>3220.25</v>
      </c>
      <c r="M554" s="13" t="n">
        <v>3174.52</v>
      </c>
      <c r="N554" s="13" t="n">
        <v>4253</v>
      </c>
      <c r="O554" s="38" t="n">
        <v>74.64</v>
      </c>
      <c r="P554" s="39" t="inlineStr">
        <is>
          <t>Windy</t>
        </is>
      </c>
      <c r="Q554" s="13" t="n">
        <v>993</v>
      </c>
      <c r="R554" s="13" t="n">
        <v>647.53</v>
      </c>
      <c r="S554" s="13" t="n">
        <v>-877.96</v>
      </c>
      <c r="T554" s="13" t="n">
        <v>10596.59</v>
      </c>
      <c r="U554" s="13" t="n">
        <v>813.58</v>
      </c>
      <c r="V554" s="13" t="n">
        <v>10601.39</v>
      </c>
      <c r="W554" s="13" t="n">
        <v>2794.19</v>
      </c>
      <c r="X554" s="13" t="n">
        <v>3836.06</v>
      </c>
      <c r="Y554" s="13" t="n">
        <v>2882.04</v>
      </c>
      <c r="Z554" s="19" t="n"/>
      <c r="AA554" s="18" t="n"/>
      <c r="AB554" s="38" t="n">
        <v>35.77</v>
      </c>
      <c r="AC554" s="14">
        <f>IFERROR(AVERAGEIFS($E$16:$E$736,$W$16:$W$736,"&gt;="&amp;W554-$C$5,$W$16:$W$736,"&lt;="&amp;W554+$C$5,$B$16:$B$736,B554,$A$16:$A$736,"&lt;&gt;"&amp;A554),"")</f>
        <v/>
      </c>
      <c r="AD554" s="14">
        <f>IF(AND(ISNUMBER(E554),ISNUMBER(AC554)),E554-AC554,"")</f>
        <v/>
      </c>
    </row>
    <row r="555">
      <c r="A555" s="17" t="n">
        <v>45724</v>
      </c>
      <c r="B555" s="29">
        <f>MONTH(A555)</f>
        <v/>
      </c>
      <c r="C555" s="29">
        <f>IF(AND(ISNUMBER(W555),ISNUMBER($C$4),ABS(W555-$C$4)&lt;=$C$5,ABS(MOD(B555-$C$6+6,12)-6)&lt;=$C$7,OR($C$8="Any",P555=$C$8)),1,0)</f>
        <v/>
      </c>
      <c r="D555" s="29">
        <f>IF(C555=1,COUNTIF($C$16:C555,1),"")</f>
        <v/>
      </c>
      <c r="E555" s="18" t="n">
        <v>15</v>
      </c>
      <c r="F555" s="18" t="n">
        <v>14.44</v>
      </c>
      <c r="G555" s="18" t="n">
        <v>16.12</v>
      </c>
      <c r="H555" s="38" t="n">
        <v>8.77</v>
      </c>
      <c r="I555" s="38" t="n">
        <v>4.44</v>
      </c>
      <c r="J555" s="13" t="n">
        <v>10668</v>
      </c>
      <c r="K555" s="13" t="n">
        <v>10350.62</v>
      </c>
      <c r="L555" s="13" t="n">
        <v>3171.94</v>
      </c>
      <c r="M555" s="13" t="n">
        <v>3164.42</v>
      </c>
      <c r="N555" s="13" t="n">
        <v>4253</v>
      </c>
      <c r="O555" s="38" t="n">
        <v>74.40000000000001</v>
      </c>
      <c r="P555" s="39" t="inlineStr">
        <is>
          <t>Windy</t>
        </is>
      </c>
      <c r="Q555" s="13" t="n">
        <v>1037</v>
      </c>
      <c r="R555" s="13" t="n">
        <v>676.83</v>
      </c>
      <c r="S555" s="13" t="n">
        <v>-863.58</v>
      </c>
      <c r="T555" s="13" t="n">
        <v>10458.76</v>
      </c>
      <c r="U555" s="13" t="n">
        <v>816.6</v>
      </c>
      <c r="V555" s="13" t="n">
        <v>83.11</v>
      </c>
      <c r="W555" s="13" t="n">
        <v>3280.01</v>
      </c>
      <c r="X555" s="13" t="n">
        <v>3966.72</v>
      </c>
      <c r="Y555" s="13" t="n">
        <v>3332.43</v>
      </c>
      <c r="Z555" s="19" t="n"/>
      <c r="AA555" s="18" t="n"/>
      <c r="AB555" s="38" t="n">
        <v>27.73</v>
      </c>
      <c r="AC555" s="14">
        <f>IFERROR(AVERAGEIFS($E$16:$E$736,$W$16:$W$736,"&gt;="&amp;W555-$C$5,$W$16:$W$736,"&lt;="&amp;W555+$C$5,$B$16:$B$736,B555,$A$16:$A$736,"&lt;&gt;"&amp;A555),"")</f>
        <v/>
      </c>
      <c r="AD555" s="14">
        <f>IF(AND(ISNUMBER(E555),ISNUMBER(AC555)),E555-AC555,"")</f>
        <v/>
      </c>
    </row>
    <row r="556">
      <c r="A556" s="17" t="n">
        <v>45723</v>
      </c>
      <c r="B556" s="29">
        <f>MONTH(A556)</f>
        <v/>
      </c>
      <c r="C556" s="29">
        <f>IF(AND(ISNUMBER(W556),ISNUMBER($C$4),ABS(W556-$C$4)&lt;=$C$5,ABS(MOD(B556-$C$6+6,12)-6)&lt;=$C$7,OR($C$8="Any",P556=$C$8)),1,0)</f>
        <v/>
      </c>
      <c r="D556" s="29">
        <f>IF(C556=1,COUNTIF($C$16:C556,1),"")</f>
        <v/>
      </c>
      <c r="E556" s="18" t="n">
        <v>18.48</v>
      </c>
      <c r="F556" s="18" t="n">
        <v>25.19</v>
      </c>
      <c r="G556" s="18" t="n">
        <v>5.07</v>
      </c>
      <c r="H556" s="38" t="n">
        <v>7.23</v>
      </c>
      <c r="I556" s="38" t="n">
        <v>1.43</v>
      </c>
      <c r="J556" s="13" t="n">
        <v>10705</v>
      </c>
      <c r="K556" s="13" t="n">
        <v>10512.81</v>
      </c>
      <c r="L556" s="13" t="n">
        <v>1985.31</v>
      </c>
      <c r="M556" s="13" t="n">
        <v>2349.88</v>
      </c>
      <c r="N556" s="13" t="n">
        <v>4253</v>
      </c>
      <c r="O556" s="38" t="n">
        <v>55.25</v>
      </c>
      <c r="P556" s="39" t="inlineStr">
        <is>
          <t>Windy</t>
        </is>
      </c>
      <c r="Q556" s="13" t="n">
        <v>1635</v>
      </c>
      <c r="R556" s="13" t="n">
        <v>677.84</v>
      </c>
      <c r="S556" s="13" t="n">
        <v>-892.25</v>
      </c>
      <c r="T556" s="13" t="n">
        <v>10522.9</v>
      </c>
      <c r="U556" s="13" t="n">
        <v>815.92</v>
      </c>
      <c r="V556" s="13" t="n">
        <v>272</v>
      </c>
      <c r="W556" s="13" t="n">
        <v>2183.61</v>
      </c>
      <c r="X556" s="13" t="n">
        <v>2975.02</v>
      </c>
      <c r="Y556" s="13" t="n">
        <v>2224.04</v>
      </c>
      <c r="Z556" s="19" t="n"/>
      <c r="AA556" s="18" t="n"/>
      <c r="AB556" s="38" t="n">
        <v>27.11</v>
      </c>
      <c r="AC556" s="14">
        <f>IFERROR(AVERAGEIFS($E$16:$E$736,$W$16:$W$736,"&gt;="&amp;W556-$C$5,$W$16:$W$736,"&lt;="&amp;W556+$C$5,$B$16:$B$736,B556,$A$16:$A$736,"&lt;&gt;"&amp;A556),"")</f>
        <v/>
      </c>
      <c r="AD556" s="14">
        <f>IF(AND(ISNUMBER(E556),ISNUMBER(AC556)),E556-AC556,"")</f>
        <v/>
      </c>
    </row>
    <row r="557">
      <c r="A557" s="17" t="n">
        <v>45722</v>
      </c>
      <c r="B557" s="29">
        <f>MONTH(A557)</f>
        <v/>
      </c>
      <c r="C557" s="29">
        <f>IF(AND(ISNUMBER(W557),ISNUMBER($C$4),ABS(W557-$C$4)&lt;=$C$5,ABS(MOD(B557-$C$6+6,12)-6)&lt;=$C$7,OR($C$8="Any",P557=$C$8)),1,0)</f>
        <v/>
      </c>
      <c r="D557" s="29">
        <f>IF(C557=1,COUNTIF($C$16:C557,1),"")</f>
        <v/>
      </c>
      <c r="E557" s="18" t="n">
        <v>42.56</v>
      </c>
      <c r="F557" s="18" t="n">
        <v>49.56</v>
      </c>
      <c r="G557" s="18" t="n">
        <v>28.56</v>
      </c>
      <c r="H557" s="38" t="n">
        <v>4.77</v>
      </c>
      <c r="I557" s="38" t="n">
        <v>-1.09</v>
      </c>
      <c r="J557" s="13" t="n">
        <v>10712</v>
      </c>
      <c r="K557" s="13" t="n">
        <v>10505.12</v>
      </c>
      <c r="L557" s="13" t="n">
        <v>832.9400000000001</v>
      </c>
      <c r="M557" s="13" t="n">
        <v>979.25</v>
      </c>
      <c r="N557" s="13" t="n">
        <v>4253</v>
      </c>
      <c r="O557" s="38" t="n">
        <v>23.02</v>
      </c>
      <c r="P557" s="39" t="inlineStr">
        <is>
          <t>Windy</t>
        </is>
      </c>
      <c r="Q557" s="13" t="n">
        <v>1593</v>
      </c>
      <c r="R557" s="13" t="n">
        <v>661.04</v>
      </c>
      <c r="S557" s="13" t="n">
        <v>-413.67</v>
      </c>
      <c r="T557" s="13" t="n">
        <v>10684.87</v>
      </c>
      <c r="U557" s="13" t="n">
        <v>804.48</v>
      </c>
      <c r="V557" s="13" t="n">
        <v>270.2</v>
      </c>
      <c r="W557" s="13" t="n">
        <v>1438.14</v>
      </c>
      <c r="X557" s="13" t="n">
        <v>2438.19</v>
      </c>
      <c r="Y557" s="13" t="n">
        <v>1463.92</v>
      </c>
      <c r="Z557" s="19" t="n"/>
      <c r="AA557" s="18" t="n"/>
      <c r="AB557" s="38" t="n">
        <v>15.52</v>
      </c>
      <c r="AC557" s="14">
        <f>IFERROR(AVERAGEIFS($E$16:$E$736,$W$16:$W$736,"&gt;="&amp;W557-$C$5,$W$16:$W$736,"&lt;="&amp;W557+$C$5,$B$16:$B$736,B557,$A$16:$A$736,"&lt;&gt;"&amp;A557),"")</f>
        <v/>
      </c>
      <c r="AD557" s="14">
        <f>IF(AND(ISNUMBER(E557),ISNUMBER(AC557)),E557-AC557,"")</f>
        <v/>
      </c>
    </row>
    <row r="558">
      <c r="A558" s="17" t="n">
        <v>45721</v>
      </c>
      <c r="B558" s="29">
        <f>MONTH(A558)</f>
        <v/>
      </c>
      <c r="C558" s="29">
        <f>IF(AND(ISNUMBER(W558),ISNUMBER($C$4),ABS(W558-$C$4)&lt;=$C$5,ABS(MOD(B558-$C$6+6,12)-6)&lt;=$C$7,OR($C$8="Any",P558=$C$8)),1,0)</f>
        <v/>
      </c>
      <c r="D558" s="29">
        <f>IF(C558=1,COUNTIF($C$16:C558,1),"")</f>
        <v/>
      </c>
      <c r="E558" s="18" t="n">
        <v>52.29</v>
      </c>
      <c r="F558" s="18" t="n">
        <v>62.33</v>
      </c>
      <c r="G558" s="18" t="n">
        <v>32.22</v>
      </c>
      <c r="H558" s="38" t="n">
        <v>2.3</v>
      </c>
      <c r="I558" s="38" t="n">
        <v>-0.77</v>
      </c>
      <c r="J558" s="13" t="n">
        <v>10807</v>
      </c>
      <c r="K558" s="13" t="n">
        <v>10520.75</v>
      </c>
      <c r="L558" s="13" t="n">
        <v>388.94</v>
      </c>
      <c r="M558" s="13" t="n">
        <v>676.25</v>
      </c>
      <c r="N558" s="13" t="n">
        <v>4253</v>
      </c>
      <c r="O558" s="38" t="n">
        <v>15.9</v>
      </c>
      <c r="P558" s="39" t="inlineStr">
        <is>
          <t>Calm</t>
        </is>
      </c>
      <c r="Q558" s="13" t="n">
        <v>1273</v>
      </c>
      <c r="R558" s="13" t="n">
        <v>663.79</v>
      </c>
      <c r="S558" s="13" t="n">
        <v>-285.67</v>
      </c>
      <c r="T558" s="13" t="n">
        <v>10736.19</v>
      </c>
      <c r="U558" s="13" t="n">
        <v>794.7</v>
      </c>
      <c r="V558" s="13" t="n">
        <v>54.81</v>
      </c>
      <c r="W558" s="13" t="n">
        <v>1156.87</v>
      </c>
      <c r="X558" s="13" t="n">
        <v>2076.79</v>
      </c>
      <c r="Y558" s="13" t="n">
        <v>1173.32</v>
      </c>
      <c r="Z558" s="19" t="n"/>
      <c r="AA558" s="18" t="n"/>
      <c r="AB558" s="38" t="n">
        <v>12</v>
      </c>
      <c r="AC558" s="14">
        <f>IFERROR(AVERAGEIFS($E$16:$E$736,$W$16:$W$736,"&gt;="&amp;W558-$C$5,$W$16:$W$736,"&lt;="&amp;W558+$C$5,$B$16:$B$736,B558,$A$16:$A$736,"&lt;&gt;"&amp;A558),"")</f>
        <v/>
      </c>
      <c r="AD558" s="14">
        <f>IF(AND(ISNUMBER(E558),ISNUMBER(AC558)),E558-AC558,"")</f>
        <v/>
      </c>
    </row>
    <row r="559">
      <c r="A559" s="17" t="n">
        <v>45720</v>
      </c>
      <c r="B559" s="29">
        <f>MONTH(A559)</f>
        <v/>
      </c>
      <c r="C559" s="29">
        <f>IF(AND(ISNUMBER(W559),ISNUMBER($C$4),ABS(W559-$C$4)&lt;=$C$5,ABS(MOD(B559-$C$6+6,12)-6)&lt;=$C$7,OR($C$8="Any",P559=$C$8)),1,0)</f>
        <v/>
      </c>
      <c r="D559" s="29">
        <f>IF(C559=1,COUNTIF($C$16:C559,1),"")</f>
        <v/>
      </c>
      <c r="E559" s="18" t="n">
        <v>28.15</v>
      </c>
      <c r="F559" s="18" t="n">
        <v>20.83</v>
      </c>
      <c r="G559" s="18" t="n">
        <v>42.8</v>
      </c>
      <c r="H559" s="38" t="n">
        <v>2.3</v>
      </c>
      <c r="I559" s="38" t="n">
        <v>-3.2</v>
      </c>
      <c r="J559" s="13" t="n">
        <v>10932</v>
      </c>
      <c r="K559" s="13" t="n">
        <v>10561.69</v>
      </c>
      <c r="L559" s="13" t="n">
        <v>1854.69</v>
      </c>
      <c r="M559" s="13" t="n">
        <v>1370.96</v>
      </c>
      <c r="N559" s="13" t="n">
        <v>4253</v>
      </c>
      <c r="O559" s="38" t="n">
        <v>32.24</v>
      </c>
      <c r="P559" s="39" t="inlineStr">
        <is>
          <t>Windy</t>
        </is>
      </c>
      <c r="Q559" s="13" t="n">
        <v>1635</v>
      </c>
      <c r="R559" s="13" t="n">
        <v>675.72</v>
      </c>
      <c r="S559" s="13" t="n">
        <v>-452.08</v>
      </c>
      <c r="T559" s="13" t="n">
        <v>10613.59</v>
      </c>
      <c r="U559" s="13" t="n">
        <v>791.75</v>
      </c>
      <c r="V559" s="13" t="n">
        <v>52.66</v>
      </c>
      <c r="W559" s="13" t="n">
        <v>1891.24</v>
      </c>
      <c r="X559" s="13" t="n">
        <v>3111.66</v>
      </c>
      <c r="Y559" s="13" t="n">
        <v>1909.24</v>
      </c>
      <c r="Z559" s="19" t="n"/>
      <c r="AA559" s="18" t="n"/>
      <c r="AB559" s="38" t="n">
        <v>15.3</v>
      </c>
      <c r="AC559" s="14">
        <f>IFERROR(AVERAGEIFS($E$16:$E$736,$W$16:$W$736,"&gt;="&amp;W559-$C$5,$W$16:$W$736,"&lt;="&amp;W559+$C$5,$B$16:$B$736,B559,$A$16:$A$736,"&lt;&gt;"&amp;A559),"")</f>
        <v/>
      </c>
      <c r="AD559" s="14">
        <f>IF(AND(ISNUMBER(E559),ISNUMBER(AC559)),E559-AC559,"")</f>
        <v/>
      </c>
    </row>
    <row r="560">
      <c r="A560" s="17" t="n">
        <v>45719</v>
      </c>
      <c r="B560" s="29">
        <f>MONTH(A560)</f>
        <v/>
      </c>
      <c r="C560" s="29">
        <f>IF(AND(ISNUMBER(W560),ISNUMBER($C$4),ABS(W560-$C$4)&lt;=$C$5,ABS(MOD(B560-$C$6+6,12)-6)&lt;=$C$7,OR($C$8="Any",P560=$C$8)),1,0)</f>
        <v/>
      </c>
      <c r="D560" s="29">
        <f>IF(C560=1,COUNTIF($C$16:C560,1),"")</f>
        <v/>
      </c>
      <c r="E560" s="18" t="n">
        <v>25.76</v>
      </c>
      <c r="F560" s="18" t="n">
        <v>28.78</v>
      </c>
      <c r="G560" s="18" t="n">
        <v>19.72</v>
      </c>
      <c r="H560" s="38" t="n">
        <v>0.53</v>
      </c>
      <c r="I560" s="38" t="n">
        <v>-0.7</v>
      </c>
      <c r="J560" s="13" t="n">
        <v>10873</v>
      </c>
      <c r="K560" s="13" t="n">
        <v>10699.19</v>
      </c>
      <c r="L560" s="13" t="n">
        <v>1079.62</v>
      </c>
      <c r="M560" s="13" t="n">
        <v>1345.38</v>
      </c>
      <c r="N560" s="13" t="n">
        <v>4253</v>
      </c>
      <c r="O560" s="38" t="n">
        <v>31.63</v>
      </c>
      <c r="P560" s="39" t="inlineStr">
        <is>
          <t>Windy</t>
        </is>
      </c>
      <c r="Q560" s="13" t="n">
        <v>633</v>
      </c>
      <c r="R560" s="13" t="n">
        <v>661.9299999999999</v>
      </c>
      <c r="S560" s="13" t="n">
        <v>-219.17</v>
      </c>
      <c r="T560" s="13" t="n">
        <v>10640.23</v>
      </c>
      <c r="U560" s="13" t="n">
        <v>815.74</v>
      </c>
      <c r="V560" s="13" t="n">
        <v>400.14</v>
      </c>
      <c r="W560" s="13" t="n">
        <v>1841.38</v>
      </c>
      <c r="X560" s="13" t="n">
        <v>2313.93</v>
      </c>
      <c r="Y560" s="13" t="n">
        <v>1877.16</v>
      </c>
      <c r="Z560" s="19" t="n"/>
      <c r="AA560" s="18" t="n"/>
      <c r="AB560" s="38" t="n">
        <v>15.46</v>
      </c>
      <c r="AC560" s="14">
        <f>IFERROR(AVERAGEIFS($E$16:$E$736,$W$16:$W$736,"&gt;="&amp;W560-$C$5,$W$16:$W$736,"&lt;="&amp;W560+$C$5,$B$16:$B$736,B560,$A$16:$A$736,"&lt;&gt;"&amp;A560),"")</f>
        <v/>
      </c>
      <c r="AD560" s="14">
        <f>IF(AND(ISNUMBER(E560),ISNUMBER(AC560)),E560-AC560,"")</f>
        <v/>
      </c>
    </row>
    <row r="561">
      <c r="A561" s="17" t="n">
        <v>45718</v>
      </c>
      <c r="B561" s="29">
        <f>MONTH(A561)</f>
        <v/>
      </c>
      <c r="C561" s="29">
        <f>IF(AND(ISNUMBER(W561),ISNUMBER($C$4),ABS(W561-$C$4)&lt;=$C$5,ABS(MOD(B561-$C$6+6,12)-6)&lt;=$C$7,OR($C$8="Any",P561=$C$8)),1,0)</f>
        <v/>
      </c>
      <c r="D561" s="29">
        <f>IF(C561=1,COUNTIF($C$16:C561,1),"")</f>
        <v/>
      </c>
      <c r="E561" s="18" t="n">
        <v>26.84</v>
      </c>
      <c r="F561" s="18" t="n">
        <v>23.9</v>
      </c>
      <c r="G561" s="18" t="n">
        <v>32.7</v>
      </c>
      <c r="H561" s="38" t="n">
        <v>9.029999999999999</v>
      </c>
      <c r="I561" s="38" t="n">
        <v>2.7</v>
      </c>
      <c r="J561" s="13" t="n">
        <v>10702</v>
      </c>
      <c r="K561" s="13" t="n">
        <v>10198.69</v>
      </c>
      <c r="L561" s="13" t="n">
        <v>1070.69</v>
      </c>
      <c r="M561" s="13" t="n">
        <v>1058.12</v>
      </c>
      <c r="N561" s="13" t="n">
        <v>4253</v>
      </c>
      <c r="O561" s="38" t="n">
        <v>24.88</v>
      </c>
      <c r="P561" s="39" t="inlineStr">
        <is>
          <t>Windy</t>
        </is>
      </c>
      <c r="Q561" s="13" t="n">
        <v>1527</v>
      </c>
      <c r="R561" s="13" t="n">
        <v>681.86</v>
      </c>
      <c r="S561" s="13" t="n">
        <v>-399.5</v>
      </c>
      <c r="T561" s="13" t="n">
        <v>10606.3</v>
      </c>
      <c r="U561" s="13" t="n">
        <v>806.76</v>
      </c>
      <c r="V561" s="13" t="n">
        <v>34.39</v>
      </c>
      <c r="W561" s="13" t="n">
        <v>2232.64</v>
      </c>
      <c r="X561" s="13" t="n">
        <v>2943.64</v>
      </c>
      <c r="Y561" s="13" t="n">
        <v>2370.21</v>
      </c>
      <c r="Z561" s="19" t="n"/>
      <c r="AA561" s="18" t="n"/>
      <c r="AB561" s="38" t="n">
        <v>19.79</v>
      </c>
      <c r="AC561" s="14">
        <f>IFERROR(AVERAGEIFS($E$16:$E$736,$W$16:$W$736,"&gt;="&amp;W561-$C$5,$W$16:$W$736,"&lt;="&amp;W561+$C$5,$B$16:$B$736,B561,$A$16:$A$736,"&lt;&gt;"&amp;A561),"")</f>
        <v/>
      </c>
      <c r="AD561" s="14">
        <f>IF(AND(ISNUMBER(E561),ISNUMBER(AC561)),E561-AC561,"")</f>
        <v/>
      </c>
    </row>
    <row r="562">
      <c r="A562" s="17" t="n">
        <v>45717</v>
      </c>
      <c r="B562" s="29">
        <f>MONTH(A562)</f>
        <v/>
      </c>
      <c r="C562" s="29">
        <f>IF(AND(ISNUMBER(W562),ISNUMBER($C$4),ABS(W562-$C$4)&lt;=$C$5,ABS(MOD(B562-$C$6+6,12)-6)&lt;=$C$7,OR($C$8="Any",P562=$C$8)),1,0)</f>
        <v/>
      </c>
      <c r="D562" s="29">
        <f>IF(C562=1,COUNTIF($C$16:C562,1),"")</f>
        <v/>
      </c>
      <c r="E562" s="18" t="n">
        <v>18.45</v>
      </c>
      <c r="F562" s="18" t="n">
        <v>16.82</v>
      </c>
      <c r="G562" s="18" t="n">
        <v>21.71</v>
      </c>
      <c r="H562" s="38" t="n">
        <v>9.1</v>
      </c>
      <c r="I562" s="38" t="n">
        <v>3.2</v>
      </c>
      <c r="J562" s="13" t="n">
        <v>10456</v>
      </c>
      <c r="K562" s="13" t="n">
        <v>10193.44</v>
      </c>
      <c r="L562" s="13" t="n">
        <v>1640.38</v>
      </c>
      <c r="M562" s="13" t="n">
        <v>1601.25</v>
      </c>
      <c r="N562" s="13" t="n">
        <v>4253</v>
      </c>
      <c r="O562" s="38" t="n">
        <v>37.65</v>
      </c>
      <c r="P562" s="39" t="inlineStr">
        <is>
          <t>Windy</t>
        </is>
      </c>
      <c r="Q562" s="13" t="n">
        <v>1594</v>
      </c>
      <c r="R562" s="13" t="n">
        <v>670.24</v>
      </c>
      <c r="S562" s="13" t="n">
        <v>-560.12</v>
      </c>
      <c r="T562" s="13" t="n">
        <v>10594.96</v>
      </c>
      <c r="U562" s="13" t="n">
        <v>819.36</v>
      </c>
      <c r="V562" s="13" t="n">
        <v>304.24</v>
      </c>
      <c r="W562" s="13" t="n">
        <v>2684.08</v>
      </c>
      <c r="X562" s="13" t="n">
        <v>3308.11</v>
      </c>
      <c r="Y562" s="13" t="n">
        <v>2732.29</v>
      </c>
      <c r="Z562" s="19" t="n"/>
      <c r="AA562" s="18" t="n"/>
      <c r="AB562" s="38" t="n">
        <v>22.21</v>
      </c>
      <c r="AC562" s="14">
        <f>IFERROR(AVERAGEIFS($E$16:$E$736,$W$16:$W$736,"&gt;="&amp;W562-$C$5,$W$16:$W$736,"&lt;="&amp;W562+$C$5,$B$16:$B$736,B562,$A$16:$A$736,"&lt;&gt;"&amp;A562),"")</f>
        <v/>
      </c>
      <c r="AD562" s="14">
        <f>IF(AND(ISNUMBER(E562),ISNUMBER(AC562)),E562-AC562,"")</f>
        <v/>
      </c>
    </row>
    <row r="563">
      <c r="A563" s="17" t="n">
        <v>45716</v>
      </c>
      <c r="B563" s="29">
        <f>MONTH(A563)</f>
        <v/>
      </c>
      <c r="C563" s="29">
        <f>IF(AND(ISNUMBER(W563),ISNUMBER($C$4),ABS(W563-$C$4)&lt;=$C$5,ABS(MOD(B563-$C$6+6,12)-6)&lt;=$C$7,OR($C$8="Any",P563=$C$8)),1,0)</f>
        <v/>
      </c>
      <c r="D563" s="29">
        <f>IF(C563=1,COUNTIF($C$16:C563,1),"")</f>
        <v/>
      </c>
      <c r="E563" s="18" t="n">
        <v>19.47</v>
      </c>
      <c r="F563" s="18" t="n">
        <v>18.83</v>
      </c>
      <c r="G563" s="18" t="n">
        <v>20.76</v>
      </c>
      <c r="H563" s="38" t="n">
        <v>7.9</v>
      </c>
      <c r="I563" s="38" t="n">
        <v>2.58</v>
      </c>
      <c r="J563" s="13" t="n">
        <v>10755</v>
      </c>
      <c r="K563" s="13" t="n">
        <v>10553.31</v>
      </c>
      <c r="L563" s="13" t="n">
        <v>1139.75</v>
      </c>
      <c r="M563" s="13" t="n">
        <v>1291.79</v>
      </c>
      <c r="N563" s="13" t="n">
        <v>4253</v>
      </c>
      <c r="O563" s="38" t="n">
        <v>30.37</v>
      </c>
      <c r="P563" s="39" t="inlineStr">
        <is>
          <t>Windy</t>
        </is>
      </c>
      <c r="Q563" s="13" t="n">
        <v>1468</v>
      </c>
      <c r="R563" s="13" t="n">
        <v>665.73</v>
      </c>
      <c r="S563" s="13" t="n">
        <v>-412.17</v>
      </c>
      <c r="T563" s="13" t="n">
        <v>11026.44</v>
      </c>
      <c r="U563" s="13" t="n">
        <v>806.76</v>
      </c>
      <c r="V563" s="13" t="n">
        <v>456.89</v>
      </c>
      <c r="W563" s="13" t="n">
        <v>2019.11</v>
      </c>
      <c r="X563" s="13" t="n">
        <v>3067.94</v>
      </c>
      <c r="Y563" s="13" t="n">
        <v>2047.91</v>
      </c>
      <c r="Z563" s="19" t="n"/>
      <c r="AA563" s="18" t="n"/>
      <c r="AB563" s="38" t="n">
        <v>17.98</v>
      </c>
      <c r="AC563" s="14">
        <f>IFERROR(AVERAGEIFS($E$16:$E$736,$W$16:$W$736,"&gt;="&amp;W563-$C$5,$W$16:$W$736,"&lt;="&amp;W563+$C$5,$B$16:$B$736,B563,$A$16:$A$736,"&lt;&gt;"&amp;A563),"")</f>
        <v/>
      </c>
      <c r="AD563" s="14">
        <f>IF(AND(ISNUMBER(E563),ISNUMBER(AC563)),E563-AC563,"")</f>
        <v/>
      </c>
    </row>
    <row r="564">
      <c r="A564" s="17" t="n">
        <v>45715</v>
      </c>
      <c r="B564" s="29">
        <f>MONTH(A564)</f>
        <v/>
      </c>
      <c r="C564" s="29">
        <f>IF(AND(ISNUMBER(W564),ISNUMBER($C$4),ABS(W564-$C$4)&lt;=$C$5,ABS(MOD(B564-$C$6+6,12)-6)&lt;=$C$7,OR($C$8="Any",P564=$C$8)),1,0)</f>
        <v/>
      </c>
      <c r="D564" s="29">
        <f>IF(C564=1,COUNTIF($C$16:C564,1),"")</f>
        <v/>
      </c>
      <c r="E564" s="18" t="n">
        <v>7.51</v>
      </c>
      <c r="F564" s="18" t="n">
        <v>9.93</v>
      </c>
      <c r="G564" s="18" t="n">
        <v>2.67</v>
      </c>
      <c r="H564" s="38" t="n">
        <v>9.699999999999999</v>
      </c>
      <c r="I564" s="38" t="n">
        <v>5.4</v>
      </c>
      <c r="J564" s="13" t="n">
        <v>11039</v>
      </c>
      <c r="K564" s="13" t="n">
        <v>10851.5</v>
      </c>
      <c r="L564" s="13" t="n">
        <v>3297.5</v>
      </c>
      <c r="M564" s="13" t="n">
        <v>3270.12</v>
      </c>
      <c r="N564" s="13" t="n">
        <v>4253</v>
      </c>
      <c r="O564" s="38" t="n">
        <v>76.89</v>
      </c>
      <c r="P564" s="39" t="inlineStr">
        <is>
          <t>Windy</t>
        </is>
      </c>
      <c r="Q564" s="13" t="n">
        <v>968</v>
      </c>
      <c r="R564" s="13" t="n">
        <v>658.65</v>
      </c>
      <c r="S564" s="13" t="n">
        <v>-921.08</v>
      </c>
      <c r="T564" s="13" t="n">
        <v>10963</v>
      </c>
      <c r="U564" s="13" t="n">
        <v>814.6900000000001</v>
      </c>
      <c r="V564" s="13" t="n">
        <v>173.47</v>
      </c>
      <c r="W564" s="13" t="n">
        <v>2782.32</v>
      </c>
      <c r="X564" s="13" t="n">
        <v>3956.57</v>
      </c>
      <c r="Y564" s="13" t="n">
        <v>2798.97</v>
      </c>
      <c r="Z564" s="19" t="n"/>
      <c r="AA564" s="18" t="n"/>
      <c r="AB564" s="38" t="n">
        <v>38.37</v>
      </c>
      <c r="AC564" s="14">
        <f>IFERROR(AVERAGEIFS($E$16:$E$736,$W$16:$W$736,"&gt;="&amp;W564-$C$5,$W$16:$W$736,"&lt;="&amp;W564+$C$5,$B$16:$B$736,B564,$A$16:$A$736,"&lt;&gt;"&amp;A564),"")</f>
        <v/>
      </c>
      <c r="AD564" s="14">
        <f>IF(AND(ISNUMBER(E564),ISNUMBER(AC564)),E564-AC564,"")</f>
        <v/>
      </c>
    </row>
    <row r="565">
      <c r="A565" s="17" t="n">
        <v>45714</v>
      </c>
      <c r="B565" s="29">
        <f>MONTH(A565)</f>
        <v/>
      </c>
      <c r="C565" s="29">
        <f>IF(AND(ISNUMBER(W565),ISNUMBER($C$4),ABS(W565-$C$4)&lt;=$C$5,ABS(MOD(B565-$C$6+6,12)-6)&lt;=$C$7,OR($C$8="Any",P565=$C$8)),1,0)</f>
        <v/>
      </c>
      <c r="D565" s="29">
        <f>IF(C565=1,COUNTIF($C$16:C565,1),"")</f>
        <v/>
      </c>
      <c r="E565" s="18" t="n">
        <v>11.78</v>
      </c>
      <c r="F565" s="18" t="n">
        <v>16.82</v>
      </c>
      <c r="G565" s="18" t="n">
        <v>1.68</v>
      </c>
      <c r="H565" s="38" t="n">
        <v>6.5</v>
      </c>
      <c r="I565" s="38" t="n">
        <v>3.19</v>
      </c>
      <c r="J565" s="13" t="n">
        <v>11029</v>
      </c>
      <c r="K565" s="13" t="n">
        <v>10772.19</v>
      </c>
      <c r="L565" s="13" t="n">
        <v>2521.94</v>
      </c>
      <c r="M565" s="13" t="n">
        <v>2789.62</v>
      </c>
      <c r="N565" s="13" t="n">
        <v>4253</v>
      </c>
      <c r="O565" s="38" t="n">
        <v>65.59</v>
      </c>
      <c r="P565" s="39" t="inlineStr">
        <is>
          <t>Windy</t>
        </is>
      </c>
      <c r="Q565" s="13" t="n">
        <v>1460</v>
      </c>
      <c r="R565" s="13" t="n">
        <v>653.96</v>
      </c>
      <c r="S565" s="13" t="n">
        <v>-843.08</v>
      </c>
      <c r="T565" s="13" t="n">
        <v>11077.43</v>
      </c>
      <c r="U565" s="13" t="n">
        <v>801.71</v>
      </c>
      <c r="V565" s="13" t="n">
        <v>66.98999999999999</v>
      </c>
      <c r="W565" s="13" t="n">
        <v>3331.29</v>
      </c>
      <c r="X565" s="13" t="n">
        <v>3720.87</v>
      </c>
      <c r="Y565" s="13" t="n">
        <v>3369.53</v>
      </c>
      <c r="Z565" s="19" t="n"/>
      <c r="AA565" s="18" t="n"/>
      <c r="AB565" s="38" t="n">
        <v>31.66</v>
      </c>
      <c r="AC565" s="14">
        <f>IFERROR(AVERAGEIFS($E$16:$E$736,$W$16:$W$736,"&gt;="&amp;W565-$C$5,$W$16:$W$736,"&lt;="&amp;W565+$C$5,$B$16:$B$736,B565,$A$16:$A$736,"&lt;&gt;"&amp;A565),"")</f>
        <v/>
      </c>
      <c r="AD565" s="14">
        <f>IF(AND(ISNUMBER(E565),ISNUMBER(AC565)),E565-AC565,"")</f>
        <v/>
      </c>
    </row>
    <row r="566">
      <c r="A566" s="17" t="n">
        <v>45713</v>
      </c>
      <c r="B566" s="29">
        <f>MONTH(A566)</f>
        <v/>
      </c>
      <c r="C566" s="29">
        <f>IF(AND(ISNUMBER(W566),ISNUMBER($C$4),ABS(W566-$C$4)&lt;=$C$5,ABS(MOD(B566-$C$6+6,12)-6)&lt;=$C$7,OR($C$8="Any",P566=$C$8)),1,0)</f>
        <v/>
      </c>
      <c r="D566" s="29">
        <f>IF(C566=1,COUNTIF($C$16:C566,1),"")</f>
        <v/>
      </c>
      <c r="E566" s="18" t="n">
        <v>16.42</v>
      </c>
      <c r="F566" s="18" t="n">
        <v>13.14</v>
      </c>
      <c r="G566" s="18" t="n">
        <v>22.98</v>
      </c>
      <c r="H566" s="38" t="n">
        <v>5.33</v>
      </c>
      <c r="I566" s="38" t="n">
        <v>1.51</v>
      </c>
      <c r="J566" s="13" t="n">
        <v>11149</v>
      </c>
      <c r="K566" s="13" t="n">
        <v>10780.69</v>
      </c>
      <c r="L566" s="13" t="n">
        <v>2523.06</v>
      </c>
      <c r="M566" s="13" t="n">
        <v>2400.88</v>
      </c>
      <c r="N566" s="13" t="n">
        <v>4253</v>
      </c>
      <c r="O566" s="38" t="n">
        <v>56.45</v>
      </c>
      <c r="P566" s="39" t="inlineStr">
        <is>
          <t>Windy</t>
        </is>
      </c>
      <c r="Q566" s="13" t="n">
        <v>1468</v>
      </c>
      <c r="R566" s="13" t="n">
        <v>626.51</v>
      </c>
      <c r="S566" s="13" t="n">
        <v>-660.17</v>
      </c>
      <c r="T566" s="13" t="n">
        <v>11073.1</v>
      </c>
      <c r="U566" s="13" t="n">
        <v>790.09</v>
      </c>
      <c r="V566" s="13" t="n">
        <v>57.34</v>
      </c>
      <c r="W566" s="13" t="n">
        <v>2701.57</v>
      </c>
      <c r="X566" s="13" t="n">
        <v>3903.25</v>
      </c>
      <c r="Y566" s="13" t="n">
        <v>2681.52</v>
      </c>
      <c r="Z566" s="19" t="n"/>
      <c r="AA566" s="18" t="n"/>
      <c r="AB566" s="38" t="n">
        <v>29.82</v>
      </c>
      <c r="AC566" s="14">
        <f>IFERROR(AVERAGEIFS($E$16:$E$736,$W$16:$W$736,"&gt;="&amp;W566-$C$5,$W$16:$W$736,"&lt;="&amp;W566+$C$5,$B$16:$B$736,B566,$A$16:$A$736,"&lt;&gt;"&amp;A566),"")</f>
        <v/>
      </c>
      <c r="AD566" s="14">
        <f>IF(AND(ISNUMBER(E566),ISNUMBER(AC566)),E566-AC566,"")</f>
        <v/>
      </c>
    </row>
    <row r="567">
      <c r="A567" s="17" t="n">
        <v>45712</v>
      </c>
      <c r="B567" s="29">
        <f>MONTH(A567)</f>
        <v/>
      </c>
      <c r="C567" s="29">
        <f>IF(AND(ISNUMBER(W567),ISNUMBER($C$4),ABS(W567-$C$4)&lt;=$C$5,ABS(MOD(B567-$C$6+6,12)-6)&lt;=$C$7,OR($C$8="Any",P567=$C$8)),1,0)</f>
        <v/>
      </c>
      <c r="D567" s="29">
        <f>IF(C567=1,COUNTIF($C$16:C567,1),"")</f>
        <v/>
      </c>
      <c r="E567" s="18" t="n">
        <v>20.94</v>
      </c>
      <c r="F567" s="18" t="n">
        <v>20.71</v>
      </c>
      <c r="G567" s="18" t="n">
        <v>21.39</v>
      </c>
      <c r="H567" s="38" t="n">
        <v>6.57</v>
      </c>
      <c r="I567" s="38" t="n">
        <v>2.45</v>
      </c>
      <c r="J567" s="13" t="n">
        <v>11017</v>
      </c>
      <c r="K567" s="13" t="n">
        <v>10797.56</v>
      </c>
      <c r="L567" s="13" t="n">
        <v>2371.12</v>
      </c>
      <c r="M567" s="13" t="n">
        <v>2198.5</v>
      </c>
      <c r="N567" s="13" t="n">
        <v>4253</v>
      </c>
      <c r="O567" s="38" t="n">
        <v>51.69</v>
      </c>
      <c r="P567" s="39" t="inlineStr">
        <is>
          <t>Windy</t>
        </is>
      </c>
      <c r="Q567" s="13" t="n">
        <v>1363</v>
      </c>
      <c r="R567" s="13" t="n">
        <v>621.78</v>
      </c>
      <c r="S567" s="13" t="n">
        <v>-651.08</v>
      </c>
      <c r="T567" s="13" t="n">
        <v>11110.47</v>
      </c>
      <c r="U567" s="13" t="n">
        <v>805.28</v>
      </c>
      <c r="V567" s="13" t="n">
        <v>77.02</v>
      </c>
      <c r="W567" s="13" t="n">
        <v>2242.52</v>
      </c>
      <c r="X567" s="13" t="n">
        <v>3699.48</v>
      </c>
      <c r="Y567" s="13" t="n">
        <v>2256.14</v>
      </c>
      <c r="Z567" s="19" t="n"/>
      <c r="AA567" s="18" t="n"/>
      <c r="AB567" s="38" t="n">
        <v>26.22</v>
      </c>
      <c r="AC567" s="14">
        <f>IFERROR(AVERAGEIFS($E$16:$E$736,$W$16:$W$736,"&gt;="&amp;W567-$C$5,$W$16:$W$736,"&lt;="&amp;W567+$C$5,$B$16:$B$736,B567,$A$16:$A$736,"&lt;&gt;"&amp;A567),"")</f>
        <v/>
      </c>
      <c r="AD567" s="14">
        <f>IF(AND(ISNUMBER(E567),ISNUMBER(AC567)),E567-AC567,"")</f>
        <v/>
      </c>
    </row>
    <row r="568">
      <c r="A568" s="17" t="n">
        <v>45711</v>
      </c>
      <c r="B568" s="29">
        <f>MONTH(A568)</f>
        <v/>
      </c>
      <c r="C568" s="29">
        <f>IF(AND(ISNUMBER(W568),ISNUMBER($C$4),ABS(W568-$C$4)&lt;=$C$5,ABS(MOD(B568-$C$6+6,12)-6)&lt;=$C$7,OR($C$8="Any",P568=$C$8)),1,0)</f>
        <v/>
      </c>
      <c r="D568" s="29">
        <f>IF(C568=1,COUNTIF($C$16:C568,1),"")</f>
        <v/>
      </c>
      <c r="E568" s="18" t="n">
        <v>1.45</v>
      </c>
      <c r="F568" s="18" t="n">
        <v>1.93</v>
      </c>
      <c r="G568" s="18" t="n">
        <v>0.48</v>
      </c>
      <c r="H568" s="38" t="n">
        <v>8.07</v>
      </c>
      <c r="I568" s="38" t="n">
        <v>5.02</v>
      </c>
      <c r="J568" s="13" t="n">
        <v>11070</v>
      </c>
      <c r="K568" s="13" t="n">
        <v>10470.75</v>
      </c>
      <c r="L568" s="13" t="n">
        <v>3519</v>
      </c>
      <c r="M568" s="13" t="n">
        <v>3446.21</v>
      </c>
      <c r="N568" s="13" t="n">
        <v>4229.25</v>
      </c>
      <c r="O568" s="38" t="n">
        <v>81.48999999999999</v>
      </c>
      <c r="P568" s="39" t="inlineStr">
        <is>
          <t>Windy</t>
        </is>
      </c>
      <c r="Q568" s="13" t="n">
        <v>927</v>
      </c>
      <c r="R568" s="13" t="n">
        <v>614.89</v>
      </c>
      <c r="S568" s="13" t="n">
        <v>-915.46</v>
      </c>
      <c r="T568" s="13" t="n">
        <v>10869.05</v>
      </c>
      <c r="U568" s="13" t="n">
        <v>721.95</v>
      </c>
      <c r="V568" s="13" t="n">
        <v>268.06</v>
      </c>
      <c r="W568" s="13" t="n">
        <v>3948.72</v>
      </c>
      <c r="X568" s="13" t="n">
        <v>4363.17</v>
      </c>
      <c r="Y568" s="13" t="n">
        <v>4045.54</v>
      </c>
      <c r="Z568" s="19" t="n"/>
      <c r="AA568" s="18" t="n"/>
      <c r="AB568" s="38" t="n">
        <v>37.03</v>
      </c>
      <c r="AC568" s="14">
        <f>IFERROR(AVERAGEIFS($E$16:$E$736,$W$16:$W$736,"&gt;="&amp;W568-$C$5,$W$16:$W$736,"&lt;="&amp;W568+$C$5,$B$16:$B$736,B568,$A$16:$A$736,"&lt;&gt;"&amp;A568),"")</f>
        <v/>
      </c>
      <c r="AD568" s="14">
        <f>IF(AND(ISNUMBER(E568),ISNUMBER(AC568)),E568-AC568,"")</f>
        <v/>
      </c>
    </row>
    <row r="569">
      <c r="A569" s="17" t="n">
        <v>45710</v>
      </c>
      <c r="B569" s="29">
        <f>MONTH(A569)</f>
        <v/>
      </c>
      <c r="C569" s="29">
        <f>IF(AND(ISNUMBER(W569),ISNUMBER($C$4),ABS(W569-$C$4)&lt;=$C$5,ABS(MOD(B569-$C$6+6,12)-6)&lt;=$C$7,OR($C$8="Any",P569=$C$8)),1,0)</f>
        <v/>
      </c>
      <c r="D569" s="29">
        <f>IF(C569=1,COUNTIF($C$16:C569,1),"")</f>
        <v/>
      </c>
      <c r="E569" s="18" t="n">
        <v>7.04</v>
      </c>
      <c r="F569" s="18" t="n">
        <v>6.07</v>
      </c>
      <c r="G569" s="18" t="n">
        <v>8.98</v>
      </c>
      <c r="H569" s="38" t="n">
        <v>5.43</v>
      </c>
      <c r="I569" s="38" t="n">
        <v>2.2</v>
      </c>
      <c r="J569" s="13" t="n">
        <v>10772</v>
      </c>
      <c r="K569" s="13" t="n">
        <v>10513.31</v>
      </c>
      <c r="L569" s="13" t="n">
        <v>3074.69</v>
      </c>
      <c r="M569" s="13" t="n">
        <v>3015.71</v>
      </c>
      <c r="N569" s="13" t="n">
        <v>4223</v>
      </c>
      <c r="O569" s="38" t="n">
        <v>71.41</v>
      </c>
      <c r="P569" s="39" t="inlineStr">
        <is>
          <t>Windy</t>
        </is>
      </c>
      <c r="Q569" s="13" t="n">
        <v>1171</v>
      </c>
      <c r="R569" s="13" t="n">
        <v>601.4</v>
      </c>
      <c r="S569" s="13" t="n">
        <v>-907.79</v>
      </c>
      <c r="T569" s="13" t="n">
        <v>11133.34</v>
      </c>
      <c r="U569" s="13" t="n">
        <v>719.0599999999999</v>
      </c>
      <c r="V569" s="13" t="n">
        <v>182.35</v>
      </c>
      <c r="W569" s="13" t="n">
        <v>3452.11</v>
      </c>
      <c r="X569" s="13" t="n">
        <v>4271.16</v>
      </c>
      <c r="Y569" s="13" t="n">
        <v>3527.47</v>
      </c>
      <c r="Z569" s="19" t="n"/>
      <c r="AA569" s="18" t="n"/>
      <c r="AB569" s="38" t="n">
        <v>30.34</v>
      </c>
      <c r="AC569" s="14">
        <f>IFERROR(AVERAGEIFS($E$16:$E$736,$W$16:$W$736,"&gt;="&amp;W569-$C$5,$W$16:$W$736,"&lt;="&amp;W569+$C$5,$B$16:$B$736,B569,$A$16:$A$736,"&lt;&gt;"&amp;A569),"")</f>
        <v/>
      </c>
      <c r="AD569" s="14">
        <f>IF(AND(ISNUMBER(E569),ISNUMBER(AC569)),E569-AC569,"")</f>
        <v/>
      </c>
    </row>
    <row r="570">
      <c r="A570" s="17" t="n">
        <v>45709</v>
      </c>
      <c r="B570" s="29">
        <f>MONTH(A570)</f>
        <v/>
      </c>
      <c r="C570" s="29">
        <f>IF(AND(ISNUMBER(W570),ISNUMBER($C$4),ABS(W570-$C$4)&lt;=$C$5,ABS(MOD(B570-$C$6+6,12)-6)&lt;=$C$7,OR($C$8="Any",P570=$C$8)),1,0)</f>
        <v/>
      </c>
      <c r="D570" s="29">
        <f>IF(C570=1,COUNTIF($C$16:C570,1),"")</f>
        <v/>
      </c>
      <c r="E570" s="18" t="n">
        <v>13.79</v>
      </c>
      <c r="F570" s="18" t="n">
        <v>18.83</v>
      </c>
      <c r="G570" s="18" t="n">
        <v>3.72</v>
      </c>
      <c r="H570" s="38" t="n">
        <v>2.93</v>
      </c>
      <c r="I570" s="38" t="n">
        <v>0.5600000000000001</v>
      </c>
      <c r="J570" s="13" t="n">
        <v>11162</v>
      </c>
      <c r="K570" s="13" t="n">
        <v>10994.88</v>
      </c>
      <c r="L570" s="13" t="n">
        <v>2800.88</v>
      </c>
      <c r="M570" s="13" t="n">
        <v>2841.75</v>
      </c>
      <c r="N570" s="13" t="n">
        <v>4223</v>
      </c>
      <c r="O570" s="38" t="n">
        <v>67.29000000000001</v>
      </c>
      <c r="P570" s="39" t="inlineStr">
        <is>
          <t>Windy</t>
        </is>
      </c>
      <c r="Q570" s="13" t="n">
        <v>1013</v>
      </c>
      <c r="R570" s="13" t="n">
        <v>622.48</v>
      </c>
      <c r="S570" s="13" t="n">
        <v>-908.67</v>
      </c>
      <c r="T570" s="13" t="n">
        <v>11231.7</v>
      </c>
      <c r="U570" s="13" t="n">
        <v>723.67</v>
      </c>
      <c r="V570" s="13" t="n">
        <v>77.02</v>
      </c>
      <c r="W570" s="13" t="n">
        <v>2866.04</v>
      </c>
      <c r="X570" s="13" t="n">
        <v>3492.76</v>
      </c>
      <c r="Y570" s="13" t="n">
        <v>2935.68</v>
      </c>
      <c r="Z570" s="19" t="n"/>
      <c r="AA570" s="18" t="n"/>
      <c r="AB570" s="38" t="n">
        <v>37.06</v>
      </c>
      <c r="AC570" s="14">
        <f>IFERROR(AVERAGEIFS($E$16:$E$736,$W$16:$W$736,"&gt;="&amp;W570-$C$5,$W$16:$W$736,"&lt;="&amp;W570+$C$5,$B$16:$B$736,B570,$A$16:$A$736,"&lt;&gt;"&amp;A570),"")</f>
        <v/>
      </c>
      <c r="AD570" s="14">
        <f>IF(AND(ISNUMBER(E570),ISNUMBER(AC570)),E570-AC570,"")</f>
        <v/>
      </c>
    </row>
    <row r="571">
      <c r="A571" s="17" t="n">
        <v>45708</v>
      </c>
      <c r="B571" s="29">
        <f>MONTH(A571)</f>
        <v/>
      </c>
      <c r="C571" s="29">
        <f>IF(AND(ISNUMBER(W571),ISNUMBER($C$4),ABS(W571-$C$4)&lt;=$C$5,ABS(MOD(B571-$C$6+6,12)-6)&lt;=$C$7,OR($C$8="Any",P571=$C$8)),1,0)</f>
        <v/>
      </c>
      <c r="D571" s="29">
        <f>IF(C571=1,COUNTIF($C$16:C571,1),"")</f>
        <v/>
      </c>
      <c r="E571" s="18" t="n">
        <v>28.43</v>
      </c>
      <c r="F571" s="18" t="n">
        <v>32.09</v>
      </c>
      <c r="G571" s="18" t="n">
        <v>21.11</v>
      </c>
      <c r="H571" s="38" t="n">
        <v>2.07</v>
      </c>
      <c r="I571" s="38" t="n">
        <v>-5.27</v>
      </c>
      <c r="J571" s="13" t="n">
        <v>11603</v>
      </c>
      <c r="K571" s="13" t="n">
        <v>11232.75</v>
      </c>
      <c r="L571" s="13" t="n">
        <v>1933</v>
      </c>
      <c r="M571" s="13" t="n">
        <v>2103.54</v>
      </c>
      <c r="N571" s="13" t="n">
        <v>4223</v>
      </c>
      <c r="O571" s="38" t="n">
        <v>49.81</v>
      </c>
      <c r="P571" s="39" t="inlineStr">
        <is>
          <t>Windy</t>
        </is>
      </c>
      <c r="Q571" s="13" t="n">
        <v>1284</v>
      </c>
      <c r="R571" s="13" t="n">
        <v>633.59</v>
      </c>
      <c r="S571" s="13" t="n">
        <v>-580.46</v>
      </c>
      <c r="T571" s="13" t="n">
        <v>11299.25</v>
      </c>
      <c r="U571" s="13" t="n">
        <v>692.67</v>
      </c>
      <c r="V571" s="13" t="n">
        <v>134.69</v>
      </c>
      <c r="W571" s="13" t="n">
        <v>2073.59</v>
      </c>
      <c r="X571" s="13" t="n">
        <v>2946.37</v>
      </c>
      <c r="Y571" s="13" t="n">
        <v>2194.33</v>
      </c>
      <c r="Z571" s="19" t="n"/>
      <c r="AA571" s="18" t="n"/>
      <c r="AB571" s="38" t="n">
        <v>31.67</v>
      </c>
      <c r="AC571" s="14">
        <f>IFERROR(AVERAGEIFS($E$16:$E$736,$W$16:$W$736,"&gt;="&amp;W571-$C$5,$W$16:$W$736,"&lt;="&amp;W571+$C$5,$B$16:$B$736,B571,$A$16:$A$736,"&lt;&gt;"&amp;A571),"")</f>
        <v/>
      </c>
      <c r="AD571" s="14">
        <f>IF(AND(ISNUMBER(E571),ISNUMBER(AC571)),E571-AC571,"")</f>
        <v/>
      </c>
    </row>
    <row r="572">
      <c r="A572" s="17" t="n">
        <v>45707</v>
      </c>
      <c r="B572" s="29">
        <f>MONTH(A572)</f>
        <v/>
      </c>
      <c r="C572" s="29">
        <f>IF(AND(ISNUMBER(W572),ISNUMBER($C$4),ABS(W572-$C$4)&lt;=$C$5,ABS(MOD(B572-$C$6+6,12)-6)&lt;=$C$7,OR($C$8="Any",P572=$C$8)),1,0)</f>
        <v/>
      </c>
      <c r="D572" s="29">
        <f>IF(C572=1,COUNTIF($C$16:C572,1),"")</f>
        <v/>
      </c>
      <c r="E572" s="18" t="n">
        <v>29.17</v>
      </c>
      <c r="F572" s="18" t="n">
        <v>25.87</v>
      </c>
      <c r="G572" s="18" t="n">
        <v>35.78</v>
      </c>
      <c r="H572" s="38" t="n">
        <v>-12.77</v>
      </c>
      <c r="I572" s="38" t="n">
        <v>-19.2</v>
      </c>
      <c r="J572" s="13" t="n">
        <v>12160</v>
      </c>
      <c r="K572" s="13" t="n">
        <v>11911.81</v>
      </c>
      <c r="L572" s="13" t="n">
        <v>2801.31</v>
      </c>
      <c r="M572" s="13" t="n">
        <v>2698.88</v>
      </c>
      <c r="N572" s="13" t="n">
        <v>4223</v>
      </c>
      <c r="O572" s="38" t="n">
        <v>63.91</v>
      </c>
      <c r="P572" s="39" t="inlineStr">
        <is>
          <t>Windy</t>
        </is>
      </c>
      <c r="Q572" s="13" t="n">
        <v>920</v>
      </c>
      <c r="R572" s="13" t="n">
        <v>623.6</v>
      </c>
      <c r="S572" s="13" t="n">
        <v>-800.96</v>
      </c>
      <c r="T572" s="13" t="n">
        <v>11236.67</v>
      </c>
      <c r="U572" s="13" t="n">
        <v>720.9</v>
      </c>
      <c r="V572" s="13" t="n">
        <v>294.79</v>
      </c>
      <c r="W572" s="13" t="n">
        <v>1922.93</v>
      </c>
      <c r="X572" s="13" t="n">
        <v>2704.95</v>
      </c>
      <c r="Y572" s="13" t="n">
        <v>1981.77</v>
      </c>
      <c r="Z572" s="19" t="n"/>
      <c r="AA572" s="18" t="n"/>
      <c r="AB572" s="38" t="n">
        <v>20.96</v>
      </c>
      <c r="AC572" s="14">
        <f>IFERROR(AVERAGEIFS($E$16:$E$736,$W$16:$W$736,"&gt;="&amp;W572-$C$5,$W$16:$W$736,"&lt;="&amp;W572+$C$5,$B$16:$B$736,B572,$A$16:$A$736,"&lt;&gt;"&amp;A572),"")</f>
        <v/>
      </c>
      <c r="AD572" s="14">
        <f>IF(AND(ISNUMBER(E572),ISNUMBER(AC572)),E572-AC572,"")</f>
        <v/>
      </c>
    </row>
    <row r="573">
      <c r="A573" s="17" t="n">
        <v>45706</v>
      </c>
      <c r="B573" s="29">
        <f>MONTH(A573)</f>
        <v/>
      </c>
      <c r="C573" s="29">
        <f>IF(AND(ISNUMBER(W573),ISNUMBER($C$4),ABS(W573-$C$4)&lt;=$C$5,ABS(MOD(B573-$C$6+6,12)-6)&lt;=$C$7,OR($C$8="Any",P573=$C$8)),1,0)</f>
        <v/>
      </c>
      <c r="D573" s="29">
        <f>IF(C573=1,COUNTIF($C$16:C573,1),"")</f>
        <v/>
      </c>
      <c r="E573" s="18" t="n">
        <v>43.38</v>
      </c>
      <c r="F573" s="18" t="n">
        <v>47.19</v>
      </c>
      <c r="G573" s="18" t="n">
        <v>35.78</v>
      </c>
      <c r="H573" s="38" t="n">
        <v>-21.47</v>
      </c>
      <c r="I573" s="38" t="n">
        <v>-24.79</v>
      </c>
      <c r="J573" s="13" t="n">
        <v>12164</v>
      </c>
      <c r="K573" s="13" t="n">
        <v>11863</v>
      </c>
      <c r="L573" s="13" t="n">
        <v>1359.69</v>
      </c>
      <c r="M573" s="13" t="n">
        <v>1354</v>
      </c>
      <c r="N573" s="13" t="n">
        <v>4223</v>
      </c>
      <c r="O573" s="38" t="n">
        <v>32.06</v>
      </c>
      <c r="P573" s="39" t="inlineStr">
        <is>
          <t>Windy</t>
        </is>
      </c>
      <c r="Q573" s="13" t="n">
        <v>758</v>
      </c>
      <c r="R573" s="13" t="n">
        <v>628.63</v>
      </c>
      <c r="S573" s="13" t="n">
        <v>-469.62</v>
      </c>
      <c r="T573" s="13" t="n">
        <v>11613.71</v>
      </c>
      <c r="U573" s="13" t="n">
        <v>702.95</v>
      </c>
      <c r="V573" s="13" t="n">
        <v>48.72</v>
      </c>
      <c r="W573" s="13" t="n">
        <v>1378.5</v>
      </c>
      <c r="X573" s="13" t="n">
        <v>1972.67</v>
      </c>
      <c r="Y573" s="13" t="n">
        <v>1450.12</v>
      </c>
      <c r="Z573" s="19" t="n"/>
      <c r="AA573" s="18" t="n"/>
      <c r="AB573" s="38" t="n">
        <v>16.3</v>
      </c>
      <c r="AC573" s="14">
        <f>IFERROR(AVERAGEIFS($E$16:$E$736,$W$16:$W$736,"&gt;="&amp;W573-$C$5,$W$16:$W$736,"&lt;="&amp;W573+$C$5,$B$16:$B$736,B573,$A$16:$A$736,"&lt;&gt;"&amp;A573),"")</f>
        <v/>
      </c>
      <c r="AD573" s="14">
        <f>IF(AND(ISNUMBER(E573),ISNUMBER(AC573)),E573-AC573,"")</f>
        <v/>
      </c>
    </row>
    <row r="574">
      <c r="A574" s="17" t="n">
        <v>45705</v>
      </c>
      <c r="B574" s="29">
        <f>MONTH(A574)</f>
        <v/>
      </c>
      <c r="C574" s="29">
        <f>IF(AND(ISNUMBER(W574),ISNUMBER($C$4),ABS(W574-$C$4)&lt;=$C$5,ABS(MOD(B574-$C$6+6,12)-6)&lt;=$C$7,OR($C$8="Any",P574=$C$8)),1,0)</f>
        <v/>
      </c>
      <c r="D574" s="29">
        <f>IF(C574=1,COUNTIF($C$16:C574,1),"")</f>
        <v/>
      </c>
      <c r="E574" s="18" t="n">
        <v>24.41</v>
      </c>
      <c r="F574" s="18" t="n">
        <v>24.4</v>
      </c>
      <c r="G574" s="18" t="n">
        <v>24.44</v>
      </c>
      <c r="H574" s="38" t="n">
        <v>-19.37</v>
      </c>
      <c r="I574" s="38" t="n">
        <v>-22.91</v>
      </c>
      <c r="J574" s="13" t="n">
        <v>12051</v>
      </c>
      <c r="K574" s="13" t="n">
        <v>11651.12</v>
      </c>
      <c r="L574" s="13" t="n">
        <v>2090.75</v>
      </c>
      <c r="M574" s="13" t="n">
        <v>2018.96</v>
      </c>
      <c r="N574" s="13" t="n">
        <v>4223</v>
      </c>
      <c r="O574" s="38" t="n">
        <v>47.81</v>
      </c>
      <c r="P574" s="39" t="inlineStr">
        <is>
          <t>Windy</t>
        </is>
      </c>
      <c r="Q574" s="13" t="n">
        <v>945</v>
      </c>
      <c r="R574" s="13" t="n">
        <v>661.9</v>
      </c>
      <c r="S574" s="13" t="n">
        <v>-876.83</v>
      </c>
      <c r="T574" s="13" t="n">
        <v>11684.06</v>
      </c>
      <c r="U574" s="13" t="n">
        <v>701.41</v>
      </c>
      <c r="V574" s="13" t="n">
        <v>298.41</v>
      </c>
      <c r="W574" s="13" t="n">
        <v>2217.73</v>
      </c>
      <c r="X574" s="13" t="n">
        <v>2558.53</v>
      </c>
      <c r="Y574" s="13" t="n">
        <v>2361.45</v>
      </c>
      <c r="Z574" s="19" t="n"/>
      <c r="AA574" s="18" t="n"/>
      <c r="AB574" s="38" t="n">
        <v>16.84</v>
      </c>
      <c r="AC574" s="14">
        <f>IFERROR(AVERAGEIFS($E$16:$E$736,$W$16:$W$736,"&gt;="&amp;W574-$C$5,$W$16:$W$736,"&lt;="&amp;W574+$C$5,$B$16:$B$736,B574,$A$16:$A$736,"&lt;&gt;"&amp;A574),"")</f>
        <v/>
      </c>
      <c r="AD574" s="14">
        <f>IF(AND(ISNUMBER(E574),ISNUMBER(AC574)),E574-AC574,"")</f>
        <v/>
      </c>
    </row>
    <row r="575">
      <c r="A575" s="17" t="n">
        <v>45704</v>
      </c>
      <c r="B575" s="29">
        <f>MONTH(A575)</f>
        <v/>
      </c>
      <c r="C575" s="29">
        <f>IF(AND(ISNUMBER(W575),ISNUMBER($C$4),ABS(W575-$C$4)&lt;=$C$5,ABS(MOD(B575-$C$6+6,12)-6)&lt;=$C$7,OR($C$8="Any",P575=$C$8)),1,0)</f>
        <v/>
      </c>
      <c r="D575" s="29">
        <f>IF(C575=1,COUNTIF($C$16:C575,1),"")</f>
        <v/>
      </c>
      <c r="E575" s="18" t="n">
        <v>43.33</v>
      </c>
      <c r="F575" s="18" t="n">
        <v>44.57</v>
      </c>
      <c r="G575" s="18" t="n">
        <v>40.85</v>
      </c>
      <c r="H575" s="38" t="n">
        <v>-17.93</v>
      </c>
      <c r="I575" s="38" t="n">
        <v>-22.6</v>
      </c>
      <c r="J575" s="13" t="n">
        <v>11784</v>
      </c>
      <c r="K575" s="13" t="n">
        <v>11383.56</v>
      </c>
      <c r="L575" s="13" t="n">
        <v>638.75</v>
      </c>
      <c r="M575" s="13" t="n">
        <v>529.75</v>
      </c>
      <c r="N575" s="13" t="n">
        <v>4223</v>
      </c>
      <c r="O575" s="38" t="n">
        <v>12.54</v>
      </c>
      <c r="P575" s="39" t="inlineStr">
        <is>
          <t>Calm</t>
        </is>
      </c>
      <c r="Q575" s="13" t="n">
        <v>604</v>
      </c>
      <c r="R575" s="13" t="n">
        <v>661.8200000000001</v>
      </c>
      <c r="S575" s="13" t="n">
        <v>-154.04</v>
      </c>
      <c r="T575" s="13" t="n">
        <v>11676.49</v>
      </c>
      <c r="U575" s="13" t="n">
        <v>705.4</v>
      </c>
      <c r="V575" s="13" t="n">
        <v>70.93000000000001</v>
      </c>
      <c r="W575" s="13" t="n">
        <v>1419.76</v>
      </c>
      <c r="X575" s="13" t="n">
        <v>1951.29</v>
      </c>
      <c r="Y575" s="13" t="n">
        <v>1635.26</v>
      </c>
      <c r="Z575" s="19" t="n"/>
      <c r="AA575" s="18" t="n"/>
      <c r="AB575" s="38" t="n">
        <v>12.85</v>
      </c>
      <c r="AC575" s="14">
        <f>IFERROR(AVERAGEIFS($E$16:$E$736,$W$16:$W$736,"&gt;="&amp;W575-$C$5,$W$16:$W$736,"&lt;="&amp;W575+$C$5,$B$16:$B$736,B575,$A$16:$A$736,"&lt;&gt;"&amp;A575),"")</f>
        <v/>
      </c>
      <c r="AD575" s="14">
        <f>IF(AND(ISNUMBER(E575),ISNUMBER(AC575)),E575-AC575,"")</f>
        <v/>
      </c>
    </row>
    <row r="576">
      <c r="A576" s="17" t="n">
        <v>45703</v>
      </c>
      <c r="B576" s="29">
        <f>MONTH(A576)</f>
        <v/>
      </c>
      <c r="C576" s="29">
        <f>IF(AND(ISNUMBER(W576),ISNUMBER($C$4),ABS(W576-$C$4)&lt;=$C$5,ABS(MOD(B576-$C$6+6,12)-6)&lt;=$C$7,OR($C$8="Any",P576=$C$8)),1,0)</f>
        <v/>
      </c>
      <c r="D576" s="29">
        <f>IF(C576=1,COUNTIF($C$16:C576,1),"")</f>
        <v/>
      </c>
      <c r="E576" s="18" t="n">
        <v>58.11</v>
      </c>
      <c r="F576" s="18" t="n">
        <v>59.92</v>
      </c>
      <c r="G576" s="18" t="n">
        <v>54.48</v>
      </c>
      <c r="H576" s="38" t="n">
        <v>-17.93</v>
      </c>
      <c r="I576" s="38" t="n">
        <v>-22.28</v>
      </c>
      <c r="J576" s="13" t="n">
        <v>11691</v>
      </c>
      <c r="K576" s="13" t="n">
        <v>11460.88</v>
      </c>
      <c r="L576" s="13" t="n">
        <v>226.81</v>
      </c>
      <c r="M576" s="13" t="n">
        <v>179.25</v>
      </c>
      <c r="N576" s="13" t="n">
        <v>4223</v>
      </c>
      <c r="O576" s="38" t="n">
        <v>4.24</v>
      </c>
      <c r="P576" s="39" t="inlineStr">
        <is>
          <t>Calm</t>
        </is>
      </c>
      <c r="Q576" s="13" t="n">
        <v>669</v>
      </c>
      <c r="R576" s="13" t="n">
        <v>661.8200000000001</v>
      </c>
      <c r="S576" s="13" t="n">
        <v>120.42</v>
      </c>
      <c r="T576" s="13" t="n">
        <v>11384.89</v>
      </c>
      <c r="U576" s="13" t="n">
        <v>737.5700000000001</v>
      </c>
      <c r="V576" s="13" t="n">
        <v>101.38</v>
      </c>
      <c r="W576" s="13" t="n">
        <v>1324.19</v>
      </c>
      <c r="X576" s="13" t="n">
        <v>1541.23</v>
      </c>
      <c r="Y576" s="13" t="n">
        <v>1432.44</v>
      </c>
      <c r="Z576" s="19" t="n"/>
      <c r="AA576" s="18" t="n"/>
      <c r="AB576" s="38" t="n">
        <v>7.66</v>
      </c>
      <c r="AC576" s="14">
        <f>IFERROR(AVERAGEIFS($E$16:$E$736,$W$16:$W$736,"&gt;="&amp;W576-$C$5,$W$16:$W$736,"&lt;="&amp;W576+$C$5,$B$16:$B$736,B576,$A$16:$A$736,"&lt;&gt;"&amp;A576),"")</f>
        <v/>
      </c>
      <c r="AD576" s="14">
        <f>IF(AND(ISNUMBER(E576),ISNUMBER(AC576)),E576-AC576,"")</f>
        <v/>
      </c>
    </row>
    <row r="577">
      <c r="A577" s="17" t="n">
        <v>45702</v>
      </c>
      <c r="B577" s="29">
        <f>MONTH(A577)</f>
        <v/>
      </c>
      <c r="C577" s="29">
        <f>IF(AND(ISNUMBER(W577),ISNUMBER($C$4),ABS(W577-$C$4)&lt;=$C$5,ABS(MOD(B577-$C$6+6,12)-6)&lt;=$C$7,OR($C$8="Any",P577=$C$8)),1,0)</f>
        <v/>
      </c>
      <c r="D577" s="29">
        <f>IF(C577=1,COUNTIF($C$16:C577,1),"")</f>
        <v/>
      </c>
      <c r="E577" s="18" t="n">
        <v>45.81</v>
      </c>
      <c r="F577" s="18" t="n">
        <v>46.52</v>
      </c>
      <c r="G577" s="18" t="n">
        <v>44.4</v>
      </c>
      <c r="H577" s="38" t="n">
        <v>-18.23</v>
      </c>
      <c r="I577" s="38" t="n">
        <v>-19.77</v>
      </c>
      <c r="J577" s="13" t="n">
        <v>12018</v>
      </c>
      <c r="K577" s="13" t="n">
        <v>11824.19</v>
      </c>
      <c r="L577" s="13" t="n">
        <v>634.0599999999999</v>
      </c>
      <c r="M577" s="13" t="n">
        <v>625.38</v>
      </c>
      <c r="N577" s="13" t="n">
        <v>4223</v>
      </c>
      <c r="O577" s="38" t="n">
        <v>14.81</v>
      </c>
      <c r="P577" s="39" t="inlineStr">
        <is>
          <t>Calm</t>
        </is>
      </c>
      <c r="Q577" s="13" t="n">
        <v>608</v>
      </c>
      <c r="R577" s="13" t="n">
        <v>672.1799999999999</v>
      </c>
      <c r="S577" s="13" t="n">
        <v>-13.88</v>
      </c>
      <c r="T577" s="13" t="n">
        <v>11392.38</v>
      </c>
      <c r="U577" s="13" t="n">
        <v>827.05</v>
      </c>
      <c r="V577" s="13" t="n">
        <v>81.34</v>
      </c>
      <c r="W577" s="13" t="n">
        <v>1297.41</v>
      </c>
      <c r="X577" s="13" t="n">
        <v>1566.33</v>
      </c>
      <c r="Y577" s="13" t="n">
        <v>1304.84</v>
      </c>
      <c r="Z577" s="19" t="n"/>
      <c r="AA577" s="18" t="n"/>
      <c r="AB577" s="38" t="n">
        <v>11.19</v>
      </c>
      <c r="AC577" s="14">
        <f>IFERROR(AVERAGEIFS($E$16:$E$736,$W$16:$W$736,"&gt;="&amp;W577-$C$5,$W$16:$W$736,"&lt;="&amp;W577+$C$5,$B$16:$B$736,B577,$A$16:$A$736,"&lt;&gt;"&amp;A577),"")</f>
        <v/>
      </c>
      <c r="AD577" s="14">
        <f>IF(AND(ISNUMBER(E577),ISNUMBER(AC577)),E577-AC577,"")</f>
        <v/>
      </c>
    </row>
    <row r="578">
      <c r="A578" s="17" t="n">
        <v>45701</v>
      </c>
      <c r="B578" s="29">
        <f>MONTH(A578)</f>
        <v/>
      </c>
      <c r="C578" s="29">
        <f>IF(AND(ISNUMBER(W578),ISNUMBER($C$4),ABS(W578-$C$4)&lt;=$C$5,ABS(MOD(B578-$C$6+6,12)-6)&lt;=$C$7,OR($C$8="Any",P578=$C$8)),1,0)</f>
        <v/>
      </c>
      <c r="D578" s="29">
        <f>IF(C578=1,COUNTIF($C$16:C578,1),"")</f>
        <v/>
      </c>
      <c r="E578" s="18" t="n">
        <v>48.35</v>
      </c>
      <c r="F578" s="18" t="n">
        <v>56.55</v>
      </c>
      <c r="G578" s="18" t="n">
        <v>31.96</v>
      </c>
      <c r="H578" s="38" t="n">
        <v>-12.27</v>
      </c>
      <c r="I578" s="38" t="n">
        <v>-16.23</v>
      </c>
      <c r="J578" s="13" t="n">
        <v>11987</v>
      </c>
      <c r="K578" s="13" t="n">
        <v>11680.81</v>
      </c>
      <c r="L578" s="13" t="n">
        <v>497.19</v>
      </c>
      <c r="M578" s="13" t="n">
        <v>732.21</v>
      </c>
      <c r="N578" s="13" t="n">
        <v>4223</v>
      </c>
      <c r="O578" s="38" t="n">
        <v>17.34</v>
      </c>
      <c r="P578" s="39" t="inlineStr">
        <is>
          <t>Windy</t>
        </is>
      </c>
      <c r="Q578" s="13" t="n">
        <v>940</v>
      </c>
      <c r="R578" s="13" t="n">
        <v>671.77</v>
      </c>
      <c r="S578" s="13" t="n">
        <v>-194.08</v>
      </c>
      <c r="T578" s="13" t="n">
        <v>11478.12</v>
      </c>
      <c r="U578" s="13" t="n">
        <v>819.0599999999999</v>
      </c>
      <c r="V578" s="13" t="n">
        <v>60.9</v>
      </c>
      <c r="W578" s="13" t="n">
        <v>1220.58</v>
      </c>
      <c r="X578" s="13" t="n">
        <v>1629.88</v>
      </c>
      <c r="Y578" s="13" t="n">
        <v>1240.08</v>
      </c>
      <c r="Z578" s="19" t="n"/>
      <c r="AA578" s="18" t="n"/>
      <c r="AB578" s="38" t="n">
        <v>13.69</v>
      </c>
      <c r="AC578" s="14">
        <f>IFERROR(AVERAGEIFS($E$16:$E$736,$W$16:$W$736,"&gt;="&amp;W578-$C$5,$W$16:$W$736,"&lt;="&amp;W578+$C$5,$B$16:$B$736,B578,$A$16:$A$736,"&lt;&gt;"&amp;A578),"")</f>
        <v/>
      </c>
      <c r="AD578" s="14">
        <f>IF(AND(ISNUMBER(E578),ISNUMBER(AC578)),E578-AC578,"")</f>
        <v/>
      </c>
    </row>
    <row r="579">
      <c r="A579" s="17" t="n">
        <v>45700</v>
      </c>
      <c r="B579" s="29">
        <f>MONTH(A579)</f>
        <v/>
      </c>
      <c r="C579" s="29">
        <f>IF(AND(ISNUMBER(W579),ISNUMBER($C$4),ABS(W579-$C$4)&lt;=$C$5,ABS(MOD(B579-$C$6+6,12)-6)&lt;=$C$7,OR($C$8="Any",P579=$C$8)),1,0)</f>
        <v/>
      </c>
      <c r="D579" s="29">
        <f>IF(C579=1,COUNTIF($C$16:C579,1),"")</f>
        <v/>
      </c>
      <c r="E579" s="18" t="n">
        <v>38.08</v>
      </c>
      <c r="F579" s="18" t="n">
        <v>23.94</v>
      </c>
      <c r="G579" s="18" t="n">
        <v>66.34999999999999</v>
      </c>
      <c r="H579" s="38" t="n">
        <v>-11.7</v>
      </c>
      <c r="I579" s="38" t="n">
        <v>-18.47</v>
      </c>
      <c r="J579" s="13" t="n">
        <v>11921</v>
      </c>
      <c r="K579" s="13" t="n">
        <v>11643.81</v>
      </c>
      <c r="L579" s="13" t="n">
        <v>2260.06</v>
      </c>
      <c r="M579" s="13" t="n">
        <v>1718.88</v>
      </c>
      <c r="N579" s="13" t="n">
        <v>4223</v>
      </c>
      <c r="O579" s="38" t="n">
        <v>40.7</v>
      </c>
      <c r="P579" s="39" t="inlineStr">
        <is>
          <t>Windy</t>
        </is>
      </c>
      <c r="Q579" s="13" t="n">
        <v>915</v>
      </c>
      <c r="R579" s="13" t="n">
        <v>670.05</v>
      </c>
      <c r="S579" s="13" t="n">
        <v>-438.38</v>
      </c>
      <c r="T579" s="13" t="n">
        <v>11257.41</v>
      </c>
      <c r="U579" s="13" t="n">
        <v>820.04</v>
      </c>
      <c r="V579" s="13" t="n">
        <v>83.47</v>
      </c>
      <c r="W579" s="13" t="n">
        <v>1602.51</v>
      </c>
      <c r="X579" s="13" t="n">
        <v>2597.84</v>
      </c>
      <c r="Y579" s="13" t="n">
        <v>1622.28</v>
      </c>
      <c r="Z579" s="19" t="n"/>
      <c r="AA579" s="18" t="n"/>
      <c r="AB579" s="38" t="n">
        <v>21.07</v>
      </c>
      <c r="AC579" s="14">
        <f>IFERROR(AVERAGEIFS($E$16:$E$736,$W$16:$W$736,"&gt;="&amp;W579-$C$5,$W$16:$W$736,"&lt;="&amp;W579+$C$5,$B$16:$B$736,B579,$A$16:$A$736,"&lt;&gt;"&amp;A579),"")</f>
        <v/>
      </c>
      <c r="AD579" s="14">
        <f>IF(AND(ISNUMBER(E579),ISNUMBER(AC579)),E579-AC579,"")</f>
        <v/>
      </c>
    </row>
    <row r="580">
      <c r="A580" s="17" t="n">
        <v>45699</v>
      </c>
      <c r="B580" s="29">
        <f>MONTH(A580)</f>
        <v/>
      </c>
      <c r="C580" s="29">
        <f>IF(AND(ISNUMBER(W580),ISNUMBER($C$4),ABS(W580-$C$4)&lt;=$C$5,ABS(MOD(B580-$C$6+6,12)-6)&lt;=$C$7,OR($C$8="Any",P580=$C$8)),1,0)</f>
        <v/>
      </c>
      <c r="D580" s="29">
        <f>IF(C580=1,COUNTIF($C$16:C580,1),"")</f>
        <v/>
      </c>
      <c r="E580" s="18" t="n">
        <v>178.79</v>
      </c>
      <c r="F580" s="18" t="n">
        <v>226.79</v>
      </c>
      <c r="G580" s="18" t="n">
        <v>82.8</v>
      </c>
      <c r="H580" s="38" t="n">
        <v>-14</v>
      </c>
      <c r="I580" s="38" t="n">
        <v>-17.92</v>
      </c>
      <c r="J580" s="13" t="n">
        <v>11741</v>
      </c>
      <c r="K580" s="13" t="n">
        <v>11536.62</v>
      </c>
      <c r="L580" s="13" t="n">
        <v>948.6900000000001</v>
      </c>
      <c r="M580" s="13" t="n">
        <v>1364.83</v>
      </c>
      <c r="N580" s="13" t="n">
        <v>4223</v>
      </c>
      <c r="O580" s="38" t="n">
        <v>32.32</v>
      </c>
      <c r="P580" s="39" t="inlineStr">
        <is>
          <t>Windy</t>
        </is>
      </c>
      <c r="Q580" s="13" t="n">
        <v>891</v>
      </c>
      <c r="R580" s="13" t="n">
        <v>662.6799999999999</v>
      </c>
      <c r="S580" s="13" t="n">
        <v>-355</v>
      </c>
      <c r="T580" s="13" t="n">
        <v>10960.14</v>
      </c>
      <c r="U580" s="13" t="n">
        <v>832.46</v>
      </c>
      <c r="V580" s="13" t="n">
        <v>42.63</v>
      </c>
      <c r="W580" s="13" t="n">
        <v>1131.99</v>
      </c>
      <c r="X580" s="13" t="n">
        <v>1683.95</v>
      </c>
      <c r="Y580" s="13" t="n">
        <v>1131.46</v>
      </c>
      <c r="Z580" s="19" t="n"/>
      <c r="AA580" s="18" t="n"/>
      <c r="AB580" s="38" t="n">
        <v>16.76</v>
      </c>
      <c r="AC580" s="14">
        <f>IFERROR(AVERAGEIFS($E$16:$E$736,$W$16:$W$736,"&gt;="&amp;W580-$C$5,$W$16:$W$736,"&lt;="&amp;W580+$C$5,$B$16:$B$736,B580,$A$16:$A$736,"&lt;&gt;"&amp;A580),"")</f>
        <v/>
      </c>
      <c r="AD580" s="14">
        <f>IF(AND(ISNUMBER(E580),ISNUMBER(AC580)),E580-AC580,"")</f>
        <v/>
      </c>
    </row>
    <row r="581">
      <c r="A581" s="17" t="n">
        <v>45698</v>
      </c>
      <c r="B581" s="29">
        <f>MONTH(A581)</f>
        <v/>
      </c>
      <c r="C581" s="29">
        <f>IF(AND(ISNUMBER(W581),ISNUMBER($C$4),ABS(W581-$C$4)&lt;=$C$5,ABS(MOD(B581-$C$6+6,12)-6)&lt;=$C$7,OR($C$8="Any",P581=$C$8)),1,0)</f>
        <v/>
      </c>
      <c r="D581" s="29">
        <f>IF(C581=1,COUNTIF($C$16:C581,1),"")</f>
        <v/>
      </c>
      <c r="E581" s="18" t="n">
        <v>42.51</v>
      </c>
      <c r="F581" s="18" t="n">
        <v>47.25</v>
      </c>
      <c r="G581" s="18" t="n">
        <v>33.05</v>
      </c>
      <c r="H581" s="38" t="n">
        <v>-16.63</v>
      </c>
      <c r="I581" s="38" t="n">
        <v>-22.68</v>
      </c>
      <c r="J581" s="13" t="n">
        <v>12161</v>
      </c>
      <c r="K581" s="13" t="n">
        <v>11849.81</v>
      </c>
      <c r="L581" s="13" t="n">
        <v>1718.44</v>
      </c>
      <c r="M581" s="13" t="n">
        <v>1778.79</v>
      </c>
      <c r="N581" s="13" t="n">
        <v>4223</v>
      </c>
      <c r="O581" s="38" t="n">
        <v>42.12</v>
      </c>
      <c r="P581" s="39" t="inlineStr">
        <is>
          <t>Windy</t>
        </is>
      </c>
      <c r="Q581" s="13" t="n">
        <v>1103</v>
      </c>
      <c r="R581" s="13" t="n">
        <v>619.47</v>
      </c>
      <c r="S581" s="13" t="n">
        <v>-451.04</v>
      </c>
      <c r="T581" s="13" t="n">
        <v>10909.02</v>
      </c>
      <c r="U581" s="13" t="n">
        <v>818.87</v>
      </c>
      <c r="V581" s="13" t="n">
        <v>469.1</v>
      </c>
      <c r="W581" s="13" t="n">
        <v>848.95</v>
      </c>
      <c r="X581" s="13" t="n">
        <v>1982.47</v>
      </c>
      <c r="Y581" s="13" t="n">
        <v>701.45</v>
      </c>
      <c r="Z581" s="19" t="n"/>
      <c r="AA581" s="18" t="n"/>
      <c r="AB581" s="38" t="n">
        <v>14.11</v>
      </c>
      <c r="AC581" s="14">
        <f>IFERROR(AVERAGEIFS($E$16:$E$736,$W$16:$W$736,"&gt;="&amp;W581-$C$5,$W$16:$W$736,"&lt;="&amp;W581+$C$5,$B$16:$B$736,B581,$A$16:$A$736,"&lt;&gt;"&amp;A581),"")</f>
        <v/>
      </c>
      <c r="AD581" s="14">
        <f>IF(AND(ISNUMBER(E581),ISNUMBER(AC581)),E581-AC581,"")</f>
        <v/>
      </c>
    </row>
    <row r="582">
      <c r="A582" s="17" t="n">
        <v>45697</v>
      </c>
      <c r="B582" s="29">
        <f>MONTH(A582)</f>
        <v/>
      </c>
      <c r="C582" s="29">
        <f>IF(AND(ISNUMBER(W582),ISNUMBER($C$4),ABS(W582-$C$4)&lt;=$C$5,ABS(MOD(B582-$C$6+6,12)-6)&lt;=$C$7,OR($C$8="Any",P582=$C$8)),1,0)</f>
        <v/>
      </c>
      <c r="D582" s="29">
        <f>IF(C582=1,COUNTIF($C$16:C582,1),"")</f>
        <v/>
      </c>
      <c r="E582" s="18" t="n">
        <v>30.57</v>
      </c>
      <c r="F582" s="18" t="n">
        <v>36.13</v>
      </c>
      <c r="G582" s="18" t="n">
        <v>19.44</v>
      </c>
      <c r="H582" s="38" t="n">
        <v>-14.83</v>
      </c>
      <c r="I582" s="38" t="n">
        <v>-17.89</v>
      </c>
      <c r="J582" s="13" t="n">
        <v>11890</v>
      </c>
      <c r="K582" s="13" t="n">
        <v>11431.25</v>
      </c>
      <c r="L582" s="13" t="n">
        <v>1480.12</v>
      </c>
      <c r="M582" s="13" t="n">
        <v>1726.25</v>
      </c>
      <c r="N582" s="13" t="n">
        <v>4223</v>
      </c>
      <c r="O582" s="38" t="n">
        <v>40.88</v>
      </c>
      <c r="P582" s="39" t="inlineStr">
        <is>
          <t>Windy</t>
        </is>
      </c>
      <c r="Q582" s="13" t="n">
        <v>583</v>
      </c>
      <c r="R582" s="13" t="n">
        <v>468.64</v>
      </c>
      <c r="S582" s="13" t="n">
        <v>-653.67</v>
      </c>
      <c r="T582" s="13" t="n">
        <v>10965.12</v>
      </c>
      <c r="U582" s="13" t="n">
        <v>809.03</v>
      </c>
      <c r="V582" s="13" t="n">
        <v>79.17</v>
      </c>
      <c r="W582" s="13" t="n">
        <v>1165.73</v>
      </c>
      <c r="X582" s="13" t="n">
        <v>1747.18</v>
      </c>
      <c r="Y582" s="13" t="n">
        <v>1022.61</v>
      </c>
      <c r="Z582" s="19" t="n"/>
      <c r="AA582" s="18" t="n"/>
      <c r="AB582" s="38" t="n">
        <v>16.42</v>
      </c>
      <c r="AC582" s="14">
        <f>IFERROR(AVERAGEIFS($E$16:$E$736,$W$16:$W$736,"&gt;="&amp;W582-$C$5,$W$16:$W$736,"&lt;="&amp;W582+$C$5,$B$16:$B$736,B582,$A$16:$A$736,"&lt;&gt;"&amp;A582),"")</f>
        <v/>
      </c>
      <c r="AD582" s="14">
        <f>IF(AND(ISNUMBER(E582),ISNUMBER(AC582)),E582-AC582,"")</f>
        <v/>
      </c>
    </row>
    <row r="583">
      <c r="A583" s="17" t="n">
        <v>45696</v>
      </c>
      <c r="B583" s="29">
        <f>MONTH(A583)</f>
        <v/>
      </c>
      <c r="C583" s="29">
        <f>IF(AND(ISNUMBER(W583),ISNUMBER($C$4),ABS(W583-$C$4)&lt;=$C$5,ABS(MOD(B583-$C$6+6,12)-6)&lt;=$C$7,OR($C$8="Any",P583=$C$8)),1,0)</f>
        <v/>
      </c>
      <c r="D583" s="29">
        <f>IF(C583=1,COUNTIF($C$16:C583,1),"")</f>
        <v/>
      </c>
      <c r="E583" s="18" t="n">
        <v>33.9</v>
      </c>
      <c r="F583" s="18" t="n">
        <v>47.55</v>
      </c>
      <c r="G583" s="18" t="n">
        <v>6.61</v>
      </c>
      <c r="H583" s="38" t="n">
        <v>-10.17</v>
      </c>
      <c r="I583" s="38" t="n">
        <v>-14.48</v>
      </c>
      <c r="J583" s="13" t="n">
        <v>11585</v>
      </c>
      <c r="K583" s="13" t="n">
        <v>11253.19</v>
      </c>
      <c r="L583" s="13" t="n">
        <v>1258.31</v>
      </c>
      <c r="M583" s="13" t="n">
        <v>1613.04</v>
      </c>
      <c r="N583" s="13" t="n">
        <v>4223</v>
      </c>
      <c r="O583" s="38" t="n">
        <v>38.2</v>
      </c>
      <c r="P583" s="39" t="inlineStr">
        <is>
          <t>Windy</t>
        </is>
      </c>
      <c r="Q583" s="13" t="n">
        <v>816</v>
      </c>
      <c r="R583" s="13" t="n">
        <v>571.15</v>
      </c>
      <c r="S583" s="13" t="n">
        <v>-712.96</v>
      </c>
      <c r="T583" s="13" t="n">
        <v>11026.96</v>
      </c>
      <c r="U583" s="13" t="n">
        <v>803.0700000000001</v>
      </c>
      <c r="V583" s="13" t="n">
        <v>448.86</v>
      </c>
      <c r="W583" s="13" t="n">
        <v>1141.5</v>
      </c>
      <c r="X583" s="13" t="n">
        <v>1726.13</v>
      </c>
      <c r="Y583" s="13" t="n">
        <v>1071.99</v>
      </c>
      <c r="Z583" s="19" t="n"/>
      <c r="AA583" s="18" t="n"/>
      <c r="AB583" s="38" t="n">
        <v>18.79</v>
      </c>
      <c r="AC583" s="14">
        <f>IFERROR(AVERAGEIFS($E$16:$E$736,$W$16:$W$736,"&gt;="&amp;W583-$C$5,$W$16:$W$736,"&lt;="&amp;W583+$C$5,$B$16:$B$736,B583,$A$16:$A$736,"&lt;&gt;"&amp;A583),"")</f>
        <v/>
      </c>
      <c r="AD583" s="14">
        <f>IF(AND(ISNUMBER(E583),ISNUMBER(AC583)),E583-AC583,"")</f>
        <v/>
      </c>
    </row>
    <row r="584">
      <c r="A584" s="17" t="n">
        <v>45695</v>
      </c>
      <c r="B584" s="29">
        <f>MONTH(A584)</f>
        <v/>
      </c>
      <c r="C584" s="29">
        <f>IF(AND(ISNUMBER(W584),ISNUMBER($C$4),ABS(W584-$C$4)&lt;=$C$5,ABS(MOD(B584-$C$6+6,12)-6)&lt;=$C$7,OR($C$8="Any",P584=$C$8)),1,0)</f>
        <v/>
      </c>
      <c r="D584" s="29">
        <f>IF(C584=1,COUNTIF($C$16:C584,1),"")</f>
        <v/>
      </c>
      <c r="E584" s="18" t="n">
        <v>45.19</v>
      </c>
      <c r="F584" s="18" t="n">
        <v>46.57</v>
      </c>
      <c r="G584" s="18" t="n">
        <v>42.42</v>
      </c>
      <c r="H584" s="38" t="n">
        <v>-14.1</v>
      </c>
      <c r="I584" s="38" t="n">
        <v>-17.5</v>
      </c>
      <c r="J584" s="13" t="n">
        <v>11659</v>
      </c>
      <c r="K584" s="13" t="n">
        <v>11448.81</v>
      </c>
      <c r="L584" s="13" t="n">
        <v>684.62</v>
      </c>
      <c r="M584" s="13" t="n">
        <v>634.33</v>
      </c>
      <c r="N584" s="13" t="n">
        <v>4223</v>
      </c>
      <c r="O584" s="38" t="n">
        <v>15.02</v>
      </c>
      <c r="P584" s="39" t="inlineStr">
        <is>
          <t>Calm</t>
        </is>
      </c>
      <c r="Q584" s="13" t="n">
        <v>951</v>
      </c>
      <c r="R584" s="13" t="n">
        <v>686.85</v>
      </c>
      <c r="S584" s="13" t="n">
        <v>-94.08</v>
      </c>
      <c r="T584" s="13" t="n">
        <v>11271.94</v>
      </c>
      <c r="U584" s="13" t="n">
        <v>822.25</v>
      </c>
      <c r="V584" s="13" t="n">
        <v>77.05</v>
      </c>
      <c r="W584" s="13" t="n">
        <v>1202.08</v>
      </c>
      <c r="X584" s="13" t="n">
        <v>1828.96</v>
      </c>
      <c r="Y584" s="13" t="n">
        <v>1220.68</v>
      </c>
      <c r="Z584" s="19" t="n"/>
      <c r="AA584" s="18" t="n"/>
      <c r="AB584" s="38" t="n">
        <v>11.86</v>
      </c>
      <c r="AC584" s="14">
        <f>IFERROR(AVERAGEIFS($E$16:$E$736,$W$16:$W$736,"&gt;="&amp;W584-$C$5,$W$16:$W$736,"&lt;="&amp;W584+$C$5,$B$16:$B$736,B584,$A$16:$A$736,"&lt;&gt;"&amp;A584),"")</f>
        <v/>
      </c>
      <c r="AD584" s="14">
        <f>IF(AND(ISNUMBER(E584),ISNUMBER(AC584)),E584-AC584,"")</f>
        <v/>
      </c>
    </row>
    <row r="585">
      <c r="A585" s="17" t="n">
        <v>45694</v>
      </c>
      <c r="B585" s="29">
        <f>MONTH(A585)</f>
        <v/>
      </c>
      <c r="C585" s="29">
        <f>IF(AND(ISNUMBER(W585),ISNUMBER($C$4),ABS(W585-$C$4)&lt;=$C$5,ABS(MOD(B585-$C$6+6,12)-6)&lt;=$C$7,OR($C$8="Any",P585=$C$8)),1,0)</f>
        <v/>
      </c>
      <c r="D585" s="29">
        <f>IF(C585=1,COUNTIF($C$16:C585,1),"")</f>
        <v/>
      </c>
      <c r="E585" s="18" t="n">
        <v>42.97</v>
      </c>
      <c r="F585" s="18" t="n">
        <v>50.48</v>
      </c>
      <c r="G585" s="18" t="n">
        <v>27.95</v>
      </c>
      <c r="H585" s="38" t="n">
        <v>-11.83</v>
      </c>
      <c r="I585" s="38" t="n">
        <v>-16.88</v>
      </c>
      <c r="J585" s="13" t="n">
        <v>11850</v>
      </c>
      <c r="K585" s="13" t="n">
        <v>11544.5</v>
      </c>
      <c r="L585" s="13" t="n">
        <v>1398.38</v>
      </c>
      <c r="M585" s="13" t="n">
        <v>1575.92</v>
      </c>
      <c r="N585" s="13" t="n">
        <v>4223</v>
      </c>
      <c r="O585" s="38" t="n">
        <v>37.32</v>
      </c>
      <c r="P585" s="39" t="inlineStr">
        <is>
          <t>Windy</t>
        </is>
      </c>
      <c r="Q585" s="13" t="n">
        <v>899</v>
      </c>
      <c r="R585" s="13" t="n">
        <v>682.38</v>
      </c>
      <c r="S585" s="13" t="n">
        <v>-673.67</v>
      </c>
      <c r="T585" s="13" t="n">
        <v>11161.46</v>
      </c>
      <c r="U585" s="13" t="n">
        <v>828.28</v>
      </c>
      <c r="V585" s="13" t="n">
        <v>121.8</v>
      </c>
      <c r="W585" s="13" t="n">
        <v>1106.22</v>
      </c>
      <c r="X585" s="13" t="n">
        <v>1770.78</v>
      </c>
      <c r="Y585" s="13" t="n">
        <v>1140.92</v>
      </c>
      <c r="Z585" s="19" t="n"/>
      <c r="AA585" s="18" t="n"/>
      <c r="AB585" s="38" t="n">
        <v>17.3</v>
      </c>
      <c r="AC585" s="14">
        <f>IFERROR(AVERAGEIFS($E$16:$E$736,$W$16:$W$736,"&gt;="&amp;W585-$C$5,$W$16:$W$736,"&lt;="&amp;W585+$C$5,$B$16:$B$736,B585,$A$16:$A$736,"&lt;&gt;"&amp;A585),"")</f>
        <v/>
      </c>
      <c r="AD585" s="14">
        <f>IF(AND(ISNUMBER(E585),ISNUMBER(AC585)),E585-AC585,"")</f>
        <v/>
      </c>
    </row>
    <row r="586">
      <c r="A586" s="17" t="n">
        <v>45693</v>
      </c>
      <c r="B586" s="29">
        <f>MONTH(A586)</f>
        <v/>
      </c>
      <c r="C586" s="29">
        <f>IF(AND(ISNUMBER(W586),ISNUMBER($C$4),ABS(W586-$C$4)&lt;=$C$5,ABS(MOD(B586-$C$6+6,12)-6)&lt;=$C$7,OR($C$8="Any",P586=$C$8)),1,0)</f>
        <v/>
      </c>
      <c r="D586" s="29">
        <f>IF(C586=1,COUNTIF($C$16:C586,1),"")</f>
        <v/>
      </c>
      <c r="E586" s="18" t="n">
        <v>50.02</v>
      </c>
      <c r="F586" s="18" t="n">
        <v>51.12</v>
      </c>
      <c r="G586" s="18" t="n">
        <v>47.95</v>
      </c>
      <c r="H586" s="38" t="n">
        <v>-23.23</v>
      </c>
      <c r="I586" s="38" t="n">
        <v>-25.91</v>
      </c>
      <c r="J586" s="13" t="n">
        <v>12107</v>
      </c>
      <c r="K586" s="13" t="n">
        <v>11820.07</v>
      </c>
      <c r="L586" s="13" t="n">
        <v>806.2</v>
      </c>
      <c r="M586" s="13" t="n">
        <v>654.35</v>
      </c>
      <c r="N586" s="13" t="n">
        <v>4223</v>
      </c>
      <c r="O586" s="38" t="n">
        <v>15.49</v>
      </c>
      <c r="P586" s="39" t="inlineStr">
        <is>
          <t>Calm</t>
        </is>
      </c>
      <c r="Q586" s="13" t="n">
        <v>555</v>
      </c>
      <c r="R586" s="13" t="n">
        <v>692.54</v>
      </c>
      <c r="S586" s="13" t="n">
        <v>50.87</v>
      </c>
      <c r="T586" s="13" t="n">
        <v>11289.26</v>
      </c>
      <c r="U586" s="13" t="n">
        <v>830.76</v>
      </c>
      <c r="V586" s="13" t="n">
        <v>109.62</v>
      </c>
      <c r="W586" s="13" t="n">
        <v>1136.51</v>
      </c>
      <c r="X586" s="13" t="n">
        <v>1606.68</v>
      </c>
      <c r="Y586" s="13" t="n">
        <v>1186.32</v>
      </c>
      <c r="Z586" s="19" t="n"/>
      <c r="AA586" s="18" t="n"/>
      <c r="AB586" s="38" t="n">
        <v>10.91</v>
      </c>
      <c r="AC586" s="14">
        <f>IFERROR(AVERAGEIFS($E$16:$E$736,$W$16:$W$736,"&gt;="&amp;W586-$C$5,$W$16:$W$736,"&lt;="&amp;W586+$C$5,$B$16:$B$736,B586,$A$16:$A$736,"&lt;&gt;"&amp;A586),"")</f>
        <v/>
      </c>
      <c r="AD586" s="14">
        <f>IF(AND(ISNUMBER(E586),ISNUMBER(AC586)),E586-AC586,"")</f>
        <v/>
      </c>
    </row>
    <row r="587">
      <c r="A587" s="17" t="n">
        <v>45692</v>
      </c>
      <c r="B587" s="29">
        <f>MONTH(A587)</f>
        <v/>
      </c>
      <c r="C587" s="29">
        <f>IF(AND(ISNUMBER(W587),ISNUMBER($C$4),ABS(W587-$C$4)&lt;=$C$5,ABS(MOD(B587-$C$6+6,12)-6)&lt;=$C$7,OR($C$8="Any",P587=$C$8)),1,0)</f>
        <v/>
      </c>
      <c r="D587" s="29">
        <f>IF(C587=1,COUNTIF($C$16:C587,1),"")</f>
        <v/>
      </c>
      <c r="E587" s="18" t="n">
        <v>202.94</v>
      </c>
      <c r="F587" s="18" t="n">
        <v>274.44</v>
      </c>
      <c r="G587" s="18" t="n">
        <v>59.92</v>
      </c>
      <c r="H587" s="38" t="n">
        <v>-24.63</v>
      </c>
      <c r="I587" s="38" t="n">
        <v>-26.73</v>
      </c>
      <c r="J587" s="13" t="n">
        <v>12104</v>
      </c>
      <c r="K587" s="13" t="n">
        <v>11843.81</v>
      </c>
      <c r="L587" s="13" t="n">
        <v>188.19</v>
      </c>
      <c r="M587" s="13" t="n">
        <v>201.38</v>
      </c>
      <c r="N587" s="13" t="n">
        <v>4223</v>
      </c>
      <c r="O587" s="38" t="n">
        <v>4.77</v>
      </c>
      <c r="P587" s="39" t="inlineStr">
        <is>
          <t>Calm</t>
        </is>
      </c>
      <c r="Q587" s="13" t="n">
        <v>185</v>
      </c>
      <c r="R587" s="13" t="n">
        <v>692.89</v>
      </c>
      <c r="S587" s="13" t="n">
        <v>255.71</v>
      </c>
      <c r="T587" s="13" t="n">
        <v>11199.56</v>
      </c>
      <c r="U587" s="13" t="n">
        <v>835.35</v>
      </c>
      <c r="V587" s="13" t="n">
        <v>443.3</v>
      </c>
      <c r="W587" s="13" t="n">
        <v>226.41</v>
      </c>
      <c r="X587" s="13" t="n">
        <v>992.9400000000001</v>
      </c>
      <c r="Y587" s="13" t="n">
        <v>270.32</v>
      </c>
      <c r="Z587" s="19" t="n"/>
      <c r="AA587" s="18" t="n"/>
      <c r="AB587" s="38" t="n">
        <v>8.779999999999999</v>
      </c>
      <c r="AC587" s="14">
        <f>IFERROR(AVERAGEIFS($E$16:$E$736,$W$16:$W$736,"&gt;="&amp;W587-$C$5,$W$16:$W$736,"&lt;="&amp;W587+$C$5,$B$16:$B$736,B587,$A$16:$A$736,"&lt;&gt;"&amp;A587),"")</f>
        <v/>
      </c>
      <c r="AD587" s="14">
        <f>IF(AND(ISNUMBER(E587),ISNUMBER(AC587)),E587-AC587,"")</f>
        <v/>
      </c>
    </row>
    <row r="588">
      <c r="A588" s="17" t="n">
        <v>45691</v>
      </c>
      <c r="B588" s="29">
        <f>MONTH(A588)</f>
        <v/>
      </c>
      <c r="C588" s="29">
        <f>IF(AND(ISNUMBER(W588),ISNUMBER($C$4),ABS(W588-$C$4)&lt;=$C$5,ABS(MOD(B588-$C$6+6,12)-6)&lt;=$C$7,OR($C$8="Any",P588=$C$8)),1,0)</f>
        <v/>
      </c>
      <c r="D588" s="29">
        <f>IF(C588=1,COUNTIF($C$16:C588,1),"")</f>
        <v/>
      </c>
      <c r="E588" s="18" t="n">
        <v>370.03</v>
      </c>
      <c r="F588" s="18" t="n">
        <v>461.22</v>
      </c>
      <c r="G588" s="18" t="n">
        <v>187.65</v>
      </c>
      <c r="H588" s="38" t="n">
        <v>-25.5</v>
      </c>
      <c r="I588" s="38" t="n">
        <v>-27.11</v>
      </c>
      <c r="J588" s="13" t="n">
        <v>12288</v>
      </c>
      <c r="K588" s="13" t="n">
        <v>11899.94</v>
      </c>
      <c r="L588" s="13" t="n">
        <v>50.5</v>
      </c>
      <c r="M588" s="13" t="n">
        <v>245.33</v>
      </c>
      <c r="N588" s="13" t="n">
        <v>4223</v>
      </c>
      <c r="O588" s="38" t="n">
        <v>5.81</v>
      </c>
      <c r="P588" s="39" t="inlineStr">
        <is>
          <t>Calm</t>
        </is>
      </c>
      <c r="Q588" s="13" t="n">
        <v>469</v>
      </c>
      <c r="R588" s="13" t="n">
        <v>683.76</v>
      </c>
      <c r="S588" s="13" t="n">
        <v>209.21</v>
      </c>
      <c r="T588" s="13" t="n">
        <v>11018.75</v>
      </c>
      <c r="U588" s="13" t="n">
        <v>840.83</v>
      </c>
      <c r="V588" s="13" t="n">
        <v>496.69</v>
      </c>
      <c r="W588" s="13" t="n">
        <v>341.33</v>
      </c>
      <c r="X588" s="13" t="n">
        <v>806.17</v>
      </c>
      <c r="Y588" s="13" t="n">
        <v>367.44</v>
      </c>
      <c r="Z588" s="19" t="n"/>
      <c r="AA588" s="18" t="n"/>
      <c r="AB588" s="38" t="n">
        <v>7.89</v>
      </c>
      <c r="AC588" s="14">
        <f>IFERROR(AVERAGEIFS($E$16:$E$736,$W$16:$W$736,"&gt;="&amp;W588-$C$5,$W$16:$W$736,"&lt;="&amp;W588+$C$5,$B$16:$B$736,B588,$A$16:$A$736,"&lt;&gt;"&amp;A588),"")</f>
        <v/>
      </c>
      <c r="AD588" s="14">
        <f>IF(AND(ISNUMBER(E588),ISNUMBER(AC588)),E588-AC588,"")</f>
        <v/>
      </c>
    </row>
    <row r="589">
      <c r="A589" s="17" t="n">
        <v>45690</v>
      </c>
      <c r="B589" s="29">
        <f>MONTH(A589)</f>
        <v/>
      </c>
      <c r="C589" s="29">
        <f>IF(AND(ISNUMBER(W589),ISNUMBER($C$4),ABS(W589-$C$4)&lt;=$C$5,ABS(MOD(B589-$C$6+6,12)-6)&lt;=$C$7,OR($C$8="Any",P589=$C$8)),1,0)</f>
        <v/>
      </c>
      <c r="D589" s="29">
        <f>IF(C589=1,COUNTIF($C$16:C589,1),"")</f>
        <v/>
      </c>
      <c r="E589" s="18" t="n">
        <v>46.53</v>
      </c>
      <c r="F589" s="18" t="n">
        <v>41.4</v>
      </c>
      <c r="G589" s="18" t="n">
        <v>56.78</v>
      </c>
      <c r="H589" s="38" t="n">
        <v>-20.97</v>
      </c>
      <c r="I589" s="38" t="n">
        <v>-23.44</v>
      </c>
      <c r="J589" s="13" t="n">
        <v>12200</v>
      </c>
      <c r="K589" s="13" t="n">
        <v>11740</v>
      </c>
      <c r="L589" s="13" t="n">
        <v>1648.25</v>
      </c>
      <c r="M589" s="13" t="n">
        <v>1470.08</v>
      </c>
      <c r="N589" s="13" t="n">
        <v>4223</v>
      </c>
      <c r="O589" s="38" t="n">
        <v>34.81</v>
      </c>
      <c r="P589" s="39" t="inlineStr">
        <is>
          <t>Windy</t>
        </is>
      </c>
      <c r="Q589" s="13" t="n">
        <v>726</v>
      </c>
      <c r="R589" s="13" t="n">
        <v>691.66</v>
      </c>
      <c r="S589" s="13" t="n">
        <v>-425.33</v>
      </c>
      <c r="T589" s="13" t="n">
        <v>11081.59</v>
      </c>
      <c r="U589" s="13" t="n">
        <v>831.79</v>
      </c>
      <c r="V589" s="13" t="n">
        <v>341.34</v>
      </c>
      <c r="W589" s="13" t="n">
        <v>1356.03</v>
      </c>
      <c r="X589" s="13" t="n">
        <v>1832.99</v>
      </c>
      <c r="Y589" s="13" t="n">
        <v>1393</v>
      </c>
      <c r="Z589" s="19" t="n"/>
      <c r="AA589" s="18" t="n"/>
      <c r="AB589" s="38" t="n">
        <v>19.01</v>
      </c>
      <c r="AC589" s="14">
        <f>IFERROR(AVERAGEIFS($E$16:$E$736,$W$16:$W$736,"&gt;="&amp;W589-$C$5,$W$16:$W$736,"&lt;="&amp;W589+$C$5,$B$16:$B$736,B589,$A$16:$A$736,"&lt;&gt;"&amp;A589),"")</f>
        <v/>
      </c>
      <c r="AD589" s="14">
        <f>IF(AND(ISNUMBER(E589),ISNUMBER(AC589)),E589-AC589,"")</f>
        <v/>
      </c>
    </row>
    <row r="590">
      <c r="A590" s="17" t="n">
        <v>45689</v>
      </c>
      <c r="B590" s="29">
        <f>MONTH(A590)</f>
        <v/>
      </c>
      <c r="C590" s="29">
        <f>IF(AND(ISNUMBER(W590),ISNUMBER($C$4),ABS(W590-$C$4)&lt;=$C$5,ABS(MOD(B590-$C$6+6,12)-6)&lt;=$C$7,OR($C$8="Any",P590=$C$8)),1,0)</f>
        <v/>
      </c>
      <c r="D590" s="29">
        <f>IF(C590=1,COUNTIF($C$16:C590,1),"")</f>
        <v/>
      </c>
      <c r="E590" s="18" t="n">
        <v>62.72</v>
      </c>
      <c r="F590" s="18" t="n">
        <v>46.49</v>
      </c>
      <c r="G590" s="18" t="n">
        <v>95.19</v>
      </c>
      <c r="H590" s="38" t="n">
        <v>-7.17</v>
      </c>
      <c r="I590" s="38" t="n">
        <v>-12.71</v>
      </c>
      <c r="J590" s="13" t="n">
        <v>11871</v>
      </c>
      <c r="K590" s="13" t="n">
        <v>11471.38</v>
      </c>
      <c r="L590" s="13" t="n">
        <v>1560.44</v>
      </c>
      <c r="M590" s="13" t="n">
        <v>1227.83</v>
      </c>
      <c r="N590" s="13" t="n">
        <v>4223</v>
      </c>
      <c r="O590" s="38" t="n">
        <v>29.07</v>
      </c>
      <c r="P590" s="39" t="inlineStr">
        <is>
          <t>Windy</t>
        </is>
      </c>
      <c r="Q590" s="13" t="n">
        <v>361</v>
      </c>
      <c r="R590" s="13" t="n">
        <v>737.1799999999999</v>
      </c>
      <c r="S590" s="13" t="n">
        <v>-303.12</v>
      </c>
      <c r="T590" s="13" t="n">
        <v>11001.09</v>
      </c>
      <c r="U590" s="13" t="n">
        <v>827.17</v>
      </c>
      <c r="V590" s="13" t="n">
        <v>431.12</v>
      </c>
      <c r="W590" s="13" t="n">
        <v>1588.37</v>
      </c>
      <c r="X590" s="13" t="n">
        <v>1974.77</v>
      </c>
      <c r="Y590" s="13" t="n">
        <v>1652.12</v>
      </c>
      <c r="Z590" s="19" t="n"/>
      <c r="AA590" s="18" t="n"/>
      <c r="AB590" s="38" t="n">
        <v>24.14</v>
      </c>
      <c r="AC590" s="14">
        <f>IFERROR(AVERAGEIFS($E$16:$E$736,$W$16:$W$736,"&gt;="&amp;W590-$C$5,$W$16:$W$736,"&lt;="&amp;W590+$C$5,$B$16:$B$736,B590,$A$16:$A$736,"&lt;&gt;"&amp;A590),"")</f>
        <v/>
      </c>
      <c r="AD590" s="14">
        <f>IF(AND(ISNUMBER(E590),ISNUMBER(AC590)),E590-AC590,"")</f>
        <v/>
      </c>
    </row>
    <row r="591">
      <c r="A591" s="17" t="n">
        <v>45688</v>
      </c>
      <c r="B591" s="29">
        <f>MONTH(A591)</f>
        <v/>
      </c>
      <c r="C591" s="29">
        <f>IF(AND(ISNUMBER(W591),ISNUMBER($C$4),ABS(W591-$C$4)&lt;=$C$5,ABS(MOD(B591-$C$6+6,12)-6)&lt;=$C$7,OR($C$8="Any",P591=$C$8)),1,0)</f>
        <v/>
      </c>
      <c r="D591" s="29">
        <f>IF(C591=1,COUNTIF($C$16:C591,1),"")</f>
        <v/>
      </c>
      <c r="E591" s="18" t="n">
        <v>34.84</v>
      </c>
      <c r="F591" s="18" t="n">
        <v>33.22</v>
      </c>
      <c r="G591" s="18" t="n">
        <v>38.09</v>
      </c>
      <c r="H591" s="38" t="n">
        <v>-3.9</v>
      </c>
      <c r="I591" s="38" t="n">
        <v>-6.06</v>
      </c>
      <c r="J591" s="13" t="n">
        <v>11764</v>
      </c>
      <c r="K591" s="13" t="n">
        <v>11530.94</v>
      </c>
      <c r="L591" s="13" t="n">
        <v>2243.06</v>
      </c>
      <c r="M591" s="13" t="n">
        <v>2006.33</v>
      </c>
      <c r="N591" s="13" t="n">
        <v>4223</v>
      </c>
      <c r="O591" s="38" t="n">
        <v>47.51</v>
      </c>
      <c r="P591" s="39" t="inlineStr">
        <is>
          <t>Windy</t>
        </is>
      </c>
      <c r="Q591" s="13" t="n">
        <v>683</v>
      </c>
      <c r="R591" s="13" t="n">
        <v>735.65</v>
      </c>
      <c r="S591" s="13" t="n">
        <v>-816.29</v>
      </c>
      <c r="T591" s="13" t="n">
        <v>11342.63</v>
      </c>
      <c r="U591" s="13" t="n">
        <v>828.96</v>
      </c>
      <c r="V591" s="13" t="n">
        <v>298.41</v>
      </c>
      <c r="W591" s="13" t="n">
        <v>1760.44</v>
      </c>
      <c r="X591" s="13" t="n">
        <v>2524.57</v>
      </c>
      <c r="Y591" s="13" t="n">
        <v>1859.78</v>
      </c>
      <c r="Z591" s="19" t="n"/>
      <c r="AA591" s="18" t="n"/>
      <c r="AB591" s="38" t="n">
        <v>17.94</v>
      </c>
      <c r="AC591" s="14">
        <f>IFERROR(AVERAGEIFS($E$16:$E$736,$W$16:$W$736,"&gt;="&amp;W591-$C$5,$W$16:$W$736,"&lt;="&amp;W591+$C$5,$B$16:$B$736,B591,$A$16:$A$736,"&lt;&gt;"&amp;A591),"")</f>
        <v/>
      </c>
      <c r="AD591" s="14">
        <f>IF(AND(ISNUMBER(E591),ISNUMBER(AC591)),E591-AC591,"")</f>
        <v/>
      </c>
    </row>
    <row r="592">
      <c r="A592" s="17" t="n">
        <v>45687</v>
      </c>
      <c r="B592" s="29">
        <f>MONTH(A592)</f>
        <v/>
      </c>
      <c r="C592" s="29">
        <f>IF(AND(ISNUMBER(W592),ISNUMBER($C$4),ABS(W592-$C$4)&lt;=$C$5,ABS(MOD(B592-$C$6+6,12)-6)&lt;=$C$7,OR($C$8="Any",P592=$C$8)),1,0)</f>
        <v/>
      </c>
      <c r="D592" s="29">
        <f>IF(C592=1,COUNTIF($C$16:C592,1),"")</f>
        <v/>
      </c>
      <c r="E592" s="18" t="n">
        <v>29.92</v>
      </c>
      <c r="F592" s="18" t="n">
        <v>34.28</v>
      </c>
      <c r="G592" s="18" t="n">
        <v>21.21</v>
      </c>
      <c r="H592" s="38" t="n">
        <v>1.07</v>
      </c>
      <c r="I592" s="38" t="n">
        <v>-2.41</v>
      </c>
      <c r="J592" s="13" t="n">
        <v>11761</v>
      </c>
      <c r="K592" s="13" t="n">
        <v>11285.06</v>
      </c>
      <c r="L592" s="13" t="n">
        <v>1479.69</v>
      </c>
      <c r="M592" s="13" t="n">
        <v>1689.12</v>
      </c>
      <c r="N592" s="13" t="n">
        <v>4223</v>
      </c>
      <c r="O592" s="38" t="n">
        <v>40</v>
      </c>
      <c r="P592" s="39" t="inlineStr">
        <is>
          <t>Windy</t>
        </is>
      </c>
      <c r="Q592" s="13" t="n">
        <v>937</v>
      </c>
      <c r="R592" s="13" t="n">
        <v>644.72</v>
      </c>
      <c r="S592" s="13" t="n">
        <v>-721.29</v>
      </c>
      <c r="T592" s="13" t="n">
        <v>11365.42</v>
      </c>
      <c r="U592" s="13" t="n">
        <v>803.9299999999999</v>
      </c>
      <c r="V592" s="13" t="n">
        <v>16.12</v>
      </c>
      <c r="W592" s="13" t="n">
        <v>1617.18</v>
      </c>
      <c r="X592" s="13" t="n">
        <v>2338.09</v>
      </c>
      <c r="Y592" s="13" t="n">
        <v>1736.03</v>
      </c>
      <c r="Z592" s="19" t="n"/>
      <c r="AA592" s="18" t="n"/>
      <c r="AB592" s="38" t="n">
        <v>15.49</v>
      </c>
      <c r="AC592" s="14">
        <f>IFERROR(AVERAGEIFS($E$16:$E$736,$W$16:$W$736,"&gt;="&amp;W592-$C$5,$W$16:$W$736,"&lt;="&amp;W592+$C$5,$B$16:$B$736,B592,$A$16:$A$736,"&lt;&gt;"&amp;A592),"")</f>
        <v/>
      </c>
      <c r="AD592" s="14">
        <f>IF(AND(ISNUMBER(E592),ISNUMBER(AC592)),E592-AC592,"")</f>
        <v/>
      </c>
    </row>
    <row r="593">
      <c r="A593" s="17" t="n">
        <v>45686</v>
      </c>
      <c r="B593" s="29">
        <f>MONTH(A593)</f>
        <v/>
      </c>
      <c r="C593" s="29">
        <f>IF(AND(ISNUMBER(W593),ISNUMBER($C$4),ABS(W593-$C$4)&lt;=$C$5,ABS(MOD(B593-$C$6+6,12)-6)&lt;=$C$7,OR($C$8="Any",P593=$C$8)),1,0)</f>
        <v/>
      </c>
      <c r="D593" s="29">
        <f>IF(C593=1,COUNTIF($C$16:C593,1),"")</f>
        <v/>
      </c>
      <c r="E593" s="18" t="n">
        <v>20.02</v>
      </c>
      <c r="F593" s="18" t="n">
        <v>20.43</v>
      </c>
      <c r="G593" s="18" t="n">
        <v>19.19</v>
      </c>
      <c r="H593" s="38" t="n">
        <v>3.93</v>
      </c>
      <c r="I593" s="38" t="n">
        <v>0.67</v>
      </c>
      <c r="J593" s="13" t="n">
        <v>11468</v>
      </c>
      <c r="K593" s="13" t="n">
        <v>11069.81</v>
      </c>
      <c r="L593" s="13" t="n">
        <v>2784.62</v>
      </c>
      <c r="M593" s="13" t="n">
        <v>2619.54</v>
      </c>
      <c r="N593" s="13" t="n">
        <v>4223</v>
      </c>
      <c r="O593" s="38" t="n">
        <v>62.03</v>
      </c>
      <c r="P593" s="39" t="inlineStr">
        <is>
          <t>Windy</t>
        </is>
      </c>
      <c r="Q593" s="13" t="n">
        <v>618</v>
      </c>
      <c r="R593" s="13" t="n">
        <v>574.99</v>
      </c>
      <c r="S593" s="13" t="n">
        <v>-944.42</v>
      </c>
      <c r="T593" s="13" t="n">
        <v>11213.73</v>
      </c>
      <c r="U593" s="13" t="n">
        <v>808.17</v>
      </c>
      <c r="V593" s="13" t="n">
        <v>43.36</v>
      </c>
      <c r="W593" s="13" t="n">
        <v>2422.42</v>
      </c>
      <c r="X593" s="13" t="n">
        <v>3271.21</v>
      </c>
      <c r="Y593" s="13" t="n">
        <v>2373.28</v>
      </c>
      <c r="Z593" s="19" t="n"/>
      <c r="AA593" s="18" t="n"/>
      <c r="AB593" s="38" t="n">
        <v>40.06</v>
      </c>
      <c r="AC593" s="14">
        <f>IFERROR(AVERAGEIFS($E$16:$E$736,$W$16:$W$736,"&gt;="&amp;W593-$C$5,$W$16:$W$736,"&lt;="&amp;W593+$C$5,$B$16:$B$736,B593,$A$16:$A$736,"&lt;&gt;"&amp;A593),"")</f>
        <v/>
      </c>
      <c r="AD593" s="14">
        <f>IF(AND(ISNUMBER(E593),ISNUMBER(AC593)),E593-AC593,"")</f>
        <v/>
      </c>
    </row>
    <row r="594">
      <c r="A594" s="17" t="n">
        <v>45685</v>
      </c>
      <c r="B594" s="29">
        <f>MONTH(A594)</f>
        <v/>
      </c>
      <c r="C594" s="29">
        <f>IF(AND(ISNUMBER(W594),ISNUMBER($C$4),ABS(W594-$C$4)&lt;=$C$5,ABS(MOD(B594-$C$6+6,12)-6)&lt;=$C$7,OR($C$8="Any",P594=$C$8)),1,0)</f>
        <v/>
      </c>
      <c r="D594" s="29">
        <f>IF(C594=1,COUNTIF($C$16:C594,1),"")</f>
        <v/>
      </c>
      <c r="E594" s="18" t="n">
        <v>23.06</v>
      </c>
      <c r="F594" s="18" t="n">
        <v>27.23</v>
      </c>
      <c r="G594" s="18" t="n">
        <v>14.71</v>
      </c>
      <c r="H594" s="38" t="n">
        <v>3.9</v>
      </c>
      <c r="I594" s="38" t="n">
        <v>1.1</v>
      </c>
      <c r="J594" s="13" t="n">
        <v>11388</v>
      </c>
      <c r="K594" s="13" t="n">
        <v>10956.75</v>
      </c>
      <c r="L594" s="13" t="n">
        <v>1987.81</v>
      </c>
      <c r="M594" s="13" t="n">
        <v>2374.75</v>
      </c>
      <c r="N594" s="13" t="n">
        <v>4223</v>
      </c>
      <c r="O594" s="38" t="n">
        <v>56.23</v>
      </c>
      <c r="P594" s="39" t="inlineStr">
        <is>
          <t>Windy</t>
        </is>
      </c>
      <c r="Q594" s="13" t="n">
        <v>981</v>
      </c>
      <c r="R594" s="13" t="n">
        <v>574.28</v>
      </c>
      <c r="S594" s="13" t="n">
        <v>-752</v>
      </c>
      <c r="T594" s="13" t="n">
        <v>10897.98</v>
      </c>
      <c r="U594" s="13" t="n">
        <v>779.27</v>
      </c>
      <c r="V594" s="13" t="n">
        <v>242.26</v>
      </c>
      <c r="W594" s="13" t="n">
        <v>1992.86</v>
      </c>
      <c r="X594" s="13" t="n">
        <v>2639.72</v>
      </c>
      <c r="Y594" s="13" t="n">
        <v>1952.54</v>
      </c>
      <c r="Z594" s="19" t="n"/>
      <c r="AA594" s="18" t="n"/>
      <c r="AB594" s="38" t="n">
        <v>29.5</v>
      </c>
      <c r="AC594" s="14">
        <f>IFERROR(AVERAGEIFS($E$16:$E$736,$W$16:$W$736,"&gt;="&amp;W594-$C$5,$W$16:$W$736,"&lt;="&amp;W594+$C$5,$B$16:$B$736,B594,$A$16:$A$736,"&lt;&gt;"&amp;A594),"")</f>
        <v/>
      </c>
      <c r="AD594" s="14">
        <f>IF(AND(ISNUMBER(E594),ISNUMBER(AC594)),E594-AC594,"")</f>
        <v/>
      </c>
    </row>
    <row r="595">
      <c r="A595" s="17" t="n">
        <v>45684</v>
      </c>
      <c r="B595" s="29">
        <f>MONTH(A595)</f>
        <v/>
      </c>
      <c r="C595" s="29">
        <f>IF(AND(ISNUMBER(W595),ISNUMBER($C$4),ABS(W595-$C$4)&lt;=$C$5,ABS(MOD(B595-$C$6+6,12)-6)&lt;=$C$7,OR($C$8="Any",P595=$C$8)),1,0)</f>
        <v/>
      </c>
      <c r="D595" s="29">
        <f>IF(C595=1,COUNTIF($C$16:C595,1),"")</f>
        <v/>
      </c>
      <c r="E595" s="18" t="n">
        <v>12.52</v>
      </c>
      <c r="F595" s="18" t="n">
        <v>16.66</v>
      </c>
      <c r="G595" s="18" t="n">
        <v>4.24</v>
      </c>
      <c r="H595" s="38" t="n">
        <v>4.1</v>
      </c>
      <c r="I595" s="38" t="n">
        <v>0.13</v>
      </c>
      <c r="J595" s="13" t="n">
        <v>11515</v>
      </c>
      <c r="K595" s="13" t="n">
        <v>11091.62</v>
      </c>
      <c r="L595" s="13" t="n">
        <v>3706.31</v>
      </c>
      <c r="M595" s="13" t="n">
        <v>3727.46</v>
      </c>
      <c r="N595" s="13" t="n">
        <v>4223</v>
      </c>
      <c r="O595" s="38" t="n">
        <v>88.27</v>
      </c>
      <c r="P595" s="39" t="inlineStr">
        <is>
          <t>Windy</t>
        </is>
      </c>
      <c r="Q595" s="13" t="n">
        <v>1096</v>
      </c>
      <c r="R595" s="13" t="n">
        <v>676.98</v>
      </c>
      <c r="S595" s="13" t="n">
        <v>-946.62</v>
      </c>
      <c r="T595" s="13" t="n">
        <v>10593.74</v>
      </c>
      <c r="U595" s="13" t="n">
        <v>801.35</v>
      </c>
      <c r="V595" s="13" t="n">
        <v>457.27</v>
      </c>
      <c r="W595" s="13" t="n">
        <v>3008.45</v>
      </c>
      <c r="X595" s="13" t="n">
        <v>3707.93</v>
      </c>
      <c r="Y595" s="13" t="n">
        <v>2962.36</v>
      </c>
      <c r="Z595" s="19" t="n"/>
      <c r="AA595" s="18" t="n"/>
      <c r="AB595" s="38" t="n">
        <v>40.87</v>
      </c>
      <c r="AC595" s="14">
        <f>IFERROR(AVERAGEIFS($E$16:$E$736,$W$16:$W$736,"&gt;="&amp;W595-$C$5,$W$16:$W$736,"&lt;="&amp;W595+$C$5,$B$16:$B$736,B595,$A$16:$A$736,"&lt;&gt;"&amp;A595),"")</f>
        <v/>
      </c>
      <c r="AD595" s="14">
        <f>IF(AND(ISNUMBER(E595),ISNUMBER(AC595)),E595-AC595,"")</f>
        <v/>
      </c>
    </row>
    <row r="596">
      <c r="A596" s="17" t="n">
        <v>45683</v>
      </c>
      <c r="B596" s="29">
        <f>MONTH(A596)</f>
        <v/>
      </c>
      <c r="C596" s="29">
        <f>IF(AND(ISNUMBER(W596),ISNUMBER($C$4),ABS(W596-$C$4)&lt;=$C$5,ABS(MOD(B596-$C$6+6,12)-6)&lt;=$C$7,OR($C$8="Any",P596=$C$8)),1,0)</f>
        <v/>
      </c>
      <c r="D596" s="29">
        <f>IF(C596=1,COUNTIF($C$16:C596,1),"")</f>
        <v/>
      </c>
      <c r="E596" s="18" t="n">
        <v>13.4</v>
      </c>
      <c r="F596" s="18" t="n">
        <v>9.880000000000001</v>
      </c>
      <c r="G596" s="18" t="n">
        <v>20.44</v>
      </c>
      <c r="H596" s="38" t="n">
        <v>2.43</v>
      </c>
      <c r="I596" s="38" t="n">
        <v>-2.37</v>
      </c>
      <c r="J596" s="13" t="n">
        <v>11448</v>
      </c>
      <c r="K596" s="13" t="n">
        <v>10808.19</v>
      </c>
      <c r="L596" s="13" t="n">
        <v>3410.56</v>
      </c>
      <c r="M596" s="13" t="n">
        <v>3064.25</v>
      </c>
      <c r="N596" s="13" t="n">
        <v>4223</v>
      </c>
      <c r="O596" s="38" t="n">
        <v>72.56</v>
      </c>
      <c r="P596" s="39" t="inlineStr">
        <is>
          <t>Windy</t>
        </is>
      </c>
      <c r="Q596" s="13" t="n">
        <v>1033</v>
      </c>
      <c r="R596" s="13" t="n">
        <v>727.05</v>
      </c>
      <c r="S596" s="13" t="n">
        <v>-930.92</v>
      </c>
      <c r="T596" s="13" t="n">
        <v>11182.09</v>
      </c>
      <c r="U596" s="13" t="n">
        <v>805.22</v>
      </c>
      <c r="V596" s="13" t="n">
        <v>463.01</v>
      </c>
      <c r="W596" s="13" t="n">
        <v>3416.6</v>
      </c>
      <c r="X596" s="13" t="n">
        <v>4283.7</v>
      </c>
      <c r="Y596" s="13" t="n">
        <v>3521.59</v>
      </c>
      <c r="Z596" s="19" t="n"/>
      <c r="AA596" s="18" t="n"/>
      <c r="AB596" s="38" t="n">
        <v>39.85</v>
      </c>
      <c r="AC596" s="14">
        <f>IFERROR(AVERAGEIFS($E$16:$E$736,$W$16:$W$736,"&gt;="&amp;W596-$C$5,$W$16:$W$736,"&lt;="&amp;W596+$C$5,$B$16:$B$736,B596,$A$16:$A$736,"&lt;&gt;"&amp;A596),"")</f>
        <v/>
      </c>
      <c r="AD596" s="14">
        <f>IF(AND(ISNUMBER(E596),ISNUMBER(AC596)),E596-AC596,"")</f>
        <v/>
      </c>
    </row>
    <row r="597">
      <c r="A597" s="17" t="n">
        <v>45682</v>
      </c>
      <c r="B597" s="29">
        <f>MONTH(A597)</f>
        <v/>
      </c>
      <c r="C597" s="29">
        <f>IF(AND(ISNUMBER(W597),ISNUMBER($C$4),ABS(W597-$C$4)&lt;=$C$5,ABS(MOD(B597-$C$6+6,12)-6)&lt;=$C$7,OR($C$8="Any",P597=$C$8)),1,0)</f>
        <v/>
      </c>
      <c r="D597" s="29">
        <f>IF(C597=1,COUNTIF($C$16:C597,1),"")</f>
        <v/>
      </c>
      <c r="E597" s="18" t="n">
        <v>21.16</v>
      </c>
      <c r="F597" s="18" t="n">
        <v>15.16</v>
      </c>
      <c r="G597" s="18" t="n">
        <v>33.16</v>
      </c>
      <c r="H597" s="38" t="n">
        <v>-2.27</v>
      </c>
      <c r="I597" s="38" t="n">
        <v>-6.79</v>
      </c>
      <c r="J597" s="13" t="n">
        <v>11391</v>
      </c>
      <c r="K597" s="13" t="n">
        <v>10892.44</v>
      </c>
      <c r="L597" s="13" t="n">
        <v>3055.19</v>
      </c>
      <c r="M597" s="13" t="n">
        <v>2566</v>
      </c>
      <c r="N597" s="13" t="n">
        <v>4223</v>
      </c>
      <c r="O597" s="38" t="n">
        <v>60.76</v>
      </c>
      <c r="P597" s="39" t="inlineStr">
        <is>
          <t>Windy</t>
        </is>
      </c>
      <c r="Q597" s="13" t="n">
        <v>1095</v>
      </c>
      <c r="R597" s="13" t="n">
        <v>728.61</v>
      </c>
      <c r="S597" s="13" t="n">
        <v>-857.88</v>
      </c>
      <c r="T597" s="13" t="n">
        <v>11402.76</v>
      </c>
      <c r="U597" s="13" t="n">
        <v>819.3</v>
      </c>
      <c r="V597" s="13" t="n">
        <v>85.26000000000001</v>
      </c>
      <c r="W597" s="13" t="n">
        <v>3404.31</v>
      </c>
      <c r="X597" s="13" t="n">
        <v>4055.8</v>
      </c>
      <c r="Y597" s="13" t="n">
        <v>3502.32</v>
      </c>
      <c r="Z597" s="19" t="n"/>
      <c r="AA597" s="18" t="n"/>
      <c r="AB597" s="38" t="n">
        <v>28.61</v>
      </c>
      <c r="AC597" s="14">
        <f>IFERROR(AVERAGEIFS($E$16:$E$736,$W$16:$W$736,"&gt;="&amp;W597-$C$5,$W$16:$W$736,"&lt;="&amp;W597+$C$5,$B$16:$B$736,B597,$A$16:$A$736,"&lt;&gt;"&amp;A597),"")</f>
        <v/>
      </c>
      <c r="AD597" s="14">
        <f>IF(AND(ISNUMBER(E597),ISNUMBER(AC597)),E597-AC597,"")</f>
        <v/>
      </c>
    </row>
    <row r="598">
      <c r="A598" s="17" t="n">
        <v>45681</v>
      </c>
      <c r="B598" s="29">
        <f>MONTH(A598)</f>
        <v/>
      </c>
      <c r="C598" s="29">
        <f>IF(AND(ISNUMBER(W598),ISNUMBER($C$4),ABS(W598-$C$4)&lt;=$C$5,ABS(MOD(B598-$C$6+6,12)-6)&lt;=$C$7,OR($C$8="Any",P598=$C$8)),1,0)</f>
        <v/>
      </c>
      <c r="D598" s="29">
        <f>IF(C598=1,COUNTIF($C$16:C598,1),"")</f>
        <v/>
      </c>
      <c r="E598" s="18" t="n">
        <v>19.5</v>
      </c>
      <c r="F598" s="18" t="n">
        <v>20.57</v>
      </c>
      <c r="G598" s="18" t="n">
        <v>17.35</v>
      </c>
      <c r="H598" s="38" t="n">
        <v>-3.4</v>
      </c>
      <c r="I598" s="38" t="n">
        <v>-6.13</v>
      </c>
      <c r="J598" s="13" t="n">
        <v>11595</v>
      </c>
      <c r="K598" s="13" t="n">
        <v>11302.31</v>
      </c>
      <c r="L598" s="13" t="n">
        <v>3094.38</v>
      </c>
      <c r="M598" s="13" t="n">
        <v>3064.71</v>
      </c>
      <c r="N598" s="13" t="n">
        <v>4223</v>
      </c>
      <c r="O598" s="38" t="n">
        <v>72.56999999999999</v>
      </c>
      <c r="P598" s="39" t="inlineStr">
        <is>
          <t>Windy</t>
        </is>
      </c>
      <c r="Q598" s="13" t="n">
        <v>822</v>
      </c>
      <c r="R598" s="13" t="n">
        <v>728.61</v>
      </c>
      <c r="S598" s="13" t="n">
        <v>-893.92</v>
      </c>
      <c r="T598" s="13" t="n">
        <v>11227.46</v>
      </c>
      <c r="U598" s="13" t="n">
        <v>787.63</v>
      </c>
      <c r="V598" s="13" t="n">
        <v>206.36</v>
      </c>
      <c r="W598" s="13" t="n">
        <v>2752.01</v>
      </c>
      <c r="X598" s="13" t="n">
        <v>3415.51</v>
      </c>
      <c r="Y598" s="13" t="n">
        <v>2856.91</v>
      </c>
      <c r="Z598" s="19" t="n"/>
      <c r="AA598" s="18" t="n"/>
      <c r="AB598" s="38" t="n">
        <v>29.17</v>
      </c>
      <c r="AC598" s="14">
        <f>IFERROR(AVERAGEIFS($E$16:$E$736,$W$16:$W$736,"&gt;="&amp;W598-$C$5,$W$16:$W$736,"&lt;="&amp;W598+$C$5,$B$16:$B$736,B598,$A$16:$A$736,"&lt;&gt;"&amp;A598),"")</f>
        <v/>
      </c>
      <c r="AD598" s="14">
        <f>IF(AND(ISNUMBER(E598),ISNUMBER(AC598)),E598-AC598,"")</f>
        <v/>
      </c>
    </row>
    <row r="599">
      <c r="A599" s="17" t="n">
        <v>45680</v>
      </c>
      <c r="B599" s="29">
        <f>MONTH(A599)</f>
        <v/>
      </c>
      <c r="C599" s="29">
        <f>IF(AND(ISNUMBER(W599),ISNUMBER($C$4),ABS(W599-$C$4)&lt;=$C$5,ABS(MOD(B599-$C$6+6,12)-6)&lt;=$C$7,OR($C$8="Any",P599=$C$8)),1,0)</f>
        <v/>
      </c>
      <c r="D599" s="29">
        <f>IF(C599=1,COUNTIF($C$16:C599,1),"")</f>
        <v/>
      </c>
      <c r="E599" s="18" t="n">
        <v>21.14</v>
      </c>
      <c r="F599" s="18" t="n">
        <v>22.7</v>
      </c>
      <c r="G599" s="18" t="n">
        <v>18.02</v>
      </c>
      <c r="H599" s="38" t="n">
        <v>1.23</v>
      </c>
      <c r="I599" s="38" t="n">
        <v>-3.3</v>
      </c>
      <c r="J599" s="13" t="n">
        <v>11565</v>
      </c>
      <c r="K599" s="13" t="n">
        <v>11199.56</v>
      </c>
      <c r="L599" s="13" t="n">
        <v>3402.5</v>
      </c>
      <c r="M599" s="13" t="n">
        <v>3243.08</v>
      </c>
      <c r="N599" s="13" t="n">
        <v>4223</v>
      </c>
      <c r="O599" s="38" t="n">
        <v>76.8</v>
      </c>
      <c r="P599" s="39" t="inlineStr">
        <is>
          <t>Windy</t>
        </is>
      </c>
      <c r="Q599" s="13" t="n">
        <v>467</v>
      </c>
      <c r="R599" s="13" t="n">
        <v>720.3</v>
      </c>
      <c r="S599" s="13" t="n">
        <v>-944.79</v>
      </c>
      <c r="T599" s="13" t="n">
        <v>11146.09</v>
      </c>
      <c r="U599" s="13" t="n">
        <v>710.02</v>
      </c>
      <c r="V599" s="13" t="n">
        <v>80.09</v>
      </c>
      <c r="W599" s="13" t="n">
        <v>2392.19</v>
      </c>
      <c r="X599" s="13" t="n">
        <v>3472.37</v>
      </c>
      <c r="Y599" s="13" t="n">
        <v>2593.97</v>
      </c>
      <c r="Z599" s="19" t="n"/>
      <c r="AA599" s="18" t="n"/>
      <c r="AB599" s="38" t="n">
        <v>40.08</v>
      </c>
      <c r="AC599" s="14">
        <f>IFERROR(AVERAGEIFS($E$16:$E$736,$W$16:$W$736,"&gt;="&amp;W599-$C$5,$W$16:$W$736,"&lt;="&amp;W599+$C$5,$B$16:$B$736,B599,$A$16:$A$736,"&lt;&gt;"&amp;A599),"")</f>
        <v/>
      </c>
      <c r="AD599" s="14">
        <f>IF(AND(ISNUMBER(E599),ISNUMBER(AC599)),E599-AC599,"")</f>
        <v/>
      </c>
    </row>
    <row r="600">
      <c r="A600" s="17" t="n">
        <v>45679</v>
      </c>
      <c r="B600" s="29">
        <f>MONTH(A600)</f>
        <v/>
      </c>
      <c r="C600" s="29">
        <f>IF(AND(ISNUMBER(W600),ISNUMBER($C$4),ABS(W600-$C$4)&lt;=$C$5,ABS(MOD(B600-$C$6+6,12)-6)&lt;=$C$7,OR($C$8="Any",P600=$C$8)),1,0)</f>
        <v/>
      </c>
      <c r="D600" s="29">
        <f>IF(C600=1,COUNTIF($C$16:C600,1),"")</f>
        <v/>
      </c>
      <c r="E600" s="18" t="n">
        <v>18.96</v>
      </c>
      <c r="F600" s="18" t="n">
        <v>24.74</v>
      </c>
      <c r="G600" s="18" t="n">
        <v>7.4</v>
      </c>
      <c r="H600" s="38" t="n">
        <v>-1.63</v>
      </c>
      <c r="I600" s="38" t="n">
        <v>-5.04</v>
      </c>
      <c r="J600" s="13" t="n">
        <v>11524</v>
      </c>
      <c r="K600" s="13" t="n">
        <v>11206.81</v>
      </c>
      <c r="L600" s="13" t="n">
        <v>2296.62</v>
      </c>
      <c r="M600" s="13" t="n">
        <v>2552.21</v>
      </c>
      <c r="N600" s="13" t="n">
        <v>4223</v>
      </c>
      <c r="O600" s="38" t="n">
        <v>60.44</v>
      </c>
      <c r="P600" s="39" t="inlineStr">
        <is>
          <t>Windy</t>
        </is>
      </c>
      <c r="Q600" s="13" t="n">
        <v>973</v>
      </c>
      <c r="R600" s="13" t="n">
        <v>693.78</v>
      </c>
      <c r="S600" s="13" t="n">
        <v>-780.88</v>
      </c>
      <c r="T600" s="13" t="n">
        <v>11298.9</v>
      </c>
      <c r="U600" s="13" t="n">
        <v>807.4299999999999</v>
      </c>
      <c r="V600" s="13" t="n">
        <v>61.28</v>
      </c>
      <c r="W600" s="13" t="n">
        <v>2048.62</v>
      </c>
      <c r="X600" s="13" t="n">
        <v>3025.81</v>
      </c>
      <c r="Y600" s="13" t="n">
        <v>2157.75</v>
      </c>
      <c r="Z600" s="19" t="n"/>
      <c r="AA600" s="18" t="n"/>
      <c r="AB600" s="38" t="n">
        <v>24.21</v>
      </c>
      <c r="AC600" s="14">
        <f>IFERROR(AVERAGEIFS($E$16:$E$736,$W$16:$W$736,"&gt;="&amp;W600-$C$5,$W$16:$W$736,"&lt;="&amp;W600+$C$5,$B$16:$B$736,B600,$A$16:$A$736,"&lt;&gt;"&amp;A600),"")</f>
        <v/>
      </c>
      <c r="AD600" s="14">
        <f>IF(AND(ISNUMBER(E600),ISNUMBER(AC600)),E600-AC600,"")</f>
        <v/>
      </c>
    </row>
    <row r="601">
      <c r="A601" s="17" t="n">
        <v>45678</v>
      </c>
      <c r="B601" s="29">
        <f>MONTH(A601)</f>
        <v/>
      </c>
      <c r="C601" s="29">
        <f>IF(AND(ISNUMBER(W601),ISNUMBER($C$4),ABS(W601-$C$4)&lt;=$C$5,ABS(MOD(B601-$C$6+6,12)-6)&lt;=$C$7,OR($C$8="Any",P601=$C$8)),1,0)</f>
        <v/>
      </c>
      <c r="D601" s="29">
        <f>IF(C601=1,COUNTIF($C$16:C601,1),"")</f>
        <v/>
      </c>
      <c r="E601" s="18" t="n">
        <v>14.48</v>
      </c>
      <c r="F601" s="18" t="n">
        <v>17.99</v>
      </c>
      <c r="G601" s="18" t="n">
        <v>7.46</v>
      </c>
      <c r="H601" s="38" t="n">
        <v>-1.63</v>
      </c>
      <c r="I601" s="38" t="n">
        <v>-3.39</v>
      </c>
      <c r="J601" s="13" t="n">
        <v>11766</v>
      </c>
      <c r="K601" s="13" t="n">
        <v>11322.19</v>
      </c>
      <c r="L601" s="13" t="n">
        <v>3774.19</v>
      </c>
      <c r="M601" s="13" t="n">
        <v>3732.88</v>
      </c>
      <c r="N601" s="13" t="n">
        <v>4223</v>
      </c>
      <c r="O601" s="38" t="n">
        <v>88.39</v>
      </c>
      <c r="P601" s="39" t="inlineStr">
        <is>
          <t>Windy</t>
        </is>
      </c>
      <c r="Q601" s="13" t="n">
        <v>780</v>
      </c>
      <c r="R601" s="13" t="n">
        <v>718.25</v>
      </c>
      <c r="S601" s="13" t="n">
        <v>-914.58</v>
      </c>
      <c r="T601" s="13" t="n">
        <v>10858.33</v>
      </c>
      <c r="U601" s="13" t="n">
        <v>805.28</v>
      </c>
      <c r="V601" s="13" t="n">
        <v>485.93</v>
      </c>
      <c r="W601" s="13" t="n">
        <v>2726.52</v>
      </c>
      <c r="X601" s="13" t="n">
        <v>3665.28</v>
      </c>
      <c r="Y601" s="13" t="n">
        <v>2879.79</v>
      </c>
      <c r="Z601" s="19" t="n"/>
      <c r="AA601" s="18" t="n"/>
      <c r="AB601" s="38" t="n">
        <v>44.87</v>
      </c>
      <c r="AC601" s="14">
        <f>IFERROR(AVERAGEIFS($E$16:$E$736,$W$16:$W$736,"&gt;="&amp;W601-$C$5,$W$16:$W$736,"&lt;="&amp;W601+$C$5,$B$16:$B$736,B601,$A$16:$A$736,"&lt;&gt;"&amp;A601),"")</f>
        <v/>
      </c>
      <c r="AD601" s="14">
        <f>IF(AND(ISNUMBER(E601),ISNUMBER(AC601)),E601-AC601,"")</f>
        <v/>
      </c>
    </row>
    <row r="602">
      <c r="A602" s="17" t="n">
        <v>45677</v>
      </c>
      <c r="B602" s="29">
        <f>MONTH(A602)</f>
        <v/>
      </c>
      <c r="C602" s="29">
        <f>IF(AND(ISNUMBER(W602),ISNUMBER($C$4),ABS(W602-$C$4)&lt;=$C$5,ABS(MOD(B602-$C$6+6,12)-6)&lt;=$C$7,OR($C$8="Any",P602=$C$8)),1,0)</f>
        <v/>
      </c>
      <c r="D602" s="29">
        <f>IF(C602=1,COUNTIF($C$16:C602,1),"")</f>
        <v/>
      </c>
      <c r="E602" s="18" t="n">
        <v>34.09</v>
      </c>
      <c r="F602" s="18" t="n">
        <v>18.16</v>
      </c>
      <c r="G602" s="18" t="n">
        <v>65.93000000000001</v>
      </c>
      <c r="H602" s="38" t="n">
        <v>-5.53</v>
      </c>
      <c r="I602" s="38" t="n">
        <v>-14.84</v>
      </c>
      <c r="J602" s="13" t="n">
        <v>11962</v>
      </c>
      <c r="K602" s="13" t="n">
        <v>11602.06</v>
      </c>
      <c r="L602" s="13" t="n">
        <v>3483.06</v>
      </c>
      <c r="M602" s="13" t="n">
        <v>2619.33</v>
      </c>
      <c r="N602" s="13" t="n">
        <v>4223</v>
      </c>
      <c r="O602" s="38" t="n">
        <v>62.03</v>
      </c>
      <c r="P602" s="39" t="inlineStr">
        <is>
          <t>Windy</t>
        </is>
      </c>
      <c r="Q602" s="13" t="n">
        <v>926</v>
      </c>
      <c r="R602" s="13" t="n">
        <v>728.83</v>
      </c>
      <c r="S602" s="13" t="n">
        <v>-671</v>
      </c>
      <c r="T602" s="13" t="n">
        <v>11299.21</v>
      </c>
      <c r="U602" s="13" t="n">
        <v>799.75</v>
      </c>
      <c r="V602" s="13" t="n">
        <v>237.51</v>
      </c>
      <c r="W602" s="13" t="n">
        <v>2698.04</v>
      </c>
      <c r="X602" s="13" t="n">
        <v>3673.12</v>
      </c>
      <c r="Y602" s="13" t="n">
        <v>2824.67</v>
      </c>
      <c r="Z602" s="19" t="n"/>
      <c r="AA602" s="18" t="n"/>
      <c r="AB602" s="38" t="n">
        <v>38.48</v>
      </c>
      <c r="AC602" s="14">
        <f>IFERROR(AVERAGEIFS($E$16:$E$736,$W$16:$W$736,"&gt;="&amp;W602-$C$5,$W$16:$W$736,"&lt;="&amp;W602+$C$5,$B$16:$B$736,B602,$A$16:$A$736,"&lt;&gt;"&amp;A602),"")</f>
        <v/>
      </c>
      <c r="AD602" s="14">
        <f>IF(AND(ISNUMBER(E602),ISNUMBER(AC602)),E602-AC602,"")</f>
        <v/>
      </c>
    </row>
    <row r="603">
      <c r="A603" s="17" t="n">
        <v>45676</v>
      </c>
      <c r="B603" s="29">
        <f>MONTH(A603)</f>
        <v/>
      </c>
      <c r="C603" s="29">
        <f>IF(AND(ISNUMBER(W603),ISNUMBER($C$4),ABS(W603-$C$4)&lt;=$C$5,ABS(MOD(B603-$C$6+6,12)-6)&lt;=$C$7,OR($C$8="Any",P603=$C$8)),1,0)</f>
        <v/>
      </c>
      <c r="D603" s="29">
        <f>IF(C603=1,COUNTIF($C$16:C603,1),"")</f>
        <v/>
      </c>
      <c r="E603" s="18" t="n">
        <v>39.57</v>
      </c>
      <c r="F603" s="18" t="n">
        <v>32.51</v>
      </c>
      <c r="G603" s="18" t="n">
        <v>53.71</v>
      </c>
      <c r="H603" s="38" t="n">
        <v>-17.03</v>
      </c>
      <c r="I603" s="38" t="n">
        <v>-19.2</v>
      </c>
      <c r="J603" s="13" t="n">
        <v>11969</v>
      </c>
      <c r="K603" s="13" t="n">
        <v>11481.12</v>
      </c>
      <c r="L603" s="13" t="n">
        <v>1053.62</v>
      </c>
      <c r="M603" s="13" t="n">
        <v>789.67</v>
      </c>
      <c r="N603" s="13" t="n">
        <v>4223</v>
      </c>
      <c r="O603" s="38" t="n">
        <v>18.7</v>
      </c>
      <c r="P603" s="39" t="inlineStr">
        <is>
          <t>Windy</t>
        </is>
      </c>
      <c r="Q603" s="13" t="n">
        <v>912</v>
      </c>
      <c r="R603" s="13" t="n">
        <v>730.96</v>
      </c>
      <c r="S603" s="13" t="n">
        <v>-356.62</v>
      </c>
      <c r="T603" s="13" t="n">
        <v>11563.15</v>
      </c>
      <c r="U603" s="13" t="n">
        <v>836.65</v>
      </c>
      <c r="V603" s="13" t="n">
        <v>79.17</v>
      </c>
      <c r="W603" s="13" t="n">
        <v>1511.83</v>
      </c>
      <c r="X603" s="13" t="n">
        <v>2134.46</v>
      </c>
      <c r="Y603" s="13" t="n">
        <v>1616.8</v>
      </c>
      <c r="Z603" s="19" t="n"/>
      <c r="AA603" s="18" t="n"/>
      <c r="AB603" s="38" t="n">
        <v>15.35</v>
      </c>
      <c r="AC603" s="14">
        <f>IFERROR(AVERAGEIFS($E$16:$E$736,$W$16:$W$736,"&gt;="&amp;W603-$C$5,$W$16:$W$736,"&lt;="&amp;W603+$C$5,$B$16:$B$736,B603,$A$16:$A$736,"&lt;&gt;"&amp;A603),"")</f>
        <v/>
      </c>
      <c r="AD603" s="14">
        <f>IF(AND(ISNUMBER(E603),ISNUMBER(AC603)),E603-AC603,"")</f>
        <v/>
      </c>
    </row>
    <row r="604">
      <c r="A604" s="17" t="n">
        <v>45675</v>
      </c>
      <c r="B604" s="29">
        <f>MONTH(A604)</f>
        <v/>
      </c>
      <c r="C604" s="29">
        <f>IF(AND(ISNUMBER(W604),ISNUMBER($C$4),ABS(W604-$C$4)&lt;=$C$5,ABS(MOD(B604-$C$6+6,12)-6)&lt;=$C$7,OR($C$8="Any",P604=$C$8)),1,0)</f>
        <v/>
      </c>
      <c r="D604" s="29">
        <f>IF(C604=1,COUNTIF($C$16:C604,1),"")</f>
        <v/>
      </c>
      <c r="E604" s="18" t="n">
        <v>38.41</v>
      </c>
      <c r="F604" s="18" t="n">
        <v>47.06</v>
      </c>
      <c r="G604" s="18" t="n">
        <v>21.11</v>
      </c>
      <c r="H604" s="38" t="n">
        <v>-12.83</v>
      </c>
      <c r="I604" s="38" t="n">
        <v>-17.79</v>
      </c>
      <c r="J604" s="13" t="n">
        <v>11834</v>
      </c>
      <c r="K604" s="13" t="n">
        <v>11408.88</v>
      </c>
      <c r="L604" s="13" t="n">
        <v>501.12</v>
      </c>
      <c r="M604" s="13" t="n">
        <v>1077.08</v>
      </c>
      <c r="N604" s="13" t="n">
        <v>4223</v>
      </c>
      <c r="O604" s="38" t="n">
        <v>25.51</v>
      </c>
      <c r="P604" s="39" t="inlineStr">
        <is>
          <t>Windy</t>
        </is>
      </c>
      <c r="Q604" s="13" t="n">
        <v>976</v>
      </c>
      <c r="R604" s="13" t="n">
        <v>731.4</v>
      </c>
      <c r="S604" s="13" t="n">
        <v>-259.12</v>
      </c>
      <c r="T604" s="13" t="n">
        <v>11358.72</v>
      </c>
      <c r="U604" s="13" t="n">
        <v>818.26</v>
      </c>
      <c r="V604" s="13" t="n">
        <v>449.39</v>
      </c>
      <c r="W604" s="13" t="n">
        <v>1219.42</v>
      </c>
      <c r="X604" s="13" t="n">
        <v>1759.65</v>
      </c>
      <c r="Y604" s="13" t="n">
        <v>1409.86</v>
      </c>
      <c r="Z604" s="19" t="n"/>
      <c r="AA604" s="18" t="n"/>
      <c r="AB604" s="38" t="n">
        <v>13.73</v>
      </c>
      <c r="AC604" s="14">
        <f>IFERROR(AVERAGEIFS($E$16:$E$736,$W$16:$W$736,"&gt;="&amp;W604-$C$5,$W$16:$W$736,"&lt;="&amp;W604+$C$5,$B$16:$B$736,B604,$A$16:$A$736,"&lt;&gt;"&amp;A604),"")</f>
        <v/>
      </c>
      <c r="AD604" s="14">
        <f>IF(AND(ISNUMBER(E604),ISNUMBER(AC604)),E604-AC604,"")</f>
        <v/>
      </c>
    </row>
    <row r="605">
      <c r="A605" s="17" t="n">
        <v>45674</v>
      </c>
      <c r="B605" s="29">
        <f>MONTH(A605)</f>
        <v/>
      </c>
      <c r="C605" s="29">
        <f>IF(AND(ISNUMBER(W605),ISNUMBER($C$4),ABS(W605-$C$4)&lt;=$C$5,ABS(MOD(B605-$C$6+6,12)-6)&lt;=$C$7,OR($C$8="Any",P605=$C$8)),1,0)</f>
        <v/>
      </c>
      <c r="D605" s="29">
        <f>IF(C605=1,COUNTIF($C$16:C605,1),"")</f>
        <v/>
      </c>
      <c r="E605" s="18" t="n">
        <v>31.03</v>
      </c>
      <c r="F605" s="18" t="n">
        <v>43.73</v>
      </c>
      <c r="G605" s="18" t="n">
        <v>5.63</v>
      </c>
      <c r="H605" s="38" t="n">
        <v>-5.07</v>
      </c>
      <c r="I605" s="38" t="n">
        <v>-8.65</v>
      </c>
      <c r="J605" s="13" t="n">
        <v>11611</v>
      </c>
      <c r="K605" s="13" t="n">
        <v>11346.06</v>
      </c>
      <c r="L605" s="13" t="n">
        <v>1354.12</v>
      </c>
      <c r="M605" s="13" t="n">
        <v>1986.38</v>
      </c>
      <c r="N605" s="13" t="n">
        <v>4223</v>
      </c>
      <c r="O605" s="38" t="n">
        <v>47.04</v>
      </c>
      <c r="P605" s="39" t="inlineStr">
        <is>
          <t>Windy</t>
        </is>
      </c>
      <c r="Q605" s="13" t="n">
        <v>752</v>
      </c>
      <c r="R605" s="13" t="n">
        <v>725.74</v>
      </c>
      <c r="S605" s="13" t="n">
        <v>-424.46</v>
      </c>
      <c r="T605" s="13" t="n">
        <v>11186.38</v>
      </c>
      <c r="U605" s="13" t="n">
        <v>739.91</v>
      </c>
      <c r="V605" s="13" t="n">
        <v>251.93</v>
      </c>
      <c r="W605" s="13" t="n">
        <v>1482.74</v>
      </c>
      <c r="X605" s="13" t="n">
        <v>2192.51</v>
      </c>
      <c r="Y605" s="13" t="n">
        <v>1669.74</v>
      </c>
      <c r="Z605" s="19" t="n"/>
      <c r="AA605" s="18" t="n"/>
      <c r="AB605" s="38" t="n">
        <v>13.03</v>
      </c>
      <c r="AC605" s="14">
        <f>IFERROR(AVERAGEIFS($E$16:$E$736,$W$16:$W$736,"&gt;="&amp;W605-$C$5,$W$16:$W$736,"&lt;="&amp;W605+$C$5,$B$16:$B$736,B605,$A$16:$A$736,"&lt;&gt;"&amp;A605),"")</f>
        <v/>
      </c>
      <c r="AD605" s="14">
        <f>IF(AND(ISNUMBER(E605),ISNUMBER(AC605)),E605-AC605,"")</f>
        <v/>
      </c>
    </row>
    <row r="606">
      <c r="A606" s="17" t="n">
        <v>45673</v>
      </c>
      <c r="B606" s="29">
        <f>MONTH(A606)</f>
        <v/>
      </c>
      <c r="C606" s="29">
        <f>IF(AND(ISNUMBER(W606),ISNUMBER($C$4),ABS(W606-$C$4)&lt;=$C$5,ABS(MOD(B606-$C$6+6,12)-6)&lt;=$C$7,OR($C$8="Any",P606=$C$8)),1,0)</f>
        <v/>
      </c>
      <c r="D606" s="29">
        <f>IF(C606=1,COUNTIF($C$16:C606,1),"")</f>
        <v/>
      </c>
      <c r="E606" s="18" t="n">
        <v>9.359999999999999</v>
      </c>
      <c r="F606" s="18" t="n">
        <v>13.3</v>
      </c>
      <c r="G606" s="18" t="n">
        <v>1.46</v>
      </c>
      <c r="H606" s="38" t="n">
        <v>4.53</v>
      </c>
      <c r="I606" s="38" t="n">
        <v>1.63</v>
      </c>
      <c r="J606" s="13" t="n">
        <v>11504</v>
      </c>
      <c r="K606" s="13" t="n">
        <v>11102.94</v>
      </c>
      <c r="L606" s="13" t="n">
        <v>3420.5</v>
      </c>
      <c r="M606" s="13" t="n">
        <v>3302.96</v>
      </c>
      <c r="N606" s="13" t="n">
        <v>4223</v>
      </c>
      <c r="O606" s="38" t="n">
        <v>78.20999999999999</v>
      </c>
      <c r="P606" s="39" t="inlineStr">
        <is>
          <t>Windy</t>
        </is>
      </c>
      <c r="Q606" s="13" t="n">
        <v>653</v>
      </c>
      <c r="R606" s="13" t="n">
        <v>721.27</v>
      </c>
      <c r="S606" s="13" t="n">
        <v>-835.88</v>
      </c>
      <c r="T606" s="13" t="n">
        <v>11059.88</v>
      </c>
      <c r="U606" s="13" t="n">
        <v>717.09</v>
      </c>
      <c r="V606" s="13" t="n">
        <v>533.96</v>
      </c>
      <c r="W606" s="13" t="n">
        <v>2846.8</v>
      </c>
      <c r="X606" s="13" t="n">
        <v>3768.54</v>
      </c>
      <c r="Y606" s="13" t="n">
        <v>3042.22</v>
      </c>
      <c r="Z606" s="19" t="n"/>
      <c r="AA606" s="18" t="n"/>
      <c r="AB606" s="38" t="n">
        <v>45.01</v>
      </c>
      <c r="AC606" s="14">
        <f>IFERROR(AVERAGEIFS($E$16:$E$736,$W$16:$W$736,"&gt;="&amp;W606-$C$5,$W$16:$W$736,"&lt;="&amp;W606+$C$5,$B$16:$B$736,B606,$A$16:$A$736,"&lt;&gt;"&amp;A606),"")</f>
        <v/>
      </c>
      <c r="AD606" s="14">
        <f>IF(AND(ISNUMBER(E606),ISNUMBER(AC606)),E606-AC606,"")</f>
        <v/>
      </c>
    </row>
    <row r="607">
      <c r="A607" s="17" t="n">
        <v>45670</v>
      </c>
      <c r="B607" s="29">
        <f>MONTH(A607)</f>
        <v/>
      </c>
      <c r="C607" s="29">
        <f>IF(AND(ISNUMBER(W607),ISNUMBER($C$4),ABS(W607-$C$4)&lt;=$C$5,ABS(MOD(B607-$C$6+6,12)-6)&lt;=$C$7,OR($C$8="Any",P607=$C$8)),1,0)</f>
        <v/>
      </c>
      <c r="D607" s="29">
        <f>IF(C607=1,COUNTIF($C$16:C607,1),"")</f>
        <v/>
      </c>
      <c r="E607" s="18" t="n">
        <v>8.56</v>
      </c>
      <c r="F607" s="18" t="n">
        <v>11.08</v>
      </c>
      <c r="G607" s="18" t="n">
        <v>3.51</v>
      </c>
      <c r="H607" s="38" t="n">
        <v>1.97</v>
      </c>
      <c r="I607" s="38" t="n">
        <v>-1.95</v>
      </c>
      <c r="J607" s="13" t="n">
        <v>11739</v>
      </c>
      <c r="K607" s="13" t="n">
        <v>11226.12</v>
      </c>
      <c r="L607" s="13" t="n">
        <v>3100</v>
      </c>
      <c r="M607" s="13" t="n">
        <v>2982</v>
      </c>
      <c r="N607" s="13" t="n">
        <v>4153.67</v>
      </c>
      <c r="O607" s="38" t="n">
        <v>71.79000000000001</v>
      </c>
      <c r="P607" s="39" t="inlineStr">
        <is>
          <t>Windy</t>
        </is>
      </c>
      <c r="Q607" s="13" t="n">
        <v>736</v>
      </c>
      <c r="R607" s="13" t="n">
        <v>714.3099999999999</v>
      </c>
      <c r="S607" s="13" t="n">
        <v>-790.5</v>
      </c>
      <c r="T607" s="13" t="n">
        <v>11030.37</v>
      </c>
      <c r="U607" s="13" t="n">
        <v>805.34</v>
      </c>
      <c r="V607" s="13" t="n">
        <v>258.64</v>
      </c>
      <c r="W607" s="13" t="n">
        <v>2123.84</v>
      </c>
      <c r="X607" s="13" t="n">
        <v>3413.42</v>
      </c>
      <c r="Y607" s="13" t="n">
        <v>2210.93</v>
      </c>
      <c r="Z607" s="19" t="n"/>
      <c r="AA607" s="18" t="n"/>
      <c r="AB607" s="38" t="n">
        <v>35.9</v>
      </c>
      <c r="AC607" s="14">
        <f>IFERROR(AVERAGEIFS($E$16:$E$736,$W$16:$W$736,"&gt;="&amp;W607-$C$5,$W$16:$W$736,"&lt;="&amp;W607+$C$5,$B$16:$B$736,B607,$A$16:$A$736,"&lt;&gt;"&amp;A607),"")</f>
        <v/>
      </c>
      <c r="AD607" s="14">
        <f>IF(AND(ISNUMBER(E607),ISNUMBER(AC607)),E607-AC607,"")</f>
        <v/>
      </c>
    </row>
    <row r="608">
      <c r="A608" s="17" t="n">
        <v>45669</v>
      </c>
      <c r="B608" s="29">
        <f>MONTH(A608)</f>
        <v/>
      </c>
      <c r="C608" s="29">
        <f>IF(AND(ISNUMBER(W608),ISNUMBER($C$4),ABS(W608-$C$4)&lt;=$C$5,ABS(MOD(B608-$C$6+6,12)-6)&lt;=$C$7,OR($C$8="Any",P608=$C$8)),1,0)</f>
        <v/>
      </c>
      <c r="D608" s="29">
        <f>IF(C608=1,COUNTIF($C$16:C608,1),"")</f>
        <v/>
      </c>
      <c r="E608" s="18" t="n">
        <v>51.82</v>
      </c>
      <c r="F608" s="18" t="n">
        <v>46.94</v>
      </c>
      <c r="G608" s="18" t="n">
        <v>61.58</v>
      </c>
      <c r="H608" s="38" t="n">
        <v>-1</v>
      </c>
      <c r="I608" s="38" t="n">
        <v>-2.89</v>
      </c>
      <c r="J608" s="13" t="n">
        <v>11411</v>
      </c>
      <c r="K608" s="13" t="n">
        <v>10869.25</v>
      </c>
      <c r="L608" s="13" t="n">
        <v>1137.38</v>
      </c>
      <c r="M608" s="13" t="n">
        <v>942.75</v>
      </c>
      <c r="N608" s="13" t="n">
        <v>4119</v>
      </c>
      <c r="O608" s="38" t="n">
        <v>22.89</v>
      </c>
      <c r="P608" s="39" t="inlineStr">
        <is>
          <t>Windy</t>
        </is>
      </c>
      <c r="Q608" s="13" t="n">
        <v>582</v>
      </c>
      <c r="R608" s="13" t="n">
        <v>726.75</v>
      </c>
      <c r="S608" s="13" t="n">
        <v>-251.38</v>
      </c>
      <c r="T608" s="13" t="n">
        <v>10615.29</v>
      </c>
      <c r="U608" s="13" t="n">
        <v>761.99</v>
      </c>
      <c r="V608" s="13" t="n">
        <v>216.19</v>
      </c>
      <c r="W608" s="13" t="n">
        <v>1255.22</v>
      </c>
      <c r="X608" s="13" t="n">
        <v>1776.24</v>
      </c>
      <c r="Y608" s="13" t="n">
        <v>1389.55</v>
      </c>
      <c r="Z608" s="19" t="n"/>
      <c r="AA608" s="18" t="n"/>
      <c r="AB608" s="38" t="n">
        <v>22.29</v>
      </c>
      <c r="AC608" s="14">
        <f>IFERROR(AVERAGEIFS($E$16:$E$736,$W$16:$W$736,"&gt;="&amp;W608-$C$5,$W$16:$W$736,"&lt;="&amp;W608+$C$5,$B$16:$B$736,B608,$A$16:$A$736,"&lt;&gt;"&amp;A608),"")</f>
        <v/>
      </c>
      <c r="AD608" s="14">
        <f>IF(AND(ISNUMBER(E608),ISNUMBER(AC608)),E608-AC608,"")</f>
        <v/>
      </c>
    </row>
    <row r="609">
      <c r="A609" s="17" t="n">
        <v>45668</v>
      </c>
      <c r="B609" s="29">
        <f>MONTH(A609)</f>
        <v/>
      </c>
      <c r="C609" s="29">
        <f>IF(AND(ISNUMBER(W609),ISNUMBER($C$4),ABS(W609-$C$4)&lt;=$C$5,ABS(MOD(B609-$C$6+6,12)-6)&lt;=$C$7,OR($C$8="Any",P609=$C$8)),1,0)</f>
        <v/>
      </c>
      <c r="D609" s="29">
        <f>IF(C609=1,COUNTIF($C$16:C609,1),"")</f>
        <v/>
      </c>
      <c r="E609" s="18" t="n">
        <v>28.78</v>
      </c>
      <c r="F609" s="18" t="n">
        <v>32.72</v>
      </c>
      <c r="G609" s="18" t="n">
        <v>20.89</v>
      </c>
      <c r="H609" s="38" t="n">
        <v>0.77</v>
      </c>
      <c r="I609" s="38" t="n">
        <v>-0.82</v>
      </c>
      <c r="J609" s="13" t="n">
        <v>11408</v>
      </c>
      <c r="K609" s="13" t="n">
        <v>11002.56</v>
      </c>
      <c r="L609" s="13" t="n">
        <v>1937.25</v>
      </c>
      <c r="M609" s="13" t="n">
        <v>2201.46</v>
      </c>
      <c r="N609" s="13" t="n">
        <v>4119</v>
      </c>
      <c r="O609" s="38" t="n">
        <v>53.45</v>
      </c>
      <c r="P609" s="39" t="inlineStr">
        <is>
          <t>Windy</t>
        </is>
      </c>
      <c r="Q609" s="13" t="n">
        <v>286</v>
      </c>
      <c r="R609" s="13" t="n">
        <v>713.37</v>
      </c>
      <c r="S609" s="13" t="n">
        <v>-586.12</v>
      </c>
      <c r="T609" s="13" t="n">
        <v>10816.31</v>
      </c>
      <c r="U609" s="13" t="n">
        <v>750.3</v>
      </c>
      <c r="V609" s="13" t="n">
        <v>238.31</v>
      </c>
      <c r="W609" s="13" t="n">
        <v>1420.84</v>
      </c>
      <c r="X609" s="13" t="n">
        <v>2374.51</v>
      </c>
      <c r="Y609" s="13" t="n">
        <v>1517.23</v>
      </c>
      <c r="Z609" s="19" t="n"/>
      <c r="AA609" s="18" t="n"/>
      <c r="AB609" s="38" t="n">
        <v>26.93</v>
      </c>
      <c r="AC609" s="14">
        <f>IFERROR(AVERAGEIFS($E$16:$E$736,$W$16:$W$736,"&gt;="&amp;W609-$C$5,$W$16:$W$736,"&lt;="&amp;W609+$C$5,$B$16:$B$736,B609,$A$16:$A$736,"&lt;&gt;"&amp;A609),"")</f>
        <v/>
      </c>
      <c r="AD609" s="14">
        <f>IF(AND(ISNUMBER(E609),ISNUMBER(AC609)),E609-AC609,"")</f>
        <v/>
      </c>
    </row>
    <row r="610">
      <c r="A610" s="17" t="n">
        <v>45667</v>
      </c>
      <c r="B610" s="29">
        <f>MONTH(A610)</f>
        <v/>
      </c>
      <c r="C610" s="29">
        <f>IF(AND(ISNUMBER(W610),ISNUMBER($C$4),ABS(W610-$C$4)&lt;=$C$5,ABS(MOD(B610-$C$6+6,12)-6)&lt;=$C$7,OR($C$8="Any",P610=$C$8)),1,0)</f>
        <v/>
      </c>
      <c r="D610" s="29">
        <f>IF(C610=1,COUNTIF($C$16:C610,1),"")</f>
        <v/>
      </c>
      <c r="E610" s="18" t="n">
        <v>10.76</v>
      </c>
      <c r="F610" s="18" t="n">
        <v>15.72</v>
      </c>
      <c r="G610" s="18" t="n">
        <v>0.85</v>
      </c>
      <c r="H610" s="38" t="n">
        <v>3.43</v>
      </c>
      <c r="I610" s="38" t="n">
        <v>1.23</v>
      </c>
      <c r="J610" s="13" t="n">
        <v>11480</v>
      </c>
      <c r="K610" s="13" t="n">
        <v>11144.38</v>
      </c>
      <c r="L610" s="13" t="n">
        <v>3503.12</v>
      </c>
      <c r="M610" s="13" t="n">
        <v>3400.08</v>
      </c>
      <c r="N610" s="13" t="n">
        <v>4110.67</v>
      </c>
      <c r="O610" s="38" t="n">
        <v>82.70999999999999</v>
      </c>
      <c r="P610" s="39" t="inlineStr">
        <is>
          <t>Windy</t>
        </is>
      </c>
      <c r="Q610" s="13" t="n">
        <v>406</v>
      </c>
      <c r="R610" s="13" t="n">
        <v>715.8</v>
      </c>
      <c r="S610" s="13" t="n">
        <v>-901.75</v>
      </c>
      <c r="T610" s="13" t="n">
        <v>10810.69</v>
      </c>
      <c r="U610" s="13" t="n">
        <v>801.35</v>
      </c>
      <c r="V610" s="13" t="n">
        <v>67.91</v>
      </c>
      <c r="W610" s="13" t="n">
        <v>2821.15</v>
      </c>
      <c r="X610" s="13" t="n">
        <v>3402.61</v>
      </c>
      <c r="Y610" s="13" t="n">
        <v>2928.38</v>
      </c>
      <c r="Z610" s="19" t="n"/>
      <c r="AA610" s="18" t="n"/>
      <c r="AB610" s="38" t="n">
        <v>36.8</v>
      </c>
      <c r="AC610" s="14">
        <f>IFERROR(AVERAGEIFS($E$16:$E$736,$W$16:$W$736,"&gt;="&amp;W610-$C$5,$W$16:$W$736,"&lt;="&amp;W610+$C$5,$B$16:$B$736,B610,$A$16:$A$736,"&lt;&gt;"&amp;A610),"")</f>
        <v/>
      </c>
      <c r="AD610" s="14">
        <f>IF(AND(ISNUMBER(E610),ISNUMBER(AC610)),E610-AC610,"")</f>
        <v/>
      </c>
    </row>
    <row r="611">
      <c r="A611" s="17" t="n">
        <v>45666</v>
      </c>
      <c r="B611" s="29">
        <f>MONTH(A611)</f>
        <v/>
      </c>
      <c r="C611" s="29">
        <f>IF(AND(ISNUMBER(W611),ISNUMBER($C$4),ABS(W611-$C$4)&lt;=$C$5,ABS(MOD(B611-$C$6+6,12)-6)&lt;=$C$7,OR($C$8="Any",P611=$C$8)),1,0)</f>
        <v/>
      </c>
      <c r="D611" s="29">
        <f>IF(C611=1,COUNTIF($C$16:C611,1),"")</f>
        <v/>
      </c>
      <c r="E611" s="18" t="n">
        <v>51.49</v>
      </c>
      <c r="F611" s="18" t="n">
        <v>67.27</v>
      </c>
      <c r="G611" s="18" t="n">
        <v>19.91</v>
      </c>
      <c r="H611" s="38" t="n">
        <v>-1.83</v>
      </c>
      <c r="I611" s="38" t="n">
        <v>-3.61</v>
      </c>
      <c r="J611" s="13" t="n">
        <v>11423</v>
      </c>
      <c r="K611" s="13" t="n">
        <v>11119.44</v>
      </c>
      <c r="L611" s="13" t="n">
        <v>1993.69</v>
      </c>
      <c r="M611" s="13" t="n">
        <v>2249.67</v>
      </c>
      <c r="N611" s="13" t="n">
        <v>4109</v>
      </c>
      <c r="O611" s="38" t="n">
        <v>54.75</v>
      </c>
      <c r="P611" s="39" t="inlineStr">
        <is>
          <t>Windy</t>
        </is>
      </c>
      <c r="Q611" s="13" t="n">
        <v>951</v>
      </c>
      <c r="R611" s="13" t="n">
        <v>573.61</v>
      </c>
      <c r="S611" s="13" t="n">
        <v>-379.96</v>
      </c>
      <c r="T611" s="13" t="n">
        <v>10253.88</v>
      </c>
      <c r="U611" s="13" t="n">
        <v>781.6</v>
      </c>
      <c r="V611" s="13" t="n">
        <v>248.35</v>
      </c>
      <c r="W611" s="13" t="n">
        <v>1474.03</v>
      </c>
      <c r="X611" s="13" t="n">
        <v>2371.79</v>
      </c>
      <c r="Y611" s="13" t="n">
        <v>1412.88</v>
      </c>
      <c r="Z611" s="19" t="n"/>
      <c r="AA611" s="18" t="n"/>
      <c r="AB611" s="38" t="n">
        <v>26.33</v>
      </c>
      <c r="AC611" s="14">
        <f>IFERROR(AVERAGEIFS($E$16:$E$736,$W$16:$W$736,"&gt;="&amp;W611-$C$5,$W$16:$W$736,"&lt;="&amp;W611+$C$5,$B$16:$B$736,B611,$A$16:$A$736,"&lt;&gt;"&amp;A611),"")</f>
        <v/>
      </c>
      <c r="AD611" s="14">
        <f>IF(AND(ISNUMBER(E611),ISNUMBER(AC611)),E611-AC611,"")</f>
        <v/>
      </c>
    </row>
    <row r="612">
      <c r="A612" s="17" t="n">
        <v>45665</v>
      </c>
      <c r="B612" s="29">
        <f>MONTH(A612)</f>
        <v/>
      </c>
      <c r="C612" s="29">
        <f>IF(AND(ISNUMBER(W612),ISNUMBER($C$4),ABS(W612-$C$4)&lt;=$C$5,ABS(MOD(B612-$C$6+6,12)-6)&lt;=$C$7,OR($C$8="Any",P612=$C$8)),1,0)</f>
        <v/>
      </c>
      <c r="D612" s="29">
        <f>IF(C612=1,COUNTIF($C$16:C612,1),"")</f>
        <v/>
      </c>
      <c r="E612" s="18" t="n">
        <v>18.2</v>
      </c>
      <c r="F612" s="18" t="n">
        <v>23.32</v>
      </c>
      <c r="G612" s="18" t="n">
        <v>7.97</v>
      </c>
      <c r="H612" s="38" t="n">
        <v>1.77</v>
      </c>
      <c r="I612" s="38" t="n">
        <v>0.97</v>
      </c>
      <c r="J612" s="13" t="n">
        <v>11545</v>
      </c>
      <c r="K612" s="13" t="n">
        <v>11085.81</v>
      </c>
      <c r="L612" s="13" t="n">
        <v>3111.88</v>
      </c>
      <c r="M612" s="13" t="n">
        <v>3235.25</v>
      </c>
      <c r="N612" s="13" t="n">
        <v>4109</v>
      </c>
      <c r="O612" s="38" t="n">
        <v>78.73999999999999</v>
      </c>
      <c r="P612" s="39" t="inlineStr">
        <is>
          <t>Windy</t>
        </is>
      </c>
      <c r="Q612" s="13" t="n">
        <v>712</v>
      </c>
      <c r="R612" s="13" t="n">
        <v>707.75</v>
      </c>
      <c r="S612" s="13" t="n">
        <v>-817.71</v>
      </c>
      <c r="T612" s="13" t="n">
        <v>10107.9</v>
      </c>
      <c r="U612" s="13" t="n">
        <v>808.42</v>
      </c>
      <c r="V612" s="13" t="n">
        <v>366.96</v>
      </c>
      <c r="W612" s="13" t="n">
        <v>1846.14</v>
      </c>
      <c r="X612" s="13" t="n">
        <v>2588.39</v>
      </c>
      <c r="Y612" s="13" t="n">
        <v>1942.28</v>
      </c>
      <c r="Z612" s="19" t="n"/>
      <c r="AA612" s="18" t="n"/>
      <c r="AB612" s="38" t="n">
        <v>41.57</v>
      </c>
      <c r="AC612" s="14">
        <f>IFERROR(AVERAGEIFS($E$16:$E$736,$W$16:$W$736,"&gt;="&amp;W612-$C$5,$W$16:$W$736,"&lt;="&amp;W612+$C$5,$B$16:$B$736,B612,$A$16:$A$736,"&lt;&gt;"&amp;A612),"")</f>
        <v/>
      </c>
      <c r="AD612" s="14">
        <f>IF(AND(ISNUMBER(E612),ISNUMBER(AC612)),E612-AC612,"")</f>
        <v/>
      </c>
    </row>
    <row r="613">
      <c r="A613" s="17" t="n">
        <v>45664</v>
      </c>
      <c r="B613" s="29">
        <f>MONTH(A613)</f>
        <v/>
      </c>
      <c r="C613" s="29">
        <f>IF(AND(ISNUMBER(W613),ISNUMBER($C$4),ABS(W613-$C$4)&lt;=$C$5,ABS(MOD(B613-$C$6+6,12)-6)&lt;=$C$7,OR($C$8="Any",P613=$C$8)),1,0)</f>
        <v/>
      </c>
      <c r="D613" s="29">
        <f>IF(C613=1,COUNTIF($C$16:C613,1),"")</f>
        <v/>
      </c>
      <c r="E613" s="18" t="n">
        <v>14.82</v>
      </c>
      <c r="F613" s="18" t="n">
        <v>10.98</v>
      </c>
      <c r="G613" s="18" t="n">
        <v>22.5</v>
      </c>
      <c r="H613" s="38" t="n">
        <v>1.8</v>
      </c>
      <c r="I613" s="38" t="n">
        <v>-4.89</v>
      </c>
      <c r="J613" s="13" t="n">
        <v>11570</v>
      </c>
      <c r="K613" s="13" t="n">
        <v>11201.25</v>
      </c>
      <c r="L613" s="13" t="n">
        <v>3457.94</v>
      </c>
      <c r="M613" s="13" t="n">
        <v>2844</v>
      </c>
      <c r="N613" s="13" t="n">
        <v>4109</v>
      </c>
      <c r="O613" s="38" t="n">
        <v>69.20999999999999</v>
      </c>
      <c r="P613" s="39" t="inlineStr">
        <is>
          <t>Windy</t>
        </is>
      </c>
      <c r="Q613" s="13" t="n">
        <v>633</v>
      </c>
      <c r="R613" s="13" t="n">
        <v>713.04</v>
      </c>
      <c r="S613" s="13" t="n">
        <v>-833.29</v>
      </c>
      <c r="T613" s="13" t="n">
        <v>11194.48</v>
      </c>
      <c r="U613" s="13" t="n">
        <v>815.4299999999999</v>
      </c>
      <c r="V613" s="13" t="n">
        <v>456.92</v>
      </c>
      <c r="W613" s="13" t="n">
        <v>2656.84</v>
      </c>
      <c r="X613" s="13" t="n">
        <v>3787.84</v>
      </c>
      <c r="Y613" s="13" t="n">
        <v>2716.84</v>
      </c>
      <c r="Z613" s="19" t="n"/>
      <c r="AA613" s="18" t="n"/>
      <c r="AB613" s="38" t="n">
        <v>35.06</v>
      </c>
      <c r="AC613" s="14">
        <f>IFERROR(AVERAGEIFS($E$16:$E$736,$W$16:$W$736,"&gt;="&amp;W613-$C$5,$W$16:$W$736,"&lt;="&amp;W613+$C$5,$B$16:$B$736,B613,$A$16:$A$736,"&lt;&gt;"&amp;A613),"")</f>
        <v/>
      </c>
      <c r="AD613" s="14">
        <f>IF(AND(ISNUMBER(E613),ISNUMBER(AC613)),E613-AC613,"")</f>
        <v/>
      </c>
    </row>
    <row r="614">
      <c r="A614" s="17" t="n">
        <v>45663</v>
      </c>
      <c r="B614" s="29">
        <f>MONTH(A614)</f>
        <v/>
      </c>
      <c r="C614" s="29">
        <f>IF(AND(ISNUMBER(W614),ISNUMBER($C$4),ABS(W614-$C$4)&lt;=$C$5,ABS(MOD(B614-$C$6+6,12)-6)&lt;=$C$7,OR($C$8="Any",P614=$C$8)),1,0)</f>
        <v/>
      </c>
      <c r="D614" s="29">
        <f>IF(C614=1,COUNTIF($C$16:C614,1),"")</f>
        <v/>
      </c>
      <c r="E614" s="18" t="n">
        <v>75.3</v>
      </c>
      <c r="F614" s="18" t="n">
        <v>91.67</v>
      </c>
      <c r="G614" s="18" t="n">
        <v>42.55</v>
      </c>
      <c r="H614" s="38" t="n">
        <v>-5.2</v>
      </c>
      <c r="I614" s="38" t="n">
        <v>-10.68</v>
      </c>
      <c r="J614" s="13" t="n">
        <v>11864</v>
      </c>
      <c r="K614" s="13" t="n">
        <v>11599.56</v>
      </c>
      <c r="L614" s="13" t="n">
        <v>293.12</v>
      </c>
      <c r="M614" s="13" t="n">
        <v>232.38</v>
      </c>
      <c r="N614" s="13" t="n">
        <v>4109</v>
      </c>
      <c r="O614" s="38" t="n">
        <v>5.66</v>
      </c>
      <c r="P614" s="39" t="inlineStr">
        <is>
          <t>Calm</t>
        </is>
      </c>
      <c r="Q614" s="13" t="n">
        <v>197</v>
      </c>
      <c r="R614" s="13" t="n">
        <v>724.33</v>
      </c>
      <c r="S614" s="13" t="n">
        <v>77.67</v>
      </c>
      <c r="T614" s="13" t="n">
        <v>11622.09</v>
      </c>
      <c r="U614" s="13" t="n">
        <v>802.39</v>
      </c>
      <c r="V614" s="13" t="n">
        <v>34.04</v>
      </c>
      <c r="W614" s="13" t="n">
        <v>1206.23</v>
      </c>
      <c r="X614" s="13" t="n">
        <v>1552.48</v>
      </c>
      <c r="Y614" s="13" t="n">
        <v>1304.94</v>
      </c>
      <c r="Z614" s="19" t="n"/>
      <c r="AA614" s="18" t="n"/>
      <c r="AB614" s="38" t="n">
        <v>18.58</v>
      </c>
      <c r="AC614" s="14">
        <f>IFERROR(AVERAGEIFS($E$16:$E$736,$W$16:$W$736,"&gt;="&amp;W614-$C$5,$W$16:$W$736,"&lt;="&amp;W614+$C$5,$B$16:$B$736,B614,$A$16:$A$736,"&lt;&gt;"&amp;A614),"")</f>
        <v/>
      </c>
      <c r="AD614" s="14">
        <f>IF(AND(ISNUMBER(E614),ISNUMBER(AC614)),E614-AC614,"")</f>
        <v/>
      </c>
    </row>
    <row r="615">
      <c r="A615" s="17" t="n">
        <v>45662</v>
      </c>
      <c r="B615" s="29">
        <f>MONTH(A615)</f>
        <v/>
      </c>
      <c r="C615" s="29">
        <f>IF(AND(ISNUMBER(W615),ISNUMBER($C$4),ABS(W615-$C$4)&lt;=$C$5,ABS(MOD(B615-$C$6+6,12)-6)&lt;=$C$7,OR($C$8="Any",P615=$C$8)),1,0)</f>
        <v/>
      </c>
      <c r="D615" s="29">
        <f>IF(C615=1,COUNTIF($C$16:C615,1),"")</f>
        <v/>
      </c>
      <c r="E615" s="18" t="n">
        <v>48.2</v>
      </c>
      <c r="F615" s="18" t="n">
        <v>54.86</v>
      </c>
      <c r="G615" s="18" t="n">
        <v>34.88</v>
      </c>
      <c r="H615" s="38" t="n">
        <v>-14.13</v>
      </c>
      <c r="I615" s="38" t="n">
        <v>-15.83</v>
      </c>
      <c r="J615" s="13" t="n">
        <v>11889</v>
      </c>
      <c r="K615" s="13" t="n">
        <v>11479.69</v>
      </c>
      <c r="L615" s="13" t="n">
        <v>106.56</v>
      </c>
      <c r="M615" s="13" t="n">
        <v>157.46</v>
      </c>
      <c r="N615" s="13" t="n">
        <v>4109</v>
      </c>
      <c r="O615" s="38" t="n">
        <v>3.83</v>
      </c>
      <c r="P615" s="39" t="inlineStr">
        <is>
          <t>Calm</t>
        </is>
      </c>
      <c r="Q615" s="13" t="n">
        <v>230</v>
      </c>
      <c r="R615" s="13" t="n">
        <v>724.1</v>
      </c>
      <c r="S615" s="13" t="n">
        <v>6.62</v>
      </c>
      <c r="T615" s="13" t="n">
        <v>11671.24</v>
      </c>
      <c r="U615" s="13" t="n">
        <v>813.21</v>
      </c>
      <c r="V615" s="13" t="n">
        <v>6.09</v>
      </c>
      <c r="W615" s="13" t="n">
        <v>1225.82</v>
      </c>
      <c r="X615" s="13" t="n">
        <v>1548.84</v>
      </c>
      <c r="Y615" s="13" t="n">
        <v>1295.19</v>
      </c>
      <c r="Z615" s="19" t="n"/>
      <c r="AA615" s="18" t="n"/>
      <c r="AB615" s="38" t="n">
        <v>6.81</v>
      </c>
      <c r="AC615" s="14">
        <f>IFERROR(AVERAGEIFS($E$16:$E$736,$W$16:$W$736,"&gt;="&amp;W615-$C$5,$W$16:$W$736,"&lt;="&amp;W615+$C$5,$B$16:$B$736,B615,$A$16:$A$736,"&lt;&gt;"&amp;A615),"")</f>
        <v/>
      </c>
      <c r="AD615" s="14">
        <f>IF(AND(ISNUMBER(E615),ISNUMBER(AC615)),E615-AC615,"")</f>
        <v/>
      </c>
    </row>
    <row r="616">
      <c r="A616" s="17" t="n">
        <v>45661</v>
      </c>
      <c r="B616" s="29">
        <f>MONTH(A616)</f>
        <v/>
      </c>
      <c r="C616" s="29">
        <f>IF(AND(ISNUMBER(W616),ISNUMBER($C$4),ABS(W616-$C$4)&lt;=$C$5,ABS(MOD(B616-$C$6+6,12)-6)&lt;=$C$7,OR($C$8="Any",P616=$C$8)),1,0)</f>
        <v/>
      </c>
      <c r="D616" s="29">
        <f>IF(C616=1,COUNTIF($C$16:C616,1),"")</f>
        <v/>
      </c>
      <c r="E616" s="18" t="n">
        <v>28.06</v>
      </c>
      <c r="F616" s="18" t="n">
        <v>28.06</v>
      </c>
      <c r="G616" s="18" t="n">
        <v>28.05</v>
      </c>
      <c r="H616" s="38" t="n">
        <v>-14.57</v>
      </c>
      <c r="I616" s="38" t="n">
        <v>-15.91</v>
      </c>
      <c r="J616" s="13" t="n">
        <v>11916</v>
      </c>
      <c r="K616" s="13" t="n">
        <v>11533.94</v>
      </c>
      <c r="L616" s="13" t="n">
        <v>1233.25</v>
      </c>
      <c r="M616" s="13" t="n">
        <v>1275.62</v>
      </c>
      <c r="N616" s="13" t="n">
        <v>4109</v>
      </c>
      <c r="O616" s="38" t="n">
        <v>31.04</v>
      </c>
      <c r="P616" s="39" t="inlineStr">
        <is>
          <t>Windy</t>
        </is>
      </c>
      <c r="Q616" s="13" t="n">
        <v>173</v>
      </c>
      <c r="R616" s="13" t="n">
        <v>726.34</v>
      </c>
      <c r="S616" s="13" t="n">
        <v>-482.12</v>
      </c>
      <c r="T616" s="13" t="n">
        <v>11660.61</v>
      </c>
      <c r="U616" s="13" t="n">
        <v>807.0599999999999</v>
      </c>
      <c r="V616" s="13" t="n">
        <v>6.09</v>
      </c>
      <c r="W616" s="13" t="n">
        <v>1854.06</v>
      </c>
      <c r="X616" s="13" t="n">
        <v>2176.05</v>
      </c>
      <c r="Y616" s="13" t="n">
        <v>1976.3</v>
      </c>
      <c r="Z616" s="19" t="n"/>
      <c r="AA616" s="18" t="n"/>
      <c r="AB616" s="38" t="n">
        <v>12.44</v>
      </c>
      <c r="AC616" s="14">
        <f>IFERROR(AVERAGEIFS($E$16:$E$736,$W$16:$W$736,"&gt;="&amp;W616-$C$5,$W$16:$W$736,"&lt;="&amp;W616+$C$5,$B$16:$B$736,B616,$A$16:$A$736,"&lt;&gt;"&amp;A616),"")</f>
        <v/>
      </c>
      <c r="AD616" s="14">
        <f>IF(AND(ISNUMBER(E616),ISNUMBER(AC616)),E616-AC616,"")</f>
        <v/>
      </c>
    </row>
    <row r="617">
      <c r="A617" s="17" t="n">
        <v>45660</v>
      </c>
      <c r="B617" s="29">
        <f>MONTH(A617)</f>
        <v/>
      </c>
      <c r="C617" s="29">
        <f>IF(AND(ISNUMBER(W617),ISNUMBER($C$4),ABS(W617-$C$4)&lt;=$C$5,ABS(MOD(B617-$C$6+6,12)-6)&lt;=$C$7,OR($C$8="Any",P617=$C$8)),1,0)</f>
        <v/>
      </c>
      <c r="D617" s="29">
        <f>IF(C617=1,COUNTIF($C$16:C617,1),"")</f>
        <v/>
      </c>
      <c r="E617" s="18" t="n">
        <v>36.57</v>
      </c>
      <c r="F617" s="18" t="n">
        <v>32.89</v>
      </c>
      <c r="G617" s="18" t="n">
        <v>43.92</v>
      </c>
      <c r="H617" s="38" t="n">
        <v>-15.77</v>
      </c>
      <c r="I617" s="38" t="n">
        <v>-19.16</v>
      </c>
      <c r="J617" s="13" t="n">
        <v>12171</v>
      </c>
      <c r="K617" s="13" t="n">
        <v>11901.06</v>
      </c>
      <c r="L617" s="13" t="n">
        <v>1355.94</v>
      </c>
      <c r="M617" s="13" t="n">
        <v>1048</v>
      </c>
      <c r="N617" s="13" t="n">
        <v>4109</v>
      </c>
      <c r="O617" s="38" t="n">
        <v>25.5</v>
      </c>
      <c r="P617" s="39" t="inlineStr">
        <is>
          <t>Windy</t>
        </is>
      </c>
      <c r="Q617" s="13" t="n">
        <v>111</v>
      </c>
      <c r="R617" s="13" t="n">
        <v>591.53</v>
      </c>
      <c r="S617" s="13" t="n">
        <v>-170.5</v>
      </c>
      <c r="T617" s="13" t="n">
        <v>11668.4</v>
      </c>
      <c r="U617" s="13" t="n">
        <v>803.5599999999999</v>
      </c>
      <c r="V617" s="13" t="n">
        <v>54.81</v>
      </c>
      <c r="W617" s="13" t="n">
        <v>1500.94</v>
      </c>
      <c r="X617" s="13" t="n">
        <v>2025.09</v>
      </c>
      <c r="Y617" s="13" t="n">
        <v>1440.08</v>
      </c>
      <c r="Z617" s="19" t="n"/>
      <c r="AA617" s="18" t="n"/>
      <c r="AB617" s="38" t="n">
        <v>20.7</v>
      </c>
      <c r="AC617" s="14">
        <f>IFERROR(AVERAGEIFS($E$16:$E$736,$W$16:$W$736,"&gt;="&amp;W617-$C$5,$W$16:$W$736,"&lt;="&amp;W617+$C$5,$B$16:$B$736,B617,$A$16:$A$736,"&lt;&gt;"&amp;A617),"")</f>
        <v/>
      </c>
      <c r="AD617" s="14">
        <f>IF(AND(ISNUMBER(E617),ISNUMBER(AC617)),E617-AC617,"")</f>
        <v/>
      </c>
    </row>
    <row r="618">
      <c r="A618" s="17" t="n">
        <v>45659</v>
      </c>
      <c r="B618" s="29">
        <f>MONTH(A618)</f>
        <v/>
      </c>
      <c r="C618" s="29">
        <f>IF(AND(ISNUMBER(W618),ISNUMBER($C$4),ABS(W618-$C$4)&lt;=$C$5,ABS(MOD(B618-$C$6+6,12)-6)&lt;=$C$7,OR($C$8="Any",P618=$C$8)),1,0)</f>
        <v/>
      </c>
      <c r="D618" s="29">
        <f>IF(C618=1,COUNTIF($C$16:C618,1),"")</f>
        <v/>
      </c>
      <c r="E618" s="18" t="n">
        <v>116.17</v>
      </c>
      <c r="F618" s="18" t="n">
        <v>148.75</v>
      </c>
      <c r="G618" s="18" t="n">
        <v>51.02</v>
      </c>
      <c r="H618" s="38" t="n">
        <v>-16.93</v>
      </c>
      <c r="I618" s="38" t="n">
        <v>-18.6</v>
      </c>
      <c r="J618" s="13" t="n">
        <v>12110</v>
      </c>
      <c r="K618" s="13" t="n">
        <v>11694.56</v>
      </c>
      <c r="L618" s="13" t="n">
        <v>61.88</v>
      </c>
      <c r="M618" s="13" t="n">
        <v>57.71</v>
      </c>
      <c r="N618" s="13" t="n">
        <v>4109</v>
      </c>
      <c r="O618" s="38" t="n">
        <v>1.4</v>
      </c>
      <c r="P618" s="39" t="inlineStr">
        <is>
          <t>Calm</t>
        </is>
      </c>
      <c r="Q618" s="13" t="n">
        <v>139</v>
      </c>
      <c r="R618" s="13" t="n">
        <v>723.36</v>
      </c>
      <c r="S618" s="13" t="n">
        <v>81.38</v>
      </c>
      <c r="T618" s="13" t="n">
        <v>11692.53</v>
      </c>
      <c r="U618" s="13" t="n">
        <v>819.4299999999999</v>
      </c>
      <c r="V618" s="13" t="n">
        <v>313.57</v>
      </c>
      <c r="W618" s="13" t="n">
        <v>1012.6</v>
      </c>
      <c r="X618" s="13" t="n">
        <v>1352.49</v>
      </c>
      <c r="Y618" s="13" t="n">
        <v>1100.65</v>
      </c>
      <c r="Z618" s="19" t="n"/>
      <c r="AA618" s="18" t="n"/>
      <c r="AB618" s="38" t="n">
        <v>7.5</v>
      </c>
      <c r="AC618" s="14">
        <f>IFERROR(AVERAGEIFS($E$16:$E$736,$W$16:$W$736,"&gt;="&amp;W618-$C$5,$W$16:$W$736,"&lt;="&amp;W618+$C$5,$B$16:$B$736,B618,$A$16:$A$736,"&lt;&gt;"&amp;A618),"")</f>
        <v/>
      </c>
      <c r="AD618" s="14">
        <f>IF(AND(ISNUMBER(E618),ISNUMBER(AC618)),E618-AC618,"")</f>
        <v/>
      </c>
    </row>
    <row r="619">
      <c r="A619" s="17" t="n">
        <v>45658</v>
      </c>
      <c r="B619" s="29">
        <f>MONTH(A619)</f>
        <v/>
      </c>
      <c r="C619" s="29">
        <f>IF(AND(ISNUMBER(W619),ISNUMBER($C$4),ABS(W619-$C$4)&lt;=$C$5,ABS(MOD(B619-$C$6+6,12)-6)&lt;=$C$7,OR($C$8="Any",P619=$C$8)),1,0)</f>
        <v/>
      </c>
      <c r="D619" s="29">
        <f>IF(C619=1,COUNTIF($C$16:C619,1),"")</f>
        <v/>
      </c>
      <c r="E619" s="18" t="n">
        <v>36.74</v>
      </c>
      <c r="F619" s="18" t="n">
        <v>38.38</v>
      </c>
      <c r="G619" s="18" t="n">
        <v>33.48</v>
      </c>
      <c r="H619" s="38" t="n">
        <v>-11.4</v>
      </c>
      <c r="I619" s="38" t="n">
        <v>-14.31</v>
      </c>
      <c r="J619" s="13" t="n">
        <v>11563</v>
      </c>
      <c r="K619" s="13" t="n">
        <v>11118.25</v>
      </c>
      <c r="L619" s="13" t="n">
        <v>119.5</v>
      </c>
      <c r="M619" s="13" t="n">
        <v>172.46</v>
      </c>
      <c r="N619" s="13" t="n">
        <v>4109</v>
      </c>
      <c r="O619" s="38" t="n">
        <v>4.2</v>
      </c>
      <c r="P619" s="39" t="inlineStr">
        <is>
          <t>Calm</t>
        </is>
      </c>
      <c r="Q619" s="13" t="n">
        <v>131</v>
      </c>
      <c r="R619" s="13" t="n">
        <v>722.76</v>
      </c>
      <c r="S619" s="13" t="n">
        <v>-73.62</v>
      </c>
      <c r="T619" s="13" t="n">
        <v>11667.57</v>
      </c>
      <c r="U619" s="13" t="n">
        <v>830.87</v>
      </c>
      <c r="V619" s="13" t="n">
        <v>59.13</v>
      </c>
      <c r="W619" s="13" t="n">
        <v>1432.5</v>
      </c>
      <c r="X619" s="13" t="n">
        <v>1774.65</v>
      </c>
      <c r="Y619" s="13" t="n">
        <v>1489.52</v>
      </c>
      <c r="Z619" s="19" t="n"/>
      <c r="AA619" s="18" t="n"/>
      <c r="AB619" s="38" t="n">
        <v>8.390000000000001</v>
      </c>
      <c r="AC619" s="14">
        <f>IFERROR(AVERAGEIFS($E$16:$E$736,$W$16:$W$736,"&gt;="&amp;W619-$C$5,$W$16:$W$736,"&lt;="&amp;W619+$C$5,$B$16:$B$736,B619,$A$16:$A$736,"&lt;&gt;"&amp;A619),"")</f>
        <v/>
      </c>
      <c r="AD619" s="14">
        <f>IF(AND(ISNUMBER(E619),ISNUMBER(AC619)),E619-AC619,"")</f>
        <v/>
      </c>
    </row>
    <row r="620">
      <c r="A620" s="17" t="n">
        <v>45657</v>
      </c>
      <c r="B620" s="29">
        <f>MONTH(A620)</f>
        <v/>
      </c>
      <c r="C620" s="29">
        <f>IF(AND(ISNUMBER(W620),ISNUMBER($C$4),ABS(W620-$C$4)&lt;=$C$5,ABS(MOD(B620-$C$6+6,12)-6)&lt;=$C$7,OR($C$8="Any",P620=$C$8)),1,0)</f>
        <v/>
      </c>
      <c r="D620" s="29">
        <f>IF(C620=1,COUNTIF($C$16:C620,1),"")</f>
        <v/>
      </c>
      <c r="E620" s="18" t="n">
        <v>39.23</v>
      </c>
      <c r="F620" s="18" t="n">
        <v>41.04</v>
      </c>
      <c r="G620" s="18" t="n">
        <v>35.61</v>
      </c>
      <c r="H620" s="38" t="n">
        <v>-7.7</v>
      </c>
      <c r="I620" s="38" t="n">
        <v>-8.779999999999999</v>
      </c>
      <c r="J620" s="13" t="n">
        <v>11904</v>
      </c>
      <c r="K620" s="13" t="n">
        <v>11434.94</v>
      </c>
      <c r="L620" s="13" t="n">
        <v>430.69</v>
      </c>
      <c r="M620" s="13" t="n">
        <v>437.33</v>
      </c>
      <c r="N620" s="13" t="n">
        <v>4109</v>
      </c>
      <c r="O620" s="38" t="n">
        <v>10.64</v>
      </c>
      <c r="P620" s="39" t="inlineStr">
        <is>
          <t>Calm</t>
        </is>
      </c>
      <c r="Q620" s="13" t="n">
        <v>191</v>
      </c>
      <c r="R620" s="13" t="n">
        <v>719.52</v>
      </c>
      <c r="S620" s="13" t="n">
        <v>-62.04</v>
      </c>
      <c r="T620" s="13" t="n">
        <v>11206.03</v>
      </c>
      <c r="U620" s="13" t="n">
        <v>820.16</v>
      </c>
      <c r="V620" s="13" t="n">
        <v>16.12</v>
      </c>
      <c r="W620" s="13" t="n">
        <v>899.8099999999999</v>
      </c>
      <c r="X620" s="13" t="n">
        <v>1303.47</v>
      </c>
      <c r="Y620" s="13" t="n">
        <v>956.92</v>
      </c>
      <c r="Z620" s="19" t="n"/>
      <c r="AA620" s="18" t="n"/>
      <c r="AB620" s="38" t="n">
        <v>10.36</v>
      </c>
      <c r="AC620" s="14">
        <f>IFERROR(AVERAGEIFS($E$16:$E$736,$W$16:$W$736,"&gt;="&amp;W620-$C$5,$W$16:$W$736,"&lt;="&amp;W620+$C$5,$B$16:$B$736,B620,$A$16:$A$736,"&lt;&gt;"&amp;A620),"")</f>
        <v/>
      </c>
      <c r="AD620" s="14">
        <f>IF(AND(ISNUMBER(E620),ISNUMBER(AC620)),E620-AC620,"")</f>
        <v/>
      </c>
    </row>
    <row r="621">
      <c r="A621" s="17" t="n">
        <v>45656</v>
      </c>
      <c r="B621" s="29">
        <f>MONTH(A621)</f>
        <v/>
      </c>
      <c r="C621" s="29">
        <f>IF(AND(ISNUMBER(W621),ISNUMBER($C$4),ABS(W621-$C$4)&lt;=$C$5,ABS(MOD(B621-$C$6+6,12)-6)&lt;=$C$7,OR($C$8="Any",P621=$C$8)),1,0)</f>
        <v/>
      </c>
      <c r="D621" s="29">
        <f>IF(C621=1,COUNTIF($C$16:C621,1),"")</f>
        <v/>
      </c>
      <c r="E621" s="18" t="n">
        <v>33.32</v>
      </c>
      <c r="F621" s="18" t="n">
        <v>36.58</v>
      </c>
      <c r="G621" s="18" t="n">
        <v>26.79</v>
      </c>
      <c r="H621" s="38" t="n">
        <v>-5.03</v>
      </c>
      <c r="I621" s="38" t="n">
        <v>-6.17</v>
      </c>
      <c r="J621" s="13" t="n">
        <v>11701</v>
      </c>
      <c r="K621" s="13" t="n">
        <v>11321.12</v>
      </c>
      <c r="L621" s="13" t="n">
        <v>738.75</v>
      </c>
      <c r="M621" s="13" t="n">
        <v>742.12</v>
      </c>
      <c r="N621" s="13" t="n">
        <v>4109</v>
      </c>
      <c r="O621" s="38" t="n">
        <v>18.06</v>
      </c>
      <c r="P621" s="39" t="inlineStr">
        <is>
          <t>Windy</t>
        </is>
      </c>
      <c r="Q621" s="13" t="n">
        <v>320</v>
      </c>
      <c r="R621" s="13" t="n">
        <v>720.5599999999999</v>
      </c>
      <c r="S621" s="13" t="n">
        <v>-119.54</v>
      </c>
      <c r="T621" s="13" t="n">
        <v>11061.92</v>
      </c>
      <c r="U621" s="13" t="n">
        <v>817.83</v>
      </c>
      <c r="V621" s="13" t="n">
        <v>31.18</v>
      </c>
      <c r="W621" s="13" t="n">
        <v>1034.31</v>
      </c>
      <c r="X621" s="13" t="n">
        <v>1610.23</v>
      </c>
      <c r="Y621" s="13" t="n">
        <v>1100.09</v>
      </c>
      <c r="Z621" s="19" t="n"/>
      <c r="AA621" s="18" t="n"/>
      <c r="AB621" s="38" t="n">
        <v>13.04</v>
      </c>
      <c r="AC621" s="14">
        <f>IFERROR(AVERAGEIFS($E$16:$E$736,$W$16:$W$736,"&gt;="&amp;W621-$C$5,$W$16:$W$736,"&lt;="&amp;W621+$C$5,$B$16:$B$736,B621,$A$16:$A$736,"&lt;&gt;"&amp;A621),"")</f>
        <v/>
      </c>
      <c r="AD621" s="14">
        <f>IF(AND(ISNUMBER(E621),ISNUMBER(AC621)),E621-AC621,"")</f>
        <v/>
      </c>
    </row>
    <row r="622">
      <c r="A622" s="17" t="n">
        <v>45655</v>
      </c>
      <c r="B622" s="29">
        <f>MONTH(A622)</f>
        <v/>
      </c>
      <c r="C622" s="29">
        <f>IF(AND(ISNUMBER(W622),ISNUMBER($C$4),ABS(W622-$C$4)&lt;=$C$5,ABS(MOD(B622-$C$6+6,12)-6)&lt;=$C$7,OR($C$8="Any",P622=$C$8)),1,0)</f>
        <v/>
      </c>
      <c r="D622" s="29">
        <f>IF(C622=1,COUNTIF($C$16:C622,1),"")</f>
        <v/>
      </c>
      <c r="E622" s="18" t="n">
        <v>34.59</v>
      </c>
      <c r="F622" s="18" t="n">
        <v>39.02</v>
      </c>
      <c r="G622" s="18" t="n">
        <v>25.72</v>
      </c>
      <c r="H622" s="38" t="n">
        <v>-3.53</v>
      </c>
      <c r="I622" s="38" t="n">
        <v>-5.42</v>
      </c>
      <c r="J622" s="13" t="n">
        <v>11264</v>
      </c>
      <c r="K622" s="13" t="n">
        <v>10739.69</v>
      </c>
      <c r="L622" s="13" t="n">
        <v>473.25</v>
      </c>
      <c r="M622" s="13" t="n">
        <v>632.21</v>
      </c>
      <c r="N622" s="13" t="n">
        <v>4109</v>
      </c>
      <c r="O622" s="38" t="n">
        <v>15.39</v>
      </c>
      <c r="P622" s="39" t="inlineStr">
        <is>
          <t>Calm</t>
        </is>
      </c>
      <c r="Q622" s="13" t="n">
        <v>404</v>
      </c>
      <c r="R622" s="13" t="n">
        <v>719.8200000000001</v>
      </c>
      <c r="S622" s="13" t="n">
        <v>100</v>
      </c>
      <c r="T622" s="13" t="n">
        <v>10313.9</v>
      </c>
      <c r="U622" s="13" t="n">
        <v>796.55</v>
      </c>
      <c r="V622" s="13" t="n">
        <v>400.14</v>
      </c>
      <c r="W622" s="13" t="n">
        <v>1271.83</v>
      </c>
      <c r="X622" s="13" t="n">
        <v>1431.03</v>
      </c>
      <c r="Y622" s="13" t="n">
        <v>1345.56</v>
      </c>
      <c r="Z622" s="19" t="n"/>
      <c r="AA622" s="18" t="n"/>
      <c r="AB622" s="38" t="n">
        <v>12.4</v>
      </c>
      <c r="AC622" s="14">
        <f>IFERROR(AVERAGEIFS($E$16:$E$736,$W$16:$W$736,"&gt;="&amp;W622-$C$5,$W$16:$W$736,"&lt;="&amp;W622+$C$5,$B$16:$B$736,B622,$A$16:$A$736,"&lt;&gt;"&amp;A622),"")</f>
        <v/>
      </c>
      <c r="AD622" s="14">
        <f>IF(AND(ISNUMBER(E622),ISNUMBER(AC622)),E622-AC622,"")</f>
        <v/>
      </c>
    </row>
    <row r="623">
      <c r="A623" s="17" t="n">
        <v>45654</v>
      </c>
      <c r="B623" s="29">
        <f>MONTH(A623)</f>
        <v/>
      </c>
      <c r="C623" s="29">
        <f>IF(AND(ISNUMBER(W623),ISNUMBER($C$4),ABS(W623-$C$4)&lt;=$C$5,ABS(MOD(B623-$C$6+6,12)-6)&lt;=$C$7,OR($C$8="Any",P623=$C$8)),1,0)</f>
        <v/>
      </c>
      <c r="D623" s="29">
        <f>IF(C623=1,COUNTIF($C$16:C623,1),"")</f>
        <v/>
      </c>
      <c r="E623" s="18" t="n">
        <v>27.16</v>
      </c>
      <c r="F623" s="18" t="n">
        <v>28.25</v>
      </c>
      <c r="G623" s="18" t="n">
        <v>24.99</v>
      </c>
      <c r="H623" s="38" t="n">
        <v>-0.43</v>
      </c>
      <c r="I623" s="38" t="n">
        <v>-2.54</v>
      </c>
      <c r="J623" s="13" t="n">
        <v>11112</v>
      </c>
      <c r="K623" s="13" t="n">
        <v>10728.94</v>
      </c>
      <c r="L623" s="13" t="n">
        <v>1386.38</v>
      </c>
      <c r="M623" s="13" t="n">
        <v>1392.46</v>
      </c>
      <c r="N623" s="13" t="n">
        <v>4109</v>
      </c>
      <c r="O623" s="38" t="n">
        <v>33.89</v>
      </c>
      <c r="P623" s="39" t="inlineStr">
        <is>
          <t>Windy</t>
        </is>
      </c>
      <c r="Q623" s="13" t="n">
        <v>480</v>
      </c>
      <c r="R623" s="13" t="n">
        <v>721.16</v>
      </c>
      <c r="S623" s="13" t="n">
        <v>-187.29</v>
      </c>
      <c r="T623" s="13" t="n">
        <v>10470.93</v>
      </c>
      <c r="U623" s="13" t="n">
        <v>830.5599999999999</v>
      </c>
      <c r="V623" s="13" t="n">
        <v>16.12</v>
      </c>
      <c r="W623" s="13" t="n">
        <v>1656.22</v>
      </c>
      <c r="X623" s="13" t="n">
        <v>2299.82</v>
      </c>
      <c r="Y623" s="13" t="n">
        <v>1717.06</v>
      </c>
      <c r="Z623" s="19" t="n"/>
      <c r="AA623" s="18" t="n"/>
      <c r="AB623" s="38" t="n">
        <v>26.91</v>
      </c>
      <c r="AC623" s="14">
        <f>IFERROR(AVERAGEIFS($E$16:$E$736,$W$16:$W$736,"&gt;="&amp;W623-$C$5,$W$16:$W$736,"&lt;="&amp;W623+$C$5,$B$16:$B$736,B623,$A$16:$A$736,"&lt;&gt;"&amp;A623),"")</f>
        <v/>
      </c>
      <c r="AD623" s="14">
        <f>IF(AND(ISNUMBER(E623),ISNUMBER(AC623)),E623-AC623,"")</f>
        <v/>
      </c>
    </row>
    <row r="624">
      <c r="A624" s="17" t="n">
        <v>45653</v>
      </c>
      <c r="B624" s="29">
        <f>MONTH(A624)</f>
        <v/>
      </c>
      <c r="C624" s="29">
        <f>IF(AND(ISNUMBER(W624),ISNUMBER($C$4),ABS(W624-$C$4)&lt;=$C$5,ABS(MOD(B624-$C$6+6,12)-6)&lt;=$C$7,OR($C$8="Any",P624=$C$8)),1,0)</f>
        <v/>
      </c>
      <c r="D624" s="29">
        <f>IF(C624=1,COUNTIF($C$16:C624,1),"")</f>
        <v/>
      </c>
      <c r="E624" s="18" t="n">
        <v>14.72</v>
      </c>
      <c r="F624" s="18" t="n">
        <v>15.11</v>
      </c>
      <c r="G624" s="18" t="n">
        <v>13.93</v>
      </c>
      <c r="H624" s="38" t="n">
        <v>1.07</v>
      </c>
      <c r="I624" s="38" t="n">
        <v>-0.95</v>
      </c>
      <c r="J624" s="13" t="n">
        <v>11320</v>
      </c>
      <c r="K624" s="13" t="n">
        <v>10895.12</v>
      </c>
      <c r="L624" s="13" t="n">
        <v>2589.62</v>
      </c>
      <c r="M624" s="13" t="n">
        <v>2676.5</v>
      </c>
      <c r="N624" s="13" t="n">
        <v>4109</v>
      </c>
      <c r="O624" s="38" t="n">
        <v>65.14</v>
      </c>
      <c r="P624" s="39" t="inlineStr">
        <is>
          <t>Windy</t>
        </is>
      </c>
      <c r="Q624" s="13" t="n">
        <v>840</v>
      </c>
      <c r="R624" s="13" t="n">
        <v>720.8200000000001</v>
      </c>
      <c r="S624" s="13" t="n">
        <v>-509.42</v>
      </c>
      <c r="T624" s="13" t="n">
        <v>10407.22</v>
      </c>
      <c r="U624" s="13" t="n">
        <v>830.62</v>
      </c>
      <c r="V624" s="13" t="n">
        <v>924.22</v>
      </c>
      <c r="W624" s="13" t="n">
        <v>2195.36</v>
      </c>
      <c r="X624" s="13" t="n">
        <v>3093.53</v>
      </c>
      <c r="Y624" s="13" t="n">
        <v>2247.62</v>
      </c>
      <c r="Z624" s="19" t="n"/>
      <c r="AA624" s="18" t="n"/>
      <c r="AB624" s="38" t="n">
        <v>30.87</v>
      </c>
      <c r="AC624" s="14">
        <f>IFERROR(AVERAGEIFS($E$16:$E$736,$W$16:$W$736,"&gt;="&amp;W624-$C$5,$W$16:$W$736,"&lt;="&amp;W624+$C$5,$B$16:$B$736,B624,$A$16:$A$736,"&lt;&gt;"&amp;A624),"")</f>
        <v/>
      </c>
      <c r="AD624" s="14">
        <f>IF(AND(ISNUMBER(E624),ISNUMBER(AC624)),E624-AC624,"")</f>
        <v/>
      </c>
    </row>
    <row r="625">
      <c r="A625" s="17" t="n">
        <v>45652</v>
      </c>
      <c r="B625" s="29">
        <f>MONTH(A625)</f>
        <v/>
      </c>
      <c r="C625" s="29">
        <f>IF(AND(ISNUMBER(W625),ISNUMBER($C$4),ABS(W625-$C$4)&lt;=$C$5,ABS(MOD(B625-$C$6+6,12)-6)&lt;=$C$7,OR($C$8="Any",P625=$C$8)),1,0)</f>
        <v/>
      </c>
      <c r="D625" s="29">
        <f>IF(C625=1,COUNTIF($C$16:C625,1),"")</f>
        <v/>
      </c>
      <c r="E625" s="18" t="n">
        <v>13.31</v>
      </c>
      <c r="F625" s="18" t="n">
        <v>18.68</v>
      </c>
      <c r="G625" s="18" t="n">
        <v>2.56</v>
      </c>
      <c r="H625" s="38" t="n">
        <v>-1.03</v>
      </c>
      <c r="I625" s="38" t="n">
        <v>-3.03</v>
      </c>
      <c r="J625" s="13" t="n">
        <v>11087</v>
      </c>
      <c r="K625" s="13" t="n">
        <v>10679</v>
      </c>
      <c r="L625" s="13" t="n">
        <v>2078.81</v>
      </c>
      <c r="M625" s="13" t="n">
        <v>2196.29</v>
      </c>
      <c r="N625" s="13" t="n">
        <v>4109</v>
      </c>
      <c r="O625" s="38" t="n">
        <v>53.45</v>
      </c>
      <c r="P625" s="39" t="inlineStr">
        <is>
          <t>Windy</t>
        </is>
      </c>
      <c r="Q625" s="13" t="n">
        <v>314</v>
      </c>
      <c r="R625" s="13" t="n">
        <v>623.12</v>
      </c>
      <c r="S625" s="13" t="n">
        <v>-509.38</v>
      </c>
      <c r="T625" s="13" t="n">
        <v>11335.32</v>
      </c>
      <c r="U625" s="13" t="n">
        <v>839.04</v>
      </c>
      <c r="V625" s="13" t="n">
        <v>109.62</v>
      </c>
      <c r="W625" s="13" t="n">
        <v>2623.63</v>
      </c>
      <c r="X625" s="13" t="n">
        <v>3364.19</v>
      </c>
      <c r="Y625" s="13" t="n">
        <v>2672.04</v>
      </c>
      <c r="Z625" s="19" t="n"/>
      <c r="AA625" s="18" t="n"/>
      <c r="AB625" s="38" t="n">
        <v>20.51</v>
      </c>
      <c r="AC625" s="14">
        <f>IFERROR(AVERAGEIFS($E$16:$E$736,$W$16:$W$736,"&gt;="&amp;W625-$C$5,$W$16:$W$736,"&lt;="&amp;W625+$C$5,$B$16:$B$736,B625,$A$16:$A$736,"&lt;&gt;"&amp;A625),"")</f>
        <v/>
      </c>
      <c r="AD625" s="14">
        <f>IF(AND(ISNUMBER(E625),ISNUMBER(AC625)),E625-AC625,"")</f>
        <v/>
      </c>
    </row>
    <row r="626">
      <c r="A626" s="17" t="n">
        <v>45651</v>
      </c>
      <c r="B626" s="29">
        <f>MONTH(A626)</f>
        <v/>
      </c>
      <c r="C626" s="29">
        <f>IF(AND(ISNUMBER(W626),ISNUMBER($C$4),ABS(W626-$C$4)&lt;=$C$5,ABS(MOD(B626-$C$6+6,12)-6)&lt;=$C$7,OR($C$8="Any",P626=$C$8)),1,0)</f>
        <v/>
      </c>
      <c r="D626" s="29">
        <f>IF(C626=1,COUNTIF($C$16:C626,1),"")</f>
        <v/>
      </c>
      <c r="E626" s="18" t="n">
        <v>3.81</v>
      </c>
      <c r="F626" s="18" t="n">
        <v>5.71</v>
      </c>
      <c r="G626" s="18" t="n">
        <v>0</v>
      </c>
      <c r="H626" s="38" t="n">
        <v>1.57</v>
      </c>
      <c r="I626" s="38" t="n">
        <v>-0.5600000000000001</v>
      </c>
      <c r="J626" s="13" t="n">
        <v>10905</v>
      </c>
      <c r="K626" s="13" t="n">
        <v>10463</v>
      </c>
      <c r="L626" s="13" t="n">
        <v>2979.25</v>
      </c>
      <c r="M626" s="13" t="n">
        <v>2969.25</v>
      </c>
      <c r="N626" s="13" t="n">
        <v>4109</v>
      </c>
      <c r="O626" s="38" t="n">
        <v>72.26000000000001</v>
      </c>
      <c r="P626" s="39" t="inlineStr">
        <is>
          <t>Windy</t>
        </is>
      </c>
      <c r="Q626" s="13" t="n">
        <v>822</v>
      </c>
      <c r="R626" s="13" t="n">
        <v>697.51</v>
      </c>
      <c r="S626" s="13" t="n">
        <v>-936.12</v>
      </c>
      <c r="T626" s="13" t="n">
        <v>11354.27</v>
      </c>
      <c r="U626" s="13" t="n">
        <v>839.41</v>
      </c>
      <c r="V626" s="13" t="n">
        <v>19.71</v>
      </c>
      <c r="W626" s="13" t="n">
        <v>3066.49</v>
      </c>
      <c r="X626" s="13" t="n">
        <v>4282.37</v>
      </c>
      <c r="Y626" s="13" t="n">
        <v>3106.76</v>
      </c>
      <c r="Z626" s="19" t="n"/>
      <c r="AA626" s="18" t="n"/>
      <c r="AB626" s="38" t="n">
        <v>32.16</v>
      </c>
      <c r="AC626" s="14">
        <f>IFERROR(AVERAGEIFS($E$16:$E$736,$W$16:$W$736,"&gt;="&amp;W626-$C$5,$W$16:$W$736,"&lt;="&amp;W626+$C$5,$B$16:$B$736,B626,$A$16:$A$736,"&lt;&gt;"&amp;A626),"")</f>
        <v/>
      </c>
      <c r="AD626" s="14">
        <f>IF(AND(ISNUMBER(E626),ISNUMBER(AC626)),E626-AC626,"")</f>
        <v/>
      </c>
    </row>
    <row r="627">
      <c r="A627" s="17" t="n">
        <v>45650</v>
      </c>
      <c r="B627" s="29">
        <f>MONTH(A627)</f>
        <v/>
      </c>
      <c r="C627" s="29">
        <f>IF(AND(ISNUMBER(W627),ISNUMBER($C$4),ABS(W627-$C$4)&lt;=$C$5,ABS(MOD(B627-$C$6+6,12)-6)&lt;=$C$7,OR($C$8="Any",P627=$C$8)),1,0)</f>
        <v/>
      </c>
      <c r="D627" s="29">
        <f>IF(C627=1,COUNTIF($C$16:C627,1),"")</f>
        <v/>
      </c>
      <c r="E627" s="18" t="n">
        <v>13.91</v>
      </c>
      <c r="F627" s="18" t="n">
        <v>10.77</v>
      </c>
      <c r="G627" s="18" t="n">
        <v>20.2</v>
      </c>
      <c r="H627" s="38" t="n">
        <v>3.83</v>
      </c>
      <c r="I627" s="38" t="n">
        <v>0.92</v>
      </c>
      <c r="J627" s="13" t="n">
        <v>11327</v>
      </c>
      <c r="K627" s="13" t="n">
        <v>10953.31</v>
      </c>
      <c r="L627" s="13" t="n">
        <v>3302.25</v>
      </c>
      <c r="M627" s="13" t="n">
        <v>2900.88</v>
      </c>
      <c r="N627" s="13" t="n">
        <v>4109</v>
      </c>
      <c r="O627" s="38" t="n">
        <v>70.59999999999999</v>
      </c>
      <c r="P627" s="39" t="inlineStr">
        <is>
          <t>Windy</t>
        </is>
      </c>
      <c r="Q627" s="13" t="n">
        <v>669</v>
      </c>
      <c r="R627" s="13" t="n">
        <v>723.0599999999999</v>
      </c>
      <c r="S627" s="13" t="n">
        <v>-806.75</v>
      </c>
      <c r="T627" s="13" t="n">
        <v>11049.11</v>
      </c>
      <c r="U627" s="13" t="n">
        <v>837.8099999999999</v>
      </c>
      <c r="V627" s="13" t="n">
        <v>393.98</v>
      </c>
      <c r="W627" s="13" t="n">
        <v>3039.92</v>
      </c>
      <c r="X627" s="13" t="n">
        <v>3731.14</v>
      </c>
      <c r="Y627" s="13" t="n">
        <v>3102.88</v>
      </c>
      <c r="Z627" s="19" t="n"/>
      <c r="AA627" s="18" t="n"/>
      <c r="AB627" s="38" t="n">
        <v>29.18</v>
      </c>
      <c r="AC627" s="14">
        <f>IFERROR(AVERAGEIFS($E$16:$E$736,$W$16:$W$736,"&gt;="&amp;W627-$C$5,$W$16:$W$736,"&lt;="&amp;W627+$C$5,$B$16:$B$736,B627,$A$16:$A$736,"&lt;&gt;"&amp;A627),"")</f>
        <v/>
      </c>
      <c r="AD627" s="14">
        <f>IF(AND(ISNUMBER(E627),ISNUMBER(AC627)),E627-AC627,"")</f>
        <v/>
      </c>
    </row>
    <row r="628">
      <c r="A628" s="17" t="n">
        <v>45649</v>
      </c>
      <c r="B628" s="29">
        <f>MONTH(A628)</f>
        <v/>
      </c>
      <c r="C628" s="29">
        <f>IF(AND(ISNUMBER(W628),ISNUMBER($C$4),ABS(W628-$C$4)&lt;=$C$5,ABS(MOD(B628-$C$6+6,12)-6)&lt;=$C$7,OR($C$8="Any",P628=$C$8)),1,0)</f>
        <v/>
      </c>
      <c r="D628" s="29">
        <f>IF(C628=1,COUNTIF($C$16:C628,1),"")</f>
        <v/>
      </c>
      <c r="E628" s="18" t="n">
        <v>16.13</v>
      </c>
      <c r="F628" s="18" t="n">
        <v>21.68</v>
      </c>
      <c r="G628" s="18" t="n">
        <v>5.04</v>
      </c>
      <c r="H628" s="38" t="n">
        <v>4.1</v>
      </c>
      <c r="I628" s="38" t="n">
        <v>0.63</v>
      </c>
      <c r="J628" s="13" t="n">
        <v>11584</v>
      </c>
      <c r="K628" s="13" t="n">
        <v>11207.19</v>
      </c>
      <c r="L628" s="13" t="n">
        <v>3049.5</v>
      </c>
      <c r="M628" s="13" t="n">
        <v>3007.88</v>
      </c>
      <c r="N628" s="13" t="n">
        <v>4109</v>
      </c>
      <c r="O628" s="38" t="n">
        <v>73.2</v>
      </c>
      <c r="P628" s="39" t="inlineStr">
        <is>
          <t>Windy</t>
        </is>
      </c>
      <c r="Q628" s="13" t="n">
        <v>770</v>
      </c>
      <c r="R628" s="13" t="n">
        <v>724.1799999999999</v>
      </c>
      <c r="S628" s="13" t="n">
        <v>-803.88</v>
      </c>
      <c r="T628" s="13" t="n">
        <v>10714.75</v>
      </c>
      <c r="U628" s="13" t="n">
        <v>834.0599999999999</v>
      </c>
      <c r="V628" s="13" t="n">
        <v>380.58</v>
      </c>
      <c r="W628" s="13" t="n">
        <v>2471.25</v>
      </c>
      <c r="X628" s="13" t="n">
        <v>3052.78</v>
      </c>
      <c r="Y628" s="13" t="n">
        <v>2550.65</v>
      </c>
      <c r="Z628" s="19" t="n"/>
      <c r="AA628" s="18" t="n"/>
      <c r="AB628" s="38" t="n">
        <v>35.48</v>
      </c>
      <c r="AC628" s="14">
        <f>IFERROR(AVERAGEIFS($E$16:$E$736,$W$16:$W$736,"&gt;="&amp;W628-$C$5,$W$16:$W$736,"&lt;="&amp;W628+$C$5,$B$16:$B$736,B628,$A$16:$A$736,"&lt;&gt;"&amp;A628),"")</f>
        <v/>
      </c>
      <c r="AD628" s="14">
        <f>IF(AND(ISNUMBER(E628),ISNUMBER(AC628)),E628-AC628,"")</f>
        <v/>
      </c>
    </row>
    <row r="629">
      <c r="A629" s="17" t="n">
        <v>45648</v>
      </c>
      <c r="B629" s="29">
        <f>MONTH(A629)</f>
        <v/>
      </c>
      <c r="C629" s="29">
        <f>IF(AND(ISNUMBER(W629),ISNUMBER($C$4),ABS(W629-$C$4)&lt;=$C$5,ABS(MOD(B629-$C$6+6,12)-6)&lt;=$C$7,OR($C$8="Any",P629=$C$8)),1,0)</f>
        <v/>
      </c>
      <c r="D629" s="29">
        <f>IF(C629=1,COUNTIF($C$16:C629,1),"")</f>
        <v/>
      </c>
      <c r="E629" s="18" t="n">
        <v>47.31</v>
      </c>
      <c r="F629" s="18" t="n">
        <v>57.38</v>
      </c>
      <c r="G629" s="18" t="n">
        <v>27.16</v>
      </c>
      <c r="H629" s="38" t="n">
        <v>0.47</v>
      </c>
      <c r="I629" s="38" t="n">
        <v>-1.55</v>
      </c>
      <c r="J629" s="13" t="n">
        <v>11391</v>
      </c>
      <c r="K629" s="13" t="n">
        <v>11011.44</v>
      </c>
      <c r="L629" s="13" t="n">
        <v>1875.5</v>
      </c>
      <c r="M629" s="13" t="n">
        <v>2138.62</v>
      </c>
      <c r="N629" s="13" t="n">
        <v>4109</v>
      </c>
      <c r="O629" s="38" t="n">
        <v>52.05</v>
      </c>
      <c r="P629" s="39" t="inlineStr">
        <is>
          <t>Windy</t>
        </is>
      </c>
      <c r="Q629" s="13" t="n">
        <v>671</v>
      </c>
      <c r="R629" s="13" t="n">
        <v>724.03</v>
      </c>
      <c r="S629" s="13" t="n">
        <v>-468.04</v>
      </c>
      <c r="T629" s="13" t="n">
        <v>10463.28</v>
      </c>
      <c r="U629" s="13" t="n">
        <v>763.52</v>
      </c>
      <c r="V629" s="13" t="n">
        <v>449.39</v>
      </c>
      <c r="W629" s="13" t="n">
        <v>1202.12</v>
      </c>
      <c r="X629" s="13" t="n">
        <v>2256.61</v>
      </c>
      <c r="Y629" s="13" t="n">
        <v>1391.14</v>
      </c>
      <c r="Z629" s="19" t="n"/>
      <c r="AA629" s="18" t="n"/>
      <c r="AB629" s="38" t="n">
        <v>29.33</v>
      </c>
      <c r="AC629" s="14">
        <f>IFERROR(AVERAGEIFS($E$16:$E$736,$W$16:$W$736,"&gt;="&amp;W629-$C$5,$W$16:$W$736,"&lt;="&amp;W629+$C$5,$B$16:$B$736,B629,$A$16:$A$736,"&lt;&gt;"&amp;A629),"")</f>
        <v/>
      </c>
      <c r="AD629" s="14">
        <f>IF(AND(ISNUMBER(E629),ISNUMBER(AC629)),E629-AC629,"")</f>
        <v/>
      </c>
    </row>
    <row r="630">
      <c r="A630" s="17" t="n">
        <v>45647</v>
      </c>
      <c r="B630" s="29">
        <f>MONTH(A630)</f>
        <v/>
      </c>
      <c r="C630" s="29">
        <f>IF(AND(ISNUMBER(W630),ISNUMBER($C$4),ABS(W630-$C$4)&lt;=$C$5,ABS(MOD(B630-$C$6+6,12)-6)&lt;=$C$7,OR($C$8="Any",P630=$C$8)),1,0)</f>
        <v/>
      </c>
      <c r="D630" s="29">
        <f>IF(C630=1,COUNTIF($C$16:C630,1),"")</f>
        <v/>
      </c>
      <c r="E630" s="18" t="n">
        <v>31.94</v>
      </c>
      <c r="F630" s="18" t="n">
        <v>41.19</v>
      </c>
      <c r="G630" s="18" t="n">
        <v>13.44</v>
      </c>
      <c r="H630" s="38" t="n">
        <v>1.47</v>
      </c>
      <c r="I630" s="38" t="n">
        <v>-0.95</v>
      </c>
      <c r="J630" s="13" t="n">
        <v>11280</v>
      </c>
      <c r="K630" s="13" t="n">
        <v>10943</v>
      </c>
      <c r="L630" s="13" t="n">
        <v>1294.31</v>
      </c>
      <c r="M630" s="13" t="n">
        <v>1831.75</v>
      </c>
      <c r="N630" s="13" t="n">
        <v>4109</v>
      </c>
      <c r="O630" s="38" t="n">
        <v>44.58</v>
      </c>
      <c r="P630" s="39" t="inlineStr">
        <is>
          <t>Windy</t>
        </is>
      </c>
      <c r="Q630" s="13" t="n">
        <v>551</v>
      </c>
      <c r="R630" s="13" t="n">
        <v>724.59</v>
      </c>
      <c r="S630" s="13" t="n">
        <v>-512.83</v>
      </c>
      <c r="T630" s="13" t="n">
        <v>10826.45</v>
      </c>
      <c r="U630" s="13" t="n">
        <v>862.11</v>
      </c>
      <c r="V630" s="13" t="n">
        <v>239.75</v>
      </c>
      <c r="W630" s="13" t="n">
        <v>1330.87</v>
      </c>
      <c r="X630" s="13" t="n">
        <v>2143.53</v>
      </c>
      <c r="Y630" s="13" t="n">
        <v>1354.5</v>
      </c>
      <c r="Z630" s="19" t="n"/>
      <c r="AA630" s="18" t="n"/>
      <c r="AB630" s="38" t="n">
        <v>20.67</v>
      </c>
      <c r="AC630" s="14">
        <f>IFERROR(AVERAGEIFS($E$16:$E$736,$W$16:$W$736,"&gt;="&amp;W630-$C$5,$W$16:$W$736,"&lt;="&amp;W630+$C$5,$B$16:$B$736,B630,$A$16:$A$736,"&lt;&gt;"&amp;A630),"")</f>
        <v/>
      </c>
      <c r="AD630" s="14">
        <f>IF(AND(ISNUMBER(E630),ISNUMBER(AC630)),E630-AC630,"")</f>
        <v/>
      </c>
    </row>
    <row r="631">
      <c r="A631" s="17" t="n">
        <v>45646</v>
      </c>
      <c r="B631" s="29">
        <f>MONTH(A631)</f>
        <v/>
      </c>
      <c r="C631" s="29">
        <f>IF(AND(ISNUMBER(W631),ISNUMBER($C$4),ABS(W631-$C$4)&lt;=$C$5,ABS(MOD(B631-$C$6+6,12)-6)&lt;=$C$7,OR($C$8="Any",P631=$C$8)),1,0)</f>
        <v/>
      </c>
      <c r="D631" s="29">
        <f>IF(C631=1,COUNTIF($C$16:C631,1),"")</f>
        <v/>
      </c>
      <c r="E631" s="18" t="n">
        <v>25.68</v>
      </c>
      <c r="F631" s="18" t="n">
        <v>30.48</v>
      </c>
      <c r="G631" s="18" t="n">
        <v>16.09</v>
      </c>
      <c r="H631" s="38" t="n">
        <v>-1.17</v>
      </c>
      <c r="I631" s="38" t="n">
        <v>-4.34</v>
      </c>
      <c r="J631" s="13" t="n">
        <v>11758</v>
      </c>
      <c r="K631" s="13" t="n">
        <v>11423.69</v>
      </c>
      <c r="L631" s="13" t="n">
        <v>2010.62</v>
      </c>
      <c r="M631" s="13" t="n">
        <v>2325.21</v>
      </c>
      <c r="N631" s="13" t="n">
        <v>4109</v>
      </c>
      <c r="O631" s="38" t="n">
        <v>56.59</v>
      </c>
      <c r="P631" s="39" t="inlineStr">
        <is>
          <t>Windy</t>
        </is>
      </c>
      <c r="Q631" s="13" t="n">
        <v>742</v>
      </c>
      <c r="R631" s="13" t="n">
        <v>725.8200000000001</v>
      </c>
      <c r="S631" s="13" t="n">
        <v>-519.21</v>
      </c>
      <c r="T631" s="13" t="n">
        <v>10575.47</v>
      </c>
      <c r="U631" s="13" t="n">
        <v>861.98</v>
      </c>
      <c r="V631" s="13" t="n">
        <v>241.81</v>
      </c>
      <c r="W631" s="13" t="n">
        <v>604.34</v>
      </c>
      <c r="X631" s="13" t="n">
        <v>2132.86</v>
      </c>
      <c r="Y631" s="13" t="n">
        <v>634.22</v>
      </c>
      <c r="Z631" s="19" t="n"/>
      <c r="AA631" s="18" t="n"/>
      <c r="AB631" s="38" t="n">
        <v>26.65</v>
      </c>
      <c r="AC631" s="14">
        <f>IFERROR(AVERAGEIFS($E$16:$E$736,$W$16:$W$736,"&gt;="&amp;W631-$C$5,$W$16:$W$736,"&lt;="&amp;W631+$C$5,$B$16:$B$736,B631,$A$16:$A$736,"&lt;&gt;"&amp;A631),"")</f>
        <v/>
      </c>
      <c r="AD631" s="14">
        <f>IF(AND(ISNUMBER(E631),ISNUMBER(AC631)),E631-AC631,"")</f>
        <v/>
      </c>
    </row>
    <row r="632">
      <c r="A632" s="17" t="n">
        <v>45645</v>
      </c>
      <c r="B632" s="29">
        <f>MONTH(A632)</f>
        <v/>
      </c>
      <c r="C632" s="29">
        <f>IF(AND(ISNUMBER(W632),ISNUMBER($C$4),ABS(W632-$C$4)&lt;=$C$5,ABS(MOD(B632-$C$6+6,12)-6)&lt;=$C$7,OR($C$8="Any",P632=$C$8)),1,0)</f>
        <v/>
      </c>
      <c r="D632" s="29">
        <f>IF(C632=1,COUNTIF($C$16:C632,1),"")</f>
        <v/>
      </c>
      <c r="E632" s="18" t="n">
        <v>41.61</v>
      </c>
      <c r="F632" s="18" t="n">
        <v>42.91</v>
      </c>
      <c r="G632" s="18" t="n">
        <v>39.03</v>
      </c>
      <c r="H632" s="38" t="n">
        <v>-7.9</v>
      </c>
      <c r="I632" s="38" t="n">
        <v>-12.91</v>
      </c>
      <c r="J632" s="13" t="n">
        <v>12120</v>
      </c>
      <c r="K632" s="13" t="n">
        <v>11800.12</v>
      </c>
      <c r="L632" s="13" t="n">
        <v>924</v>
      </c>
      <c r="M632" s="13" t="n">
        <v>787.08</v>
      </c>
      <c r="N632" s="13" t="n">
        <v>4109</v>
      </c>
      <c r="O632" s="38" t="n">
        <v>19.16</v>
      </c>
      <c r="P632" s="39" t="inlineStr">
        <is>
          <t>Windy</t>
        </is>
      </c>
      <c r="Q632" s="13" t="n">
        <v>594</v>
      </c>
      <c r="R632" s="13" t="n">
        <v>672.59</v>
      </c>
      <c r="S632" s="13" t="n">
        <v>-30.12</v>
      </c>
      <c r="T632" s="13" t="n">
        <v>10687.85</v>
      </c>
      <c r="U632" s="13" t="n">
        <v>820.53</v>
      </c>
      <c r="V632" s="13" t="n">
        <v>465.16</v>
      </c>
      <c r="W632" s="13" t="n">
        <v>157.23</v>
      </c>
      <c r="X632" s="13" t="n">
        <v>1046.33</v>
      </c>
      <c r="Y632" s="13" t="n">
        <v>232.56</v>
      </c>
      <c r="Z632" s="19" t="n"/>
      <c r="AA632" s="18" t="n"/>
      <c r="AB632" s="38" t="n">
        <v>13.91</v>
      </c>
      <c r="AC632" s="14">
        <f>IFERROR(AVERAGEIFS($E$16:$E$736,$W$16:$W$736,"&gt;="&amp;W632-$C$5,$W$16:$W$736,"&lt;="&amp;W632+$C$5,$B$16:$B$736,B632,$A$16:$A$736,"&lt;&gt;"&amp;A632),"")</f>
        <v/>
      </c>
      <c r="AD632" s="14">
        <f>IF(AND(ISNUMBER(E632),ISNUMBER(AC632)),E632-AC632,"")</f>
        <v/>
      </c>
    </row>
    <row r="633">
      <c r="A633" s="17" t="n">
        <v>45644</v>
      </c>
      <c r="B633" s="29">
        <f>MONTH(A633)</f>
        <v/>
      </c>
      <c r="C633" s="29">
        <f>IF(AND(ISNUMBER(W633),ISNUMBER($C$4),ABS(W633-$C$4)&lt;=$C$5,ABS(MOD(B633-$C$6+6,12)-6)&lt;=$C$7,OR($C$8="Any",P633=$C$8)),1,0)</f>
        <v/>
      </c>
      <c r="D633" s="29">
        <f>IF(C633=1,COUNTIF($C$16:C633,1),"")</f>
        <v/>
      </c>
      <c r="E633" s="18" t="n">
        <v>17.65</v>
      </c>
      <c r="F633" s="18" t="n">
        <v>17.33</v>
      </c>
      <c r="G633" s="18" t="n">
        <v>18.29</v>
      </c>
      <c r="H633" s="38" t="n">
        <v>-9.199999999999999</v>
      </c>
      <c r="I633" s="38" t="n">
        <v>-13.72</v>
      </c>
      <c r="J633" s="13" t="n">
        <v>12262</v>
      </c>
      <c r="K633" s="13" t="n">
        <v>11893.88</v>
      </c>
      <c r="L633" s="13" t="n">
        <v>2646.44</v>
      </c>
      <c r="M633" s="13" t="n">
        <v>2412.67</v>
      </c>
      <c r="N633" s="13" t="n">
        <v>4109</v>
      </c>
      <c r="O633" s="38" t="n">
        <v>58.72</v>
      </c>
      <c r="P633" s="39" t="inlineStr">
        <is>
          <t>Windy</t>
        </is>
      </c>
      <c r="Q633" s="13" t="n">
        <v>126</v>
      </c>
      <c r="R633" s="13" t="n">
        <v>720.12</v>
      </c>
      <c r="S633" s="13" t="n">
        <v>-391.12</v>
      </c>
      <c r="T633" s="13" t="n">
        <v>10700.43</v>
      </c>
      <c r="U633" s="13" t="n">
        <v>748.02</v>
      </c>
      <c r="V633" s="13" t="n">
        <v>91.34999999999999</v>
      </c>
      <c r="W633" s="13" t="n">
        <v>1486.95</v>
      </c>
      <c r="X633" s="13" t="n">
        <v>2114.67</v>
      </c>
      <c r="Y633" s="13" t="n">
        <v>1684.02</v>
      </c>
      <c r="Z633" s="19" t="n"/>
      <c r="AA633" s="18" t="n"/>
      <c r="AB633" s="38" t="n">
        <v>22.72</v>
      </c>
      <c r="AC633" s="14">
        <f>IFERROR(AVERAGEIFS($E$16:$E$736,$W$16:$W$736,"&gt;="&amp;W633-$C$5,$W$16:$W$736,"&lt;="&amp;W633+$C$5,$B$16:$B$736,B633,$A$16:$A$736,"&lt;&gt;"&amp;A633),"")</f>
        <v/>
      </c>
      <c r="AD633" s="14">
        <f>IF(AND(ISNUMBER(E633),ISNUMBER(AC633)),E633-AC633,"")</f>
        <v/>
      </c>
    </row>
    <row r="634">
      <c r="A634" s="17" t="n">
        <v>45643</v>
      </c>
      <c r="B634" s="29">
        <f>MONTH(A634)</f>
        <v/>
      </c>
      <c r="C634" s="29">
        <f>IF(AND(ISNUMBER(W634),ISNUMBER($C$4),ABS(W634-$C$4)&lt;=$C$5,ABS(MOD(B634-$C$6+6,12)-6)&lt;=$C$7,OR($C$8="Any",P634=$C$8)),1,0)</f>
        <v/>
      </c>
      <c r="D634" s="29">
        <f>IF(C634=1,COUNTIF($C$16:C634,1),"")</f>
        <v/>
      </c>
      <c r="E634" s="18" t="n">
        <v>51.41</v>
      </c>
      <c r="F634" s="18" t="n">
        <v>62.9</v>
      </c>
      <c r="G634" s="18" t="n">
        <v>28.44</v>
      </c>
      <c r="H634" s="38" t="n">
        <v>-11.13</v>
      </c>
      <c r="I634" s="38" t="n">
        <v>-14.97</v>
      </c>
      <c r="J634" s="13" t="n">
        <v>12249</v>
      </c>
      <c r="K634" s="13" t="n">
        <v>11810.81</v>
      </c>
      <c r="L634" s="13" t="n">
        <v>329.81</v>
      </c>
      <c r="M634" s="13" t="n">
        <v>449.58</v>
      </c>
      <c r="N634" s="13" t="n">
        <v>4109</v>
      </c>
      <c r="O634" s="38" t="n">
        <v>10.94</v>
      </c>
      <c r="P634" s="39" t="inlineStr">
        <is>
          <t>Calm</t>
        </is>
      </c>
      <c r="Q634" s="13" t="n">
        <v>188</v>
      </c>
      <c r="R634" s="13" t="n">
        <v>726.9</v>
      </c>
      <c r="S634" s="13" t="n">
        <v>53.38</v>
      </c>
      <c r="T634" s="13" t="n">
        <v>10875.11</v>
      </c>
      <c r="U634" s="13" t="n">
        <v>835.11</v>
      </c>
      <c r="V634" s="13" t="n">
        <v>403.22</v>
      </c>
      <c r="W634" s="13" t="n">
        <v>-12.88</v>
      </c>
      <c r="X634" s="13" t="n">
        <v>663.6900000000001</v>
      </c>
      <c r="Y634" s="13" t="n">
        <v>99.39</v>
      </c>
      <c r="Z634" s="19" t="n"/>
      <c r="AA634" s="18" t="n"/>
      <c r="AB634" s="38" t="n">
        <v>11.52</v>
      </c>
      <c r="AC634" s="14">
        <f>IFERROR(AVERAGEIFS($E$16:$E$736,$W$16:$W$736,"&gt;="&amp;W634-$C$5,$W$16:$W$736,"&lt;="&amp;W634+$C$5,$B$16:$B$736,B634,$A$16:$A$736,"&lt;&gt;"&amp;A634),"")</f>
        <v/>
      </c>
      <c r="AD634" s="14">
        <f>IF(AND(ISNUMBER(E634),ISNUMBER(AC634)),E634-AC634,"")</f>
        <v/>
      </c>
    </row>
    <row r="635">
      <c r="A635" s="17" t="n">
        <v>45642</v>
      </c>
      <c r="B635" s="29">
        <f>MONTH(A635)</f>
        <v/>
      </c>
      <c r="C635" s="29">
        <f>IF(AND(ISNUMBER(W635),ISNUMBER($C$4),ABS(W635-$C$4)&lt;=$C$5,ABS(MOD(B635-$C$6+6,12)-6)&lt;=$C$7,OR($C$8="Any",P635=$C$8)),1,0)</f>
        <v/>
      </c>
      <c r="D635" s="29">
        <f>IF(C635=1,COUNTIF($C$16:C635,1),"")</f>
        <v/>
      </c>
      <c r="E635" s="18" t="n">
        <v>45.98</v>
      </c>
      <c r="F635" s="18" t="n">
        <v>55.02</v>
      </c>
      <c r="G635" s="18" t="n">
        <v>27.89</v>
      </c>
      <c r="H635" s="38" t="n">
        <v>-7.73</v>
      </c>
      <c r="I635" s="38" t="n">
        <v>-10.12</v>
      </c>
      <c r="J635" s="13" t="n">
        <v>12026</v>
      </c>
      <c r="K635" s="13" t="n">
        <v>11568.44</v>
      </c>
      <c r="L635" s="13" t="n">
        <v>197.81</v>
      </c>
      <c r="M635" s="13" t="n">
        <v>417.38</v>
      </c>
      <c r="N635" s="13" t="n">
        <v>4109</v>
      </c>
      <c r="O635" s="38" t="n">
        <v>10.16</v>
      </c>
      <c r="P635" s="39" t="inlineStr">
        <is>
          <t>Calm</t>
        </is>
      </c>
      <c r="Q635" s="13" t="n">
        <v>214</v>
      </c>
      <c r="R635" s="13" t="n">
        <v>727.38</v>
      </c>
      <c r="S635" s="13" t="n">
        <v>-0.62</v>
      </c>
      <c r="T635" s="13" t="n">
        <v>11086.79</v>
      </c>
      <c r="U635" s="13" t="n">
        <v>804.17</v>
      </c>
      <c r="V635" s="13" t="n">
        <v>82.78</v>
      </c>
      <c r="W635" s="13" t="n">
        <v>641.87</v>
      </c>
      <c r="X635" s="13" t="n">
        <v>952.5700000000001</v>
      </c>
      <c r="Y635" s="13" t="n">
        <v>755.66</v>
      </c>
      <c r="Z635" s="19" t="n"/>
      <c r="AA635" s="18" t="n"/>
      <c r="AB635" s="38" t="n">
        <v>10.88</v>
      </c>
      <c r="AC635" s="14">
        <f>IFERROR(AVERAGEIFS($E$16:$E$736,$W$16:$W$736,"&gt;="&amp;W635-$C$5,$W$16:$W$736,"&lt;="&amp;W635+$C$5,$B$16:$B$736,B635,$A$16:$A$736,"&lt;&gt;"&amp;A635),"")</f>
        <v/>
      </c>
      <c r="AD635" s="14">
        <f>IF(AND(ISNUMBER(E635),ISNUMBER(AC635)),E635-AC635,"")</f>
        <v/>
      </c>
    </row>
    <row r="636">
      <c r="A636" s="17" t="n">
        <v>45641</v>
      </c>
      <c r="B636" s="29">
        <f>MONTH(A636)</f>
        <v/>
      </c>
      <c r="C636" s="29">
        <f>IF(AND(ISNUMBER(W636),ISNUMBER($C$4),ABS(W636-$C$4)&lt;=$C$5,ABS(MOD(B636-$C$6+6,12)-6)&lt;=$C$7,OR($C$8="Any",P636=$C$8)),1,0)</f>
        <v/>
      </c>
      <c r="D636" s="29">
        <f>IF(C636=1,COUNTIF($C$16:C636,1),"")</f>
        <v/>
      </c>
      <c r="E636" s="18" t="n">
        <v>17.75</v>
      </c>
      <c r="F636" s="18" t="n">
        <v>24.38</v>
      </c>
      <c r="G636" s="18" t="n">
        <v>4.49</v>
      </c>
      <c r="H636" s="38" t="n">
        <v>-1.8</v>
      </c>
      <c r="I636" s="38" t="n">
        <v>-4.7</v>
      </c>
      <c r="J636" s="13" t="n">
        <v>11669</v>
      </c>
      <c r="K636" s="13" t="n">
        <v>11192.25</v>
      </c>
      <c r="L636" s="13" t="n">
        <v>2256.12</v>
      </c>
      <c r="M636" s="13" t="n">
        <v>2357.38</v>
      </c>
      <c r="N636" s="13" t="n">
        <v>4109</v>
      </c>
      <c r="O636" s="38" t="n">
        <v>57.37</v>
      </c>
      <c r="P636" s="39" t="inlineStr">
        <is>
          <t>Windy</t>
        </is>
      </c>
      <c r="Q636" s="13" t="n">
        <v>454</v>
      </c>
      <c r="R636" s="13" t="n">
        <v>727.3099999999999</v>
      </c>
      <c r="S636" s="13" t="n">
        <v>-626.46</v>
      </c>
      <c r="T636" s="13" t="n">
        <v>10901.1</v>
      </c>
      <c r="U636" s="13" t="n">
        <v>878.71</v>
      </c>
      <c r="V636" s="13" t="n">
        <v>664.25</v>
      </c>
      <c r="W636" s="13" t="n">
        <v>1887.97</v>
      </c>
      <c r="X636" s="13" t="n">
        <v>2702.47</v>
      </c>
      <c r="Y636" s="13" t="n">
        <v>1921.7</v>
      </c>
      <c r="Z636" s="19" t="n"/>
      <c r="AA636" s="18" t="n"/>
      <c r="AB636" s="38" t="n">
        <v>26.71</v>
      </c>
      <c r="AC636" s="14">
        <f>IFERROR(AVERAGEIFS($E$16:$E$736,$W$16:$W$736,"&gt;="&amp;W636-$C$5,$W$16:$W$736,"&lt;="&amp;W636+$C$5,$B$16:$B$736,B636,$A$16:$A$736,"&lt;&gt;"&amp;A636),"")</f>
        <v/>
      </c>
      <c r="AD636" s="14">
        <f>IF(AND(ISNUMBER(E636),ISNUMBER(AC636)),E636-AC636,"")</f>
        <v/>
      </c>
    </row>
    <row r="637">
      <c r="A637" s="17" t="n">
        <v>45640</v>
      </c>
      <c r="B637" s="29">
        <f>MONTH(A637)</f>
        <v/>
      </c>
      <c r="C637" s="29">
        <f>IF(AND(ISNUMBER(W637),ISNUMBER($C$4),ABS(W637-$C$4)&lt;=$C$5,ABS(MOD(B637-$C$6+6,12)-6)&lt;=$C$7,OR($C$8="Any",P637=$C$8)),1,0)</f>
        <v/>
      </c>
      <c r="D637" s="29">
        <f>IF(C637=1,COUNTIF($C$16:C637,1),"")</f>
        <v/>
      </c>
      <c r="E637" s="18" t="n">
        <v>11.83</v>
      </c>
      <c r="F637" s="18" t="n">
        <v>9.67</v>
      </c>
      <c r="G637" s="18" t="n">
        <v>16.15</v>
      </c>
      <c r="H637" s="38" t="n">
        <v>0.23</v>
      </c>
      <c r="I637" s="38" t="n">
        <v>-3.37</v>
      </c>
      <c r="J637" s="13" t="n">
        <v>11492</v>
      </c>
      <c r="K637" s="13" t="n">
        <v>11039.56</v>
      </c>
      <c r="L637" s="13" t="n">
        <v>3450.88</v>
      </c>
      <c r="M637" s="13" t="n">
        <v>3119.67</v>
      </c>
      <c r="N637" s="13" t="n">
        <v>4109</v>
      </c>
      <c r="O637" s="38" t="n">
        <v>75.92</v>
      </c>
      <c r="P637" s="39" t="inlineStr">
        <is>
          <t>Windy</t>
        </is>
      </c>
      <c r="Q637" s="13" t="n">
        <v>548</v>
      </c>
      <c r="R637" s="13" t="n">
        <v>714.49</v>
      </c>
      <c r="S637" s="13" t="n">
        <v>-921.5</v>
      </c>
      <c r="T637" s="13" t="n">
        <v>10889.41</v>
      </c>
      <c r="U637" s="13" t="n">
        <v>874.41</v>
      </c>
      <c r="V637" s="13" t="n">
        <v>118.97</v>
      </c>
      <c r="W637" s="13" t="n">
        <v>3204.68</v>
      </c>
      <c r="X637" s="13" t="n">
        <v>3639.6</v>
      </c>
      <c r="Y637" s="13" t="n">
        <v>3220.09</v>
      </c>
      <c r="Z637" s="19" t="n"/>
      <c r="AA637" s="18" t="n"/>
      <c r="AB637" s="38" t="n">
        <v>19.27</v>
      </c>
      <c r="AC637" s="14">
        <f>IFERROR(AVERAGEIFS($E$16:$E$736,$W$16:$W$736,"&gt;="&amp;W637-$C$5,$W$16:$W$736,"&lt;="&amp;W637+$C$5,$B$16:$B$736,B637,$A$16:$A$736,"&lt;&gt;"&amp;A637),"")</f>
        <v/>
      </c>
      <c r="AD637" s="14">
        <f>IF(AND(ISNUMBER(E637),ISNUMBER(AC637)),E637-AC637,"")</f>
        <v/>
      </c>
    </row>
    <row r="638">
      <c r="A638" s="17" t="n">
        <v>45639</v>
      </c>
      <c r="B638" s="29">
        <f>MONTH(A638)</f>
        <v/>
      </c>
      <c r="C638" s="29">
        <f>IF(AND(ISNUMBER(W638),ISNUMBER($C$4),ABS(W638-$C$4)&lt;=$C$5,ABS(MOD(B638-$C$6+6,12)-6)&lt;=$C$7,OR($C$8="Any",P638=$C$8)),1,0)</f>
        <v/>
      </c>
      <c r="D638" s="29">
        <f>IF(C638=1,COUNTIF($C$16:C638,1),"")</f>
        <v/>
      </c>
      <c r="E638" s="18" t="n">
        <v>23.79</v>
      </c>
      <c r="F638" s="18" t="n">
        <v>24.39</v>
      </c>
      <c r="G638" s="18" t="n">
        <v>22.59</v>
      </c>
      <c r="H638" s="38" t="n">
        <v>-1.6</v>
      </c>
      <c r="I638" s="38" t="n">
        <v>-3.8</v>
      </c>
      <c r="J638" s="13" t="n">
        <v>11519</v>
      </c>
      <c r="K638" s="13" t="n">
        <v>11223.5</v>
      </c>
      <c r="L638" s="13" t="n">
        <v>2008.69</v>
      </c>
      <c r="M638" s="13" t="n">
        <v>2105.5</v>
      </c>
      <c r="N638" s="13" t="n">
        <v>4109</v>
      </c>
      <c r="O638" s="38" t="n">
        <v>51.24</v>
      </c>
      <c r="P638" s="39" t="inlineStr">
        <is>
          <t>Windy</t>
        </is>
      </c>
      <c r="Q638" s="13" t="n">
        <v>676</v>
      </c>
      <c r="R638" s="13" t="n">
        <v>729.47</v>
      </c>
      <c r="S638" s="13" t="n">
        <v>-471.33</v>
      </c>
      <c r="T638" s="13" t="n">
        <v>10989.89</v>
      </c>
      <c r="U638" s="13" t="n">
        <v>873.79</v>
      </c>
      <c r="V638" s="13" t="n">
        <v>51.25</v>
      </c>
      <c r="W638" s="13" t="n">
        <v>2243.53</v>
      </c>
      <c r="X638" s="13" t="n">
        <v>2810.32</v>
      </c>
      <c r="Y638" s="13" t="n">
        <v>2292.91</v>
      </c>
      <c r="Z638" s="19" t="n"/>
      <c r="AA638" s="18" t="n"/>
      <c r="AB638" s="38" t="n">
        <v>26.98</v>
      </c>
      <c r="AC638" s="14">
        <f>IFERROR(AVERAGEIFS($E$16:$E$736,$W$16:$W$736,"&gt;="&amp;W638-$C$5,$W$16:$W$736,"&lt;="&amp;W638+$C$5,$B$16:$B$736,B638,$A$16:$A$736,"&lt;&gt;"&amp;A638),"")</f>
        <v/>
      </c>
      <c r="AD638" s="14">
        <f>IF(AND(ISNUMBER(E638),ISNUMBER(AC638)),E638-AC638,"")</f>
        <v/>
      </c>
    </row>
    <row r="639">
      <c r="A639" s="17" t="n">
        <v>45638</v>
      </c>
      <c r="B639" s="29">
        <f>MONTH(A639)</f>
        <v/>
      </c>
      <c r="C639" s="29">
        <f>IF(AND(ISNUMBER(W639),ISNUMBER($C$4),ABS(W639-$C$4)&lt;=$C$5,ABS(MOD(B639-$C$6+6,12)-6)&lt;=$C$7,OR($C$8="Any",P639=$C$8)),1,0)</f>
        <v/>
      </c>
      <c r="D639" s="29">
        <f>IF(C639=1,COUNTIF($C$16:C639,1),"")</f>
        <v/>
      </c>
      <c r="E639" s="18" t="n">
        <v>32.82</v>
      </c>
      <c r="F639" s="18" t="n">
        <v>30.55</v>
      </c>
      <c r="G639" s="18" t="n">
        <v>37.35</v>
      </c>
      <c r="H639" s="38" t="n">
        <v>-2.97</v>
      </c>
      <c r="I639" s="38" t="n">
        <v>-5.63</v>
      </c>
      <c r="J639" s="13" t="n">
        <v>11812</v>
      </c>
      <c r="K639" s="13" t="n">
        <v>11432.25</v>
      </c>
      <c r="L639" s="13" t="n">
        <v>2084.5</v>
      </c>
      <c r="M639" s="13" t="n">
        <v>1756.58</v>
      </c>
      <c r="N639" s="13" t="n">
        <v>4109</v>
      </c>
      <c r="O639" s="38" t="n">
        <v>42.75</v>
      </c>
      <c r="P639" s="39" t="inlineStr">
        <is>
          <t>Windy</t>
        </is>
      </c>
      <c r="Q639" s="13" t="n">
        <v>490</v>
      </c>
      <c r="R639" s="13" t="n">
        <v>717.99</v>
      </c>
      <c r="S639" s="13" t="n">
        <v>-494.21</v>
      </c>
      <c r="T639" s="13" t="n">
        <v>10842.48</v>
      </c>
      <c r="U639" s="13" t="n">
        <v>832.39</v>
      </c>
      <c r="V639" s="13" t="n">
        <v>50.51</v>
      </c>
      <c r="W639" s="13" t="n">
        <v>1391.68</v>
      </c>
      <c r="X639" s="13" t="n">
        <v>2160.03</v>
      </c>
      <c r="Y639" s="13" t="n">
        <v>1471.96</v>
      </c>
      <c r="Z639" s="19" t="n"/>
      <c r="AA639" s="18" t="n"/>
      <c r="AB639" s="38" t="n">
        <v>22.43</v>
      </c>
      <c r="AC639" s="14">
        <f>IFERROR(AVERAGEIFS($E$16:$E$736,$W$16:$W$736,"&gt;="&amp;W639-$C$5,$W$16:$W$736,"&lt;="&amp;W639+$C$5,$B$16:$B$736,B639,$A$16:$A$736,"&lt;&gt;"&amp;A639),"")</f>
        <v/>
      </c>
      <c r="AD639" s="14">
        <f>IF(AND(ISNUMBER(E639),ISNUMBER(AC639)),E639-AC639,"")</f>
        <v/>
      </c>
    </row>
    <row r="640">
      <c r="A640" s="17" t="n">
        <v>45637</v>
      </c>
      <c r="B640" s="29">
        <f>MONTH(A640)</f>
        <v/>
      </c>
      <c r="C640" s="29">
        <f>IF(AND(ISNUMBER(W640),ISNUMBER($C$4),ABS(W640-$C$4)&lt;=$C$5,ABS(MOD(B640-$C$6+6,12)-6)&lt;=$C$7,OR($C$8="Any",P640=$C$8)),1,0)</f>
        <v/>
      </c>
      <c r="D640" s="29">
        <f>IF(C640=1,COUNTIF($C$16:C640,1),"")</f>
        <v/>
      </c>
      <c r="E640" s="18" t="n">
        <v>34.66</v>
      </c>
      <c r="F640" s="18" t="n">
        <v>37.77</v>
      </c>
      <c r="G640" s="18" t="n">
        <v>28.44</v>
      </c>
      <c r="H640" s="38" t="n">
        <v>-2.13</v>
      </c>
      <c r="I640" s="38" t="n">
        <v>-4.66</v>
      </c>
      <c r="J640" s="13" t="n">
        <v>11688</v>
      </c>
      <c r="K640" s="13" t="n">
        <v>11267.25</v>
      </c>
      <c r="L640" s="13" t="n">
        <v>1082.75</v>
      </c>
      <c r="M640" s="13" t="n">
        <v>1107.33</v>
      </c>
      <c r="N640" s="13" t="n">
        <v>4109</v>
      </c>
      <c r="O640" s="38" t="n">
        <v>26.95</v>
      </c>
      <c r="P640" s="39" t="inlineStr">
        <is>
          <t>Windy</t>
        </is>
      </c>
      <c r="Q640" s="13" t="n">
        <v>238</v>
      </c>
      <c r="R640" s="13" t="n">
        <v>720.01</v>
      </c>
      <c r="S640" s="13" t="n">
        <v>-279.25</v>
      </c>
      <c r="T640" s="13" t="n">
        <v>10604.67</v>
      </c>
      <c r="U640" s="13" t="n">
        <v>847.45</v>
      </c>
      <c r="V640" s="13" t="n">
        <v>18.27</v>
      </c>
      <c r="W640" s="13" t="n">
        <v>880.83</v>
      </c>
      <c r="X640" s="13" t="n">
        <v>1345.23</v>
      </c>
      <c r="Y640" s="13" t="n">
        <v>1038.5</v>
      </c>
      <c r="Z640" s="19" t="n"/>
      <c r="AA640" s="18" t="n"/>
      <c r="AB640" s="38" t="n">
        <v>20.69</v>
      </c>
      <c r="AC640" s="14">
        <f>IFERROR(AVERAGEIFS($E$16:$E$736,$W$16:$W$736,"&gt;="&amp;W640-$C$5,$W$16:$W$736,"&lt;="&amp;W640+$C$5,$B$16:$B$736,B640,$A$16:$A$736,"&lt;&gt;"&amp;A640),"")</f>
        <v/>
      </c>
      <c r="AD640" s="14">
        <f>IF(AND(ISNUMBER(E640),ISNUMBER(AC640)),E640-AC640,"")</f>
        <v/>
      </c>
    </row>
    <row r="641">
      <c r="A641" s="17" t="n">
        <v>45636</v>
      </c>
      <c r="B641" s="29">
        <f>MONTH(A641)</f>
        <v/>
      </c>
      <c r="C641" s="29">
        <f>IF(AND(ISNUMBER(W641),ISNUMBER($C$4),ABS(W641-$C$4)&lt;=$C$5,ABS(MOD(B641-$C$6+6,12)-6)&lt;=$C$7,OR($C$8="Any",P641=$C$8)),1,0)</f>
        <v/>
      </c>
      <c r="D641" s="29">
        <f>IF(C641=1,COUNTIF($C$16:C641,1),"")</f>
        <v/>
      </c>
      <c r="E641" s="18" t="n">
        <v>42.28</v>
      </c>
      <c r="F641" s="18" t="n">
        <v>57.96</v>
      </c>
      <c r="G641" s="18" t="n">
        <v>10.92</v>
      </c>
      <c r="H641" s="38" t="n">
        <v>-4.07</v>
      </c>
      <c r="I641" s="38" t="n">
        <v>-5.27</v>
      </c>
      <c r="J641" s="13" t="n">
        <v>11619</v>
      </c>
      <c r="K641" s="13" t="n">
        <v>11208.31</v>
      </c>
      <c r="L641" s="13" t="n">
        <v>743.25</v>
      </c>
      <c r="M641" s="13" t="n">
        <v>1146.17</v>
      </c>
      <c r="N641" s="13" t="n">
        <v>4109</v>
      </c>
      <c r="O641" s="38" t="n">
        <v>27.89</v>
      </c>
      <c r="P641" s="39" t="inlineStr">
        <is>
          <t>Windy</t>
        </is>
      </c>
      <c r="Q641" s="13" t="n">
        <v>522</v>
      </c>
      <c r="R641" s="13" t="n">
        <v>730.7</v>
      </c>
      <c r="S641" s="13" t="n">
        <v>-269.62</v>
      </c>
      <c r="T641" s="13" t="n">
        <v>10660.75</v>
      </c>
      <c r="U641" s="13" t="n">
        <v>808.35</v>
      </c>
      <c r="V641" s="13" t="n">
        <v>214.31</v>
      </c>
      <c r="W641" s="13" t="n">
        <v>685.2</v>
      </c>
      <c r="X641" s="13" t="n">
        <v>1261.77</v>
      </c>
      <c r="Y641" s="13" t="n">
        <v>722.38</v>
      </c>
      <c r="Z641" s="19" t="n"/>
      <c r="AA641" s="18" t="n"/>
      <c r="AB641" s="38" t="n">
        <v>22.54</v>
      </c>
      <c r="AC641" s="14">
        <f>IFERROR(AVERAGEIFS($E$16:$E$736,$W$16:$W$736,"&gt;="&amp;W641-$C$5,$W$16:$W$736,"&lt;="&amp;W641+$C$5,$B$16:$B$736,B641,$A$16:$A$736,"&lt;&gt;"&amp;A641),"")</f>
        <v/>
      </c>
      <c r="AD641" s="14">
        <f>IF(AND(ISNUMBER(E641),ISNUMBER(AC641)),E641-AC641,"")</f>
        <v/>
      </c>
    </row>
    <row r="642">
      <c r="A642" s="17" t="n">
        <v>45635</v>
      </c>
      <c r="B642" s="29">
        <f>MONTH(A642)</f>
        <v/>
      </c>
      <c r="C642" s="29">
        <f>IF(AND(ISNUMBER(W642),ISNUMBER($C$4),ABS(W642-$C$4)&lt;=$C$5,ABS(MOD(B642-$C$6+6,12)-6)&lt;=$C$7,OR($C$8="Any",P642=$C$8)),1,0)</f>
        <v/>
      </c>
      <c r="D642" s="29">
        <f>IF(C642=1,COUNTIF($C$16:C642,1),"")</f>
        <v/>
      </c>
      <c r="E642" s="18" t="n">
        <v>21.9</v>
      </c>
      <c r="F642" s="18" t="n">
        <v>16</v>
      </c>
      <c r="G642" s="18" t="n">
        <v>33.72</v>
      </c>
      <c r="H642" s="38" t="n">
        <v>-1.47</v>
      </c>
      <c r="I642" s="38" t="n">
        <v>-2.78</v>
      </c>
      <c r="J642" s="13" t="n">
        <v>11715</v>
      </c>
      <c r="K642" s="13" t="n">
        <v>11165.94</v>
      </c>
      <c r="L642" s="13" t="n">
        <v>2525.12</v>
      </c>
      <c r="M642" s="13" t="n">
        <v>2212.42</v>
      </c>
      <c r="N642" s="13" t="n">
        <v>4109</v>
      </c>
      <c r="O642" s="38" t="n">
        <v>53.84</v>
      </c>
      <c r="P642" s="39" t="inlineStr">
        <is>
          <t>Windy</t>
        </is>
      </c>
      <c r="Q642" s="13" t="n">
        <v>737</v>
      </c>
      <c r="R642" s="13" t="n">
        <v>730.73</v>
      </c>
      <c r="S642" s="13" t="n">
        <v>-415.04</v>
      </c>
      <c r="T642" s="13" t="n">
        <v>10338.19</v>
      </c>
      <c r="U642" s="13" t="n">
        <v>854.48</v>
      </c>
      <c r="V642" s="13" t="n">
        <v>163.07</v>
      </c>
      <c r="W642" s="13" t="n">
        <v>1429.24</v>
      </c>
      <c r="X642" s="13" t="n">
        <v>2590.5</v>
      </c>
      <c r="Y642" s="13" t="n">
        <v>1545.32</v>
      </c>
      <c r="Z642" s="19" t="n"/>
      <c r="AA642" s="18" t="n"/>
      <c r="AB642" s="38" t="n">
        <v>29.52</v>
      </c>
      <c r="AC642" s="14">
        <f>IFERROR(AVERAGEIFS($E$16:$E$736,$W$16:$W$736,"&gt;="&amp;W642-$C$5,$W$16:$W$736,"&lt;="&amp;W642+$C$5,$B$16:$B$736,B642,$A$16:$A$736,"&lt;&gt;"&amp;A642),"")</f>
        <v/>
      </c>
      <c r="AD642" s="14">
        <f>IF(AND(ISNUMBER(E642),ISNUMBER(AC642)),E642-AC642,"")</f>
        <v/>
      </c>
    </row>
    <row r="643">
      <c r="A643" s="17" t="n">
        <v>45634</v>
      </c>
      <c r="B643" s="29">
        <f>MONTH(A643)</f>
        <v/>
      </c>
      <c r="C643" s="29">
        <f>IF(AND(ISNUMBER(W643),ISNUMBER($C$4),ABS(W643-$C$4)&lt;=$C$5,ABS(MOD(B643-$C$6+6,12)-6)&lt;=$C$7,OR($C$8="Any",P643=$C$8)),1,0)</f>
        <v/>
      </c>
      <c r="D643" s="29">
        <f>IF(C643=1,COUNTIF($C$16:C643,1),"")</f>
        <v/>
      </c>
      <c r="E643" s="18" t="n">
        <v>8.970000000000001</v>
      </c>
      <c r="F643" s="18" t="n">
        <v>11.55</v>
      </c>
      <c r="G643" s="18" t="n">
        <v>3.82</v>
      </c>
      <c r="H643" s="38" t="n">
        <v>3.03</v>
      </c>
      <c r="I643" s="38" t="n">
        <v>0.13</v>
      </c>
      <c r="J643" s="13" t="n">
        <v>11525</v>
      </c>
      <c r="K643" s="13" t="n">
        <v>10961</v>
      </c>
      <c r="L643" s="13" t="n">
        <v>3167.69</v>
      </c>
      <c r="M643" s="13" t="n">
        <v>2990.04</v>
      </c>
      <c r="N643" s="13" t="n">
        <v>3958.33</v>
      </c>
      <c r="O643" s="38" t="n">
        <v>75.54000000000001</v>
      </c>
      <c r="P643" s="39" t="inlineStr">
        <is>
          <t>Windy</t>
        </is>
      </c>
      <c r="Q643" s="13" t="n">
        <v>198</v>
      </c>
      <c r="R643" s="13" t="n">
        <v>728.83</v>
      </c>
      <c r="S643" s="13" t="n">
        <v>-440</v>
      </c>
      <c r="T643" s="13" t="n">
        <v>10170.57</v>
      </c>
      <c r="U643" s="13" t="n">
        <v>843.04</v>
      </c>
      <c r="V643" s="13" t="n">
        <v>191.34</v>
      </c>
      <c r="W643" s="13" t="n">
        <v>2094.57</v>
      </c>
      <c r="X643" s="13" t="n">
        <v>3054.14</v>
      </c>
      <c r="Y643" s="13" t="n">
        <v>2140.89</v>
      </c>
      <c r="Z643" s="19" t="n"/>
      <c r="AA643" s="18" t="n"/>
      <c r="AB643" s="38" t="n">
        <v>30</v>
      </c>
      <c r="AC643" s="14">
        <f>IFERROR(AVERAGEIFS($E$16:$E$736,$W$16:$W$736,"&gt;="&amp;W643-$C$5,$W$16:$W$736,"&lt;="&amp;W643+$C$5,$B$16:$B$736,B643,$A$16:$A$736,"&lt;&gt;"&amp;A643),"")</f>
        <v/>
      </c>
      <c r="AD643" s="14">
        <f>IF(AND(ISNUMBER(E643),ISNUMBER(AC643)),E643-AC643,"")</f>
        <v/>
      </c>
    </row>
    <row r="644">
      <c r="A644" s="17" t="n">
        <v>45633</v>
      </c>
      <c r="B644" s="29">
        <f>MONTH(A644)</f>
        <v/>
      </c>
      <c r="C644" s="29">
        <f>IF(AND(ISNUMBER(W644),ISNUMBER($C$4),ABS(W644-$C$4)&lt;=$C$5,ABS(MOD(B644-$C$6+6,12)-6)&lt;=$C$7,OR($C$8="Any",P644=$C$8)),1,0)</f>
        <v/>
      </c>
      <c r="D644" s="29">
        <f>IF(C644=1,COUNTIF($C$16:C644,1),"")</f>
        <v/>
      </c>
      <c r="E644" s="18" t="n">
        <v>18.06</v>
      </c>
      <c r="F644" s="18" t="n">
        <v>21.09</v>
      </c>
      <c r="G644" s="18" t="n">
        <v>11.99</v>
      </c>
      <c r="H644" s="38" t="n">
        <v>3.57</v>
      </c>
      <c r="I644" s="38" t="n">
        <v>2.6</v>
      </c>
      <c r="J644" s="13" t="n">
        <v>11223</v>
      </c>
      <c r="K644" s="13" t="n">
        <v>10678.19</v>
      </c>
      <c r="L644" s="13" t="n">
        <v>2427.69</v>
      </c>
      <c r="M644" s="13" t="n">
        <v>2483.92</v>
      </c>
      <c r="N644" s="13" t="n">
        <v>3775</v>
      </c>
      <c r="O644" s="38" t="n">
        <v>65.8</v>
      </c>
      <c r="P644" s="39" t="inlineStr">
        <is>
          <t>Windy</t>
        </is>
      </c>
      <c r="Q644" s="13" t="n">
        <v>502</v>
      </c>
      <c r="R644" s="13" t="n">
        <v>730.3200000000001</v>
      </c>
      <c r="S644" s="13" t="n">
        <v>-462.71</v>
      </c>
      <c r="T644" s="13" t="n">
        <v>10223.47</v>
      </c>
      <c r="U644" s="13" t="n">
        <v>856.38</v>
      </c>
      <c r="V644" s="13" t="n">
        <v>186.74</v>
      </c>
      <c r="W644" s="13" t="n">
        <v>2277.73</v>
      </c>
      <c r="X644" s="13" t="n">
        <v>2858.4</v>
      </c>
      <c r="Y644" s="13" t="n">
        <v>2320.73</v>
      </c>
      <c r="Z644" s="19" t="n"/>
      <c r="AA644" s="18" t="n"/>
      <c r="AB644" s="38" t="n">
        <v>29.03</v>
      </c>
      <c r="AC644" s="14">
        <f>IFERROR(AVERAGEIFS($E$16:$E$736,$W$16:$W$736,"&gt;="&amp;W644-$C$5,$W$16:$W$736,"&lt;="&amp;W644+$C$5,$B$16:$B$736,B644,$A$16:$A$736,"&lt;&gt;"&amp;A644),"")</f>
        <v/>
      </c>
      <c r="AD644" s="14">
        <f>IF(AND(ISNUMBER(E644),ISNUMBER(AC644)),E644-AC644,"")</f>
        <v/>
      </c>
    </row>
    <row r="645">
      <c r="A645" s="17" t="n">
        <v>45632</v>
      </c>
      <c r="B645" s="29">
        <f>MONTH(A645)</f>
        <v/>
      </c>
      <c r="C645" s="29">
        <f>IF(AND(ISNUMBER(W645),ISNUMBER($C$4),ABS(W645-$C$4)&lt;=$C$5,ABS(MOD(B645-$C$6+6,12)-6)&lt;=$C$7,OR($C$8="Any",P645=$C$8)),1,0)</f>
        <v/>
      </c>
      <c r="D645" s="29">
        <f>IF(C645=1,COUNTIF($C$16:C645,1),"")</f>
        <v/>
      </c>
      <c r="E645" s="18" t="n">
        <v>23.36</v>
      </c>
      <c r="F645" s="18" t="n">
        <v>24.5</v>
      </c>
      <c r="G645" s="18" t="n">
        <v>21.08</v>
      </c>
      <c r="H645" s="38" t="n">
        <v>3.57</v>
      </c>
      <c r="I645" s="38" t="n">
        <v>2.36</v>
      </c>
      <c r="J645" s="13" t="n">
        <v>11367</v>
      </c>
      <c r="K645" s="13" t="n">
        <v>10997.56</v>
      </c>
      <c r="L645" s="13" t="n">
        <v>2779.81</v>
      </c>
      <c r="M645" s="13" t="n">
        <v>2739.58</v>
      </c>
      <c r="N645" s="13" t="n">
        <v>3775</v>
      </c>
      <c r="O645" s="38" t="n">
        <v>72.56999999999999</v>
      </c>
      <c r="P645" s="39" t="inlineStr">
        <is>
          <t>Windy</t>
        </is>
      </c>
      <c r="Q645" s="13" t="n">
        <v>545</v>
      </c>
      <c r="R645" s="13" t="n">
        <v>728.6799999999999</v>
      </c>
      <c r="S645" s="13" t="n">
        <v>-681.21</v>
      </c>
      <c r="T645" s="13" t="n">
        <v>10415.1</v>
      </c>
      <c r="U645" s="13" t="n">
        <v>841.51</v>
      </c>
      <c r="V645" s="13" t="n">
        <v>197.12</v>
      </c>
      <c r="W645" s="13" t="n">
        <v>2316.26</v>
      </c>
      <c r="X645" s="13" t="n">
        <v>2802.72</v>
      </c>
      <c r="Y645" s="13" t="n">
        <v>2435.76</v>
      </c>
      <c r="Z645" s="19" t="n"/>
      <c r="AA645" s="18" t="n"/>
      <c r="AB645" s="38" t="n">
        <v>40.6</v>
      </c>
      <c r="AC645" s="14">
        <f>IFERROR(AVERAGEIFS($E$16:$E$736,$W$16:$W$736,"&gt;="&amp;W645-$C$5,$W$16:$W$736,"&lt;="&amp;W645+$C$5,$B$16:$B$736,B645,$A$16:$A$736,"&lt;&gt;"&amp;A645),"")</f>
        <v/>
      </c>
      <c r="AD645" s="14">
        <f>IF(AND(ISNUMBER(E645),ISNUMBER(AC645)),E645-AC645,"")</f>
        <v/>
      </c>
    </row>
    <row r="646">
      <c r="A646" s="17" t="n">
        <v>45631</v>
      </c>
      <c r="B646" s="29">
        <f>MONTH(A646)</f>
        <v/>
      </c>
      <c r="C646" s="29">
        <f>IF(AND(ISNUMBER(W646),ISNUMBER($C$4),ABS(W646-$C$4)&lt;=$C$5,ABS(MOD(B646-$C$6+6,12)-6)&lt;=$C$7,OR($C$8="Any",P646=$C$8)),1,0)</f>
        <v/>
      </c>
      <c r="D646" s="29">
        <f>IF(C646=1,COUNTIF($C$16:C646,1),"")</f>
        <v/>
      </c>
      <c r="E646" s="18" t="n">
        <v>23.61</v>
      </c>
      <c r="F646" s="18" t="n">
        <v>26.49</v>
      </c>
      <c r="G646" s="18" t="n">
        <v>17.84</v>
      </c>
      <c r="H646" s="38" t="n">
        <v>3.3</v>
      </c>
      <c r="I646" s="38" t="n">
        <v>-0.14</v>
      </c>
      <c r="J646" s="13" t="n">
        <v>11452</v>
      </c>
      <c r="K646" s="13" t="n">
        <v>11068.12</v>
      </c>
      <c r="L646" s="13" t="n">
        <v>2063.31</v>
      </c>
      <c r="M646" s="13" t="n">
        <v>2113.83</v>
      </c>
      <c r="N646" s="13" t="n">
        <v>3775</v>
      </c>
      <c r="O646" s="38" t="n">
        <v>56</v>
      </c>
      <c r="P646" s="39" t="inlineStr">
        <is>
          <t>Windy</t>
        </is>
      </c>
      <c r="Q646" s="13" t="n">
        <v>829</v>
      </c>
      <c r="R646" s="13" t="n">
        <v>721.72</v>
      </c>
      <c r="S646" s="13" t="n">
        <v>-654.96</v>
      </c>
      <c r="T646" s="13" t="n">
        <v>10624.66</v>
      </c>
      <c r="U646" s="13" t="n">
        <v>819.42</v>
      </c>
      <c r="V646" s="13" t="n">
        <v>48.37</v>
      </c>
      <c r="W646" s="13" t="n">
        <v>1605.56</v>
      </c>
      <c r="X646" s="13" t="n">
        <v>2395.11</v>
      </c>
      <c r="Y646" s="13" t="n">
        <v>1686.1</v>
      </c>
      <c r="Z646" s="19" t="n"/>
      <c r="AA646" s="18" t="n"/>
      <c r="AB646" s="38" t="n">
        <v>38.45</v>
      </c>
      <c r="AC646" s="14">
        <f>IFERROR(AVERAGEIFS($E$16:$E$736,$W$16:$W$736,"&gt;="&amp;W646-$C$5,$W$16:$W$736,"&lt;="&amp;W646+$C$5,$B$16:$B$736,B646,$A$16:$A$736,"&lt;&gt;"&amp;A646),"")</f>
        <v/>
      </c>
      <c r="AD646" s="14">
        <f>IF(AND(ISNUMBER(E646),ISNUMBER(AC646)),E646-AC646,"")</f>
        <v/>
      </c>
    </row>
    <row r="647">
      <c r="A647" s="17" t="n">
        <v>45630</v>
      </c>
      <c r="B647" s="29">
        <f>MONTH(A647)</f>
        <v/>
      </c>
      <c r="C647" s="29">
        <f>IF(AND(ISNUMBER(W647),ISNUMBER($C$4),ABS(W647-$C$4)&lt;=$C$5,ABS(MOD(B647-$C$6+6,12)-6)&lt;=$C$7,OR($C$8="Any",P647=$C$8)),1,0)</f>
        <v/>
      </c>
      <c r="D647" s="29">
        <f>IF(C647=1,COUNTIF($C$16:C647,1),"")</f>
        <v/>
      </c>
      <c r="E647" s="18" t="n">
        <v>29.46</v>
      </c>
      <c r="F647" s="18" t="n">
        <v>34.97</v>
      </c>
      <c r="G647" s="18" t="n">
        <v>18.45</v>
      </c>
      <c r="H647" s="38" t="n">
        <v>-2.83</v>
      </c>
      <c r="I647" s="38" t="n">
        <v>-4.86</v>
      </c>
      <c r="J647" s="13" t="n">
        <v>11788</v>
      </c>
      <c r="K647" s="13" t="n">
        <v>11319.12</v>
      </c>
      <c r="L647" s="13" t="n">
        <v>1475.25</v>
      </c>
      <c r="M647" s="13" t="n">
        <v>1456.04</v>
      </c>
      <c r="N647" s="13" t="n">
        <v>3775</v>
      </c>
      <c r="O647" s="38" t="n">
        <v>38.57</v>
      </c>
      <c r="P647" s="39" t="inlineStr">
        <is>
          <t>Windy</t>
        </is>
      </c>
      <c r="Q647" s="13" t="n">
        <v>385</v>
      </c>
      <c r="R647" s="13" t="n">
        <v>720.79</v>
      </c>
      <c r="S647" s="13" t="n">
        <v>-286.88</v>
      </c>
      <c r="T647" s="13" t="n">
        <v>10571.18</v>
      </c>
      <c r="U647" s="13" t="n">
        <v>788.22</v>
      </c>
      <c r="V647" s="13" t="n">
        <v>108.58</v>
      </c>
      <c r="W647" s="13" t="n">
        <v>1029.14</v>
      </c>
      <c r="X647" s="13" t="n">
        <v>1651.61</v>
      </c>
      <c r="Y647" s="13" t="n">
        <v>1202.44</v>
      </c>
      <c r="Z647" s="19" t="n"/>
      <c r="AA647" s="18" t="n"/>
      <c r="AB647" s="38" t="n">
        <v>25.22</v>
      </c>
      <c r="AC647" s="14">
        <f>IFERROR(AVERAGEIFS($E$16:$E$736,$W$16:$W$736,"&gt;="&amp;W647-$C$5,$W$16:$W$736,"&lt;="&amp;W647+$C$5,$B$16:$B$736,B647,$A$16:$A$736,"&lt;&gt;"&amp;A647),"")</f>
        <v/>
      </c>
      <c r="AD647" s="14">
        <f>IF(AND(ISNUMBER(E647),ISNUMBER(AC647)),E647-AC647,"")</f>
        <v/>
      </c>
    </row>
    <row r="648">
      <c r="A648" s="17" t="n">
        <v>45629</v>
      </c>
      <c r="B648" s="29">
        <f>MONTH(A648)</f>
        <v/>
      </c>
      <c r="C648" s="29">
        <f>IF(AND(ISNUMBER(W648),ISNUMBER($C$4),ABS(W648-$C$4)&lt;=$C$5,ABS(MOD(B648-$C$6+6,12)-6)&lt;=$C$7,OR($C$8="Any",P648=$C$8)),1,0)</f>
        <v/>
      </c>
      <c r="D648" s="29">
        <f>IF(C648=1,COUNTIF($C$16:C648,1),"")</f>
        <v/>
      </c>
      <c r="E648" s="18" t="n">
        <v>18.29</v>
      </c>
      <c r="F648" s="18" t="n">
        <v>25.82</v>
      </c>
      <c r="G648" s="18" t="n">
        <v>3.22</v>
      </c>
      <c r="H648" s="38" t="n">
        <v>3.8</v>
      </c>
      <c r="I648" s="38" t="n">
        <v>1.25</v>
      </c>
      <c r="J648" s="13" t="n">
        <v>11599</v>
      </c>
      <c r="K648" s="13" t="n">
        <v>11148.81</v>
      </c>
      <c r="L648" s="13" t="n">
        <v>2346.19</v>
      </c>
      <c r="M648" s="13" t="n">
        <v>2470.79</v>
      </c>
      <c r="N648" s="13" t="n">
        <v>3775</v>
      </c>
      <c r="O648" s="38" t="n">
        <v>65.45</v>
      </c>
      <c r="P648" s="39" t="inlineStr">
        <is>
          <t>Windy</t>
        </is>
      </c>
      <c r="Q648" s="13" t="n">
        <v>531</v>
      </c>
      <c r="R648" s="13" t="n">
        <v>724.74</v>
      </c>
      <c r="S648" s="13" t="n">
        <v>-702.79</v>
      </c>
      <c r="T648" s="13" t="n">
        <v>10169.23</v>
      </c>
      <c r="U648" s="13" t="n">
        <v>825.17</v>
      </c>
      <c r="V648" s="13" t="n">
        <v>325.04</v>
      </c>
      <c r="W648" s="13" t="n">
        <v>1398.46</v>
      </c>
      <c r="X648" s="13" t="n">
        <v>1961.91</v>
      </c>
      <c r="Y648" s="13" t="n">
        <v>1480.79</v>
      </c>
      <c r="Z648" s="19" t="n"/>
      <c r="AA648" s="18" t="n"/>
      <c r="AB648" s="38" t="n">
        <v>35.44</v>
      </c>
      <c r="AC648" s="14">
        <f>IFERROR(AVERAGEIFS($E$16:$E$736,$W$16:$W$736,"&gt;="&amp;W648-$C$5,$W$16:$W$736,"&lt;="&amp;W648+$C$5,$B$16:$B$736,B648,$A$16:$A$736,"&lt;&gt;"&amp;A648),"")</f>
        <v/>
      </c>
      <c r="AD648" s="14">
        <f>IF(AND(ISNUMBER(E648),ISNUMBER(AC648)),E648-AC648,"")</f>
        <v/>
      </c>
    </row>
    <row r="649">
      <c r="A649" s="17" t="n">
        <v>45628</v>
      </c>
      <c r="B649" s="29">
        <f>MONTH(A649)</f>
        <v/>
      </c>
      <c r="C649" s="29">
        <f>IF(AND(ISNUMBER(W649),ISNUMBER($C$4),ABS(W649-$C$4)&lt;=$C$5,ABS(MOD(B649-$C$6+6,12)-6)&lt;=$C$7,OR($C$8="Any",P649=$C$8)),1,0)</f>
        <v/>
      </c>
      <c r="D649" s="29">
        <f>IF(C649=1,COUNTIF($C$16:C649,1),"")</f>
        <v/>
      </c>
      <c r="E649" s="18" t="n">
        <v>16.98</v>
      </c>
      <c r="F649" s="18" t="n">
        <v>19.75</v>
      </c>
      <c r="G649" s="18" t="n">
        <v>11.44</v>
      </c>
      <c r="H649" s="38" t="n">
        <v>1.53</v>
      </c>
      <c r="I649" s="38" t="n">
        <v>-5.38</v>
      </c>
      <c r="J649" s="13" t="n">
        <v>11786</v>
      </c>
      <c r="K649" s="13" t="n">
        <v>11390.69</v>
      </c>
      <c r="L649" s="13" t="n">
        <v>2465.19</v>
      </c>
      <c r="M649" s="13" t="n">
        <v>2282.79</v>
      </c>
      <c r="N649" s="13" t="n">
        <v>3775</v>
      </c>
      <c r="O649" s="38" t="n">
        <v>60.47</v>
      </c>
      <c r="P649" s="39" t="inlineStr">
        <is>
          <t>Windy</t>
        </is>
      </c>
      <c r="Q649" s="13" t="n">
        <v>404</v>
      </c>
      <c r="R649" s="13" t="n">
        <v>739.41</v>
      </c>
      <c r="S649" s="13" t="n">
        <v>-573.25</v>
      </c>
      <c r="T649" s="13" t="n">
        <v>10430.44</v>
      </c>
      <c r="U649" s="13" t="n">
        <v>828.66</v>
      </c>
      <c r="V649" s="13" t="n">
        <v>303.18</v>
      </c>
      <c r="W649" s="13" t="n">
        <v>1642.02</v>
      </c>
      <c r="X649" s="13" t="n">
        <v>2137.51</v>
      </c>
      <c r="Y649" s="13" t="n">
        <v>1762</v>
      </c>
      <c r="Z649" s="19" t="n"/>
      <c r="AA649" s="18" t="n"/>
      <c r="AB649" s="38" t="n">
        <v>34.59</v>
      </c>
      <c r="AC649" s="14">
        <f>IFERROR(AVERAGEIFS($E$16:$E$736,$W$16:$W$736,"&gt;="&amp;W649-$C$5,$W$16:$W$736,"&lt;="&amp;W649+$C$5,$B$16:$B$736,B649,$A$16:$A$736,"&lt;&gt;"&amp;A649),"")</f>
        <v/>
      </c>
      <c r="AD649" s="14">
        <f>IF(AND(ISNUMBER(E649),ISNUMBER(AC649)),E649-AC649,"")</f>
        <v/>
      </c>
    </row>
    <row r="650">
      <c r="A650" s="17" t="n">
        <v>45627</v>
      </c>
      <c r="B650" s="29">
        <f>MONTH(A650)</f>
        <v/>
      </c>
      <c r="C650" s="29">
        <f>IF(AND(ISNUMBER(W650),ISNUMBER($C$4),ABS(W650-$C$4)&lt;=$C$5,ABS(MOD(B650-$C$6+6,12)-6)&lt;=$C$7,OR($C$8="Any",P650=$C$8)),1,0)</f>
        <v/>
      </c>
      <c r="D650" s="29">
        <f>IF(C650=1,COUNTIF($C$16:C650,1),"")</f>
        <v/>
      </c>
      <c r="E650" s="18" t="n">
        <v>35.33</v>
      </c>
      <c r="F650" s="18" t="n">
        <v>44.14</v>
      </c>
      <c r="G650" s="18" t="n">
        <v>17.72</v>
      </c>
      <c r="H650" s="38" t="n">
        <v>-13.67</v>
      </c>
      <c r="I650" s="38" t="n">
        <v>-18.5</v>
      </c>
      <c r="J650" s="13" t="n">
        <v>11868</v>
      </c>
      <c r="K650" s="13" t="n">
        <v>11417.38</v>
      </c>
      <c r="L650" s="13" t="n">
        <v>455.5</v>
      </c>
      <c r="M650" s="13" t="n">
        <v>578.38</v>
      </c>
      <c r="N650" s="13" t="n">
        <v>3775</v>
      </c>
      <c r="O650" s="38" t="n">
        <v>15.32</v>
      </c>
      <c r="P650" s="39" t="inlineStr">
        <is>
          <t>Calm</t>
        </is>
      </c>
      <c r="Q650" s="13" t="n">
        <v>187</v>
      </c>
      <c r="R650" s="13" t="n">
        <v>741.39</v>
      </c>
      <c r="S650" s="13" t="n">
        <v>-30.83</v>
      </c>
      <c r="T650" s="13" t="n">
        <v>10742.98</v>
      </c>
      <c r="U650" s="13" t="n">
        <v>860.24</v>
      </c>
      <c r="V650" s="13" t="n">
        <v>394.85</v>
      </c>
      <c r="W650" s="13" t="n">
        <v>199.2</v>
      </c>
      <c r="X650" s="13" t="n">
        <v>981.09</v>
      </c>
      <c r="Y650" s="13" t="n">
        <v>248.92</v>
      </c>
      <c r="Z650" s="19" t="n"/>
      <c r="AA650" s="18" t="n"/>
      <c r="AB650" s="38" t="n">
        <v>12.56</v>
      </c>
      <c r="AC650" s="14">
        <f>IFERROR(AVERAGEIFS($E$16:$E$736,$W$16:$W$736,"&gt;="&amp;W650-$C$5,$W$16:$W$736,"&lt;="&amp;W650+$C$5,$B$16:$B$736,B650,$A$16:$A$736,"&lt;&gt;"&amp;A650),"")</f>
        <v/>
      </c>
      <c r="AD650" s="14">
        <f>IF(AND(ISNUMBER(E650),ISNUMBER(AC650)),E650-AC650,"")</f>
        <v/>
      </c>
    </row>
    <row r="651">
      <c r="A651" s="17" t="n">
        <v>45626</v>
      </c>
      <c r="B651" s="29">
        <f>MONTH(A651)</f>
        <v/>
      </c>
      <c r="C651" s="29">
        <f>IF(AND(ISNUMBER(W651),ISNUMBER($C$4),ABS(W651-$C$4)&lt;=$C$5,ABS(MOD(B651-$C$6+6,12)-6)&lt;=$C$7,OR($C$8="Any",P651=$C$8)),1,0)</f>
        <v/>
      </c>
      <c r="D651" s="29">
        <f>IF(C651=1,COUNTIF($C$16:C651,1),"")</f>
        <v/>
      </c>
      <c r="E651" s="18" t="n">
        <v>41.2</v>
      </c>
      <c r="F651" s="18" t="n">
        <v>46.45</v>
      </c>
      <c r="G651" s="18" t="n">
        <v>30.68</v>
      </c>
      <c r="H651" s="38" t="n">
        <v>-10.23</v>
      </c>
      <c r="I651" s="38" t="n">
        <v>-12.05</v>
      </c>
      <c r="J651" s="13" t="n">
        <v>11806</v>
      </c>
      <c r="K651" s="13" t="n">
        <v>11453.25</v>
      </c>
      <c r="L651" s="13" t="n">
        <v>809.12</v>
      </c>
      <c r="M651" s="13" t="n">
        <v>785.75</v>
      </c>
      <c r="N651" s="13" t="n">
        <v>3775</v>
      </c>
      <c r="O651" s="38" t="n">
        <v>20.81</v>
      </c>
      <c r="P651" s="39" t="inlineStr">
        <is>
          <t>Windy</t>
        </is>
      </c>
      <c r="Q651" s="13" t="n">
        <v>166</v>
      </c>
      <c r="R651" s="13" t="n">
        <v>738.63</v>
      </c>
      <c r="S651" s="13" t="n">
        <v>-10.5</v>
      </c>
      <c r="T651" s="13" t="n">
        <v>10685.55</v>
      </c>
      <c r="U651" s="13" t="n">
        <v>842.12</v>
      </c>
      <c r="V651" s="13" t="n">
        <v>964.1</v>
      </c>
      <c r="W651" s="13" t="n">
        <v>220.44</v>
      </c>
      <c r="X651" s="13" t="n">
        <v>1204.54</v>
      </c>
      <c r="Y651" s="13" t="n">
        <v>271.87</v>
      </c>
      <c r="Z651" s="19" t="n"/>
      <c r="AA651" s="18" t="n"/>
      <c r="AB651" s="38" t="n">
        <v>22.73</v>
      </c>
      <c r="AC651" s="14">
        <f>IFERROR(AVERAGEIFS($E$16:$E$736,$W$16:$W$736,"&gt;="&amp;W651-$C$5,$W$16:$W$736,"&lt;="&amp;W651+$C$5,$B$16:$B$736,B651,$A$16:$A$736,"&lt;&gt;"&amp;A651),"")</f>
        <v/>
      </c>
      <c r="AD651" s="14">
        <f>IF(AND(ISNUMBER(E651),ISNUMBER(AC651)),E651-AC651,"")</f>
        <v/>
      </c>
    </row>
    <row r="652">
      <c r="A652" s="17" t="n">
        <v>45625</v>
      </c>
      <c r="B652" s="29">
        <f>MONTH(A652)</f>
        <v/>
      </c>
      <c r="C652" s="29">
        <f>IF(AND(ISNUMBER(W652),ISNUMBER($C$4),ABS(W652-$C$4)&lt;=$C$5,ABS(MOD(B652-$C$6+6,12)-6)&lt;=$C$7,OR($C$8="Any",P652=$C$8)),1,0)</f>
        <v/>
      </c>
      <c r="D652" s="29">
        <f>IF(C652=1,COUNTIF($C$16:C652,1),"")</f>
        <v/>
      </c>
      <c r="E652" s="18" t="n">
        <v>129.48</v>
      </c>
      <c r="F652" s="18" t="n">
        <v>130.16</v>
      </c>
      <c r="G652" s="18" t="n">
        <v>128.12</v>
      </c>
      <c r="H652" s="38" t="n">
        <v>-12.5</v>
      </c>
      <c r="I652" s="38" t="n">
        <v>-15.92</v>
      </c>
      <c r="J652" s="13" t="n">
        <v>12058</v>
      </c>
      <c r="K652" s="13" t="n">
        <v>11699.62</v>
      </c>
      <c r="L652" s="13" t="n">
        <v>400.5</v>
      </c>
      <c r="M652" s="13" t="n">
        <v>321.83</v>
      </c>
      <c r="N652" s="13" t="n">
        <v>3775</v>
      </c>
      <c r="O652" s="38" t="n">
        <v>8.529999999999999</v>
      </c>
      <c r="P652" s="39" t="inlineStr">
        <is>
          <t>Calm</t>
        </is>
      </c>
      <c r="Q652" s="13" t="n">
        <v>148</v>
      </c>
      <c r="R652" s="13" t="n">
        <v>724.21</v>
      </c>
      <c r="S652" s="13" t="n">
        <v>384.92</v>
      </c>
      <c r="T652" s="13" t="n">
        <v>10324.52</v>
      </c>
      <c r="U652" s="13" t="n">
        <v>783.51</v>
      </c>
      <c r="V652" s="13" t="n">
        <v>386.32</v>
      </c>
      <c r="W652" s="13" t="n">
        <v>-115.05</v>
      </c>
      <c r="X652" s="13" t="n">
        <v>492.21</v>
      </c>
      <c r="Y652" s="13" t="n">
        <v>-131.15</v>
      </c>
      <c r="Z652" s="19" t="n"/>
      <c r="AA652" s="18" t="n"/>
      <c r="AB652" s="38" t="n">
        <v>15.37</v>
      </c>
      <c r="AC652" s="14">
        <f>IFERROR(AVERAGEIFS($E$16:$E$736,$W$16:$W$736,"&gt;="&amp;W652-$C$5,$W$16:$W$736,"&lt;="&amp;W652+$C$5,$B$16:$B$736,B652,$A$16:$A$736,"&lt;&gt;"&amp;A652),"")</f>
        <v/>
      </c>
      <c r="AD652" s="14">
        <f>IF(AND(ISNUMBER(E652),ISNUMBER(AC652)),E652-AC652,"")</f>
        <v/>
      </c>
    </row>
    <row r="653">
      <c r="A653" s="17" t="n">
        <v>45624</v>
      </c>
      <c r="B653" s="29">
        <f>MONTH(A653)</f>
        <v/>
      </c>
      <c r="C653" s="29">
        <f>IF(AND(ISNUMBER(W653),ISNUMBER($C$4),ABS(W653-$C$4)&lt;=$C$5,ABS(MOD(B653-$C$6+6,12)-6)&lt;=$C$7,OR($C$8="Any",P653=$C$8)),1,0)</f>
        <v/>
      </c>
      <c r="D653" s="29">
        <f>IF(C653=1,COUNTIF($C$16:C653,1),"")</f>
        <v/>
      </c>
      <c r="E653" s="18" t="n">
        <v>363.39</v>
      </c>
      <c r="F653" s="18" t="n">
        <v>505.84</v>
      </c>
      <c r="G653" s="18" t="n">
        <v>78.48</v>
      </c>
      <c r="H653" s="38" t="n">
        <v>-12.4</v>
      </c>
      <c r="I653" s="38" t="n">
        <v>-15.79</v>
      </c>
      <c r="J653" s="13" t="n">
        <v>11854</v>
      </c>
      <c r="K653" s="13" t="n">
        <v>11483.62</v>
      </c>
      <c r="L653" s="13" t="n">
        <v>325</v>
      </c>
      <c r="M653" s="13" t="n">
        <v>359.62</v>
      </c>
      <c r="N653" s="13" t="n">
        <v>3775</v>
      </c>
      <c r="O653" s="38" t="n">
        <v>9.529999999999999</v>
      </c>
      <c r="P653" s="39" t="inlineStr">
        <is>
          <t>Calm</t>
        </is>
      </c>
      <c r="Q653" s="13" t="n">
        <v>121</v>
      </c>
      <c r="R653" s="13" t="n">
        <v>640.1</v>
      </c>
      <c r="S653" s="13" t="n">
        <v>374.12</v>
      </c>
      <c r="T653" s="13" t="n">
        <v>9955.860000000001</v>
      </c>
      <c r="U653" s="13" t="n">
        <v>781.49</v>
      </c>
      <c r="V653" s="13" t="n">
        <v>153.74</v>
      </c>
      <c r="W653" s="13" t="n">
        <v>-418.19</v>
      </c>
      <c r="X653" s="13" t="n">
        <v>273.84</v>
      </c>
      <c r="Y653" s="13" t="n">
        <v>-287.51</v>
      </c>
      <c r="Z653" s="19" t="n"/>
      <c r="AA653" s="18" t="n"/>
      <c r="AB653" s="38" t="n">
        <v>14.52</v>
      </c>
      <c r="AC653" s="14">
        <f>IFERROR(AVERAGEIFS($E$16:$E$736,$W$16:$W$736,"&gt;="&amp;W653-$C$5,$W$16:$W$736,"&lt;="&amp;W653+$C$5,$B$16:$B$736,B653,$A$16:$A$736,"&lt;&gt;"&amp;A653),"")</f>
        <v/>
      </c>
      <c r="AD653" s="14">
        <f>IF(AND(ISNUMBER(E653),ISNUMBER(AC653)),E653-AC653,"")</f>
        <v/>
      </c>
    </row>
    <row r="654">
      <c r="A654" s="17" t="n">
        <v>45623</v>
      </c>
      <c r="B654" s="29">
        <f>MONTH(A654)</f>
        <v/>
      </c>
      <c r="C654" s="29">
        <f>IF(AND(ISNUMBER(W654),ISNUMBER($C$4),ABS(W654-$C$4)&lt;=$C$5,ABS(MOD(B654-$C$6+6,12)-6)&lt;=$C$7,OR($C$8="Any",P654=$C$8)),1,0)</f>
        <v/>
      </c>
      <c r="D654" s="29">
        <f>IF(C654=1,COUNTIF($C$16:C654,1),"")</f>
        <v/>
      </c>
      <c r="E654" s="18" t="n">
        <v>134.07</v>
      </c>
      <c r="F654" s="18" t="n">
        <v>185.02</v>
      </c>
      <c r="G654" s="18" t="n">
        <v>32.16</v>
      </c>
      <c r="H654" s="38" t="n">
        <v>-9.5</v>
      </c>
      <c r="I654" s="38" t="n">
        <v>-13.19</v>
      </c>
      <c r="J654" s="13" t="n">
        <v>11751</v>
      </c>
      <c r="K654" s="13" t="n">
        <v>11369.38</v>
      </c>
      <c r="L654" s="13" t="n">
        <v>513.4400000000001</v>
      </c>
      <c r="M654" s="13" t="n">
        <v>662</v>
      </c>
      <c r="N654" s="13" t="n">
        <v>3775</v>
      </c>
      <c r="O654" s="38" t="n">
        <v>17.54</v>
      </c>
      <c r="P654" s="39" t="inlineStr">
        <is>
          <t>Windy</t>
        </is>
      </c>
      <c r="Q654" s="13" t="n">
        <v>261</v>
      </c>
      <c r="R654" s="13" t="n">
        <v>573.39</v>
      </c>
      <c r="S654" s="13" t="n">
        <v>282.71</v>
      </c>
      <c r="T654" s="13" t="n">
        <v>10060.55</v>
      </c>
      <c r="U654" s="13" t="n">
        <v>774.45</v>
      </c>
      <c r="V654" s="13" t="n">
        <v>835.7</v>
      </c>
      <c r="W654" s="13" t="n">
        <v>167.28</v>
      </c>
      <c r="X654" s="13" t="n">
        <v>710.77</v>
      </c>
      <c r="Y654" s="13" t="n">
        <v>124.49</v>
      </c>
      <c r="Z654" s="19" t="n"/>
      <c r="AA654" s="18" t="n"/>
      <c r="AB654" s="38" t="n">
        <v>12.69</v>
      </c>
      <c r="AC654" s="14">
        <f>IFERROR(AVERAGEIFS($E$16:$E$736,$W$16:$W$736,"&gt;="&amp;W654-$C$5,$W$16:$W$736,"&lt;="&amp;W654+$C$5,$B$16:$B$736,B654,$A$16:$A$736,"&lt;&gt;"&amp;A654),"")</f>
        <v/>
      </c>
      <c r="AD654" s="14">
        <f>IF(AND(ISNUMBER(E654),ISNUMBER(AC654)),E654-AC654,"")</f>
        <v/>
      </c>
    </row>
    <row r="655">
      <c r="A655" s="17" t="n">
        <v>45622</v>
      </c>
      <c r="B655" s="29">
        <f>MONTH(A655)</f>
        <v/>
      </c>
      <c r="C655" s="29">
        <f>IF(AND(ISNUMBER(W655),ISNUMBER($C$4),ABS(W655-$C$4)&lt;=$C$5,ABS(MOD(B655-$C$6+6,12)-6)&lt;=$C$7,OR($C$8="Any",P655=$C$8)),1,0)</f>
        <v/>
      </c>
      <c r="D655" s="29">
        <f>IF(C655=1,COUNTIF($C$16:C655,1),"")</f>
        <v/>
      </c>
      <c r="E655" s="18" t="n">
        <v>98.76000000000001</v>
      </c>
      <c r="F655" s="18" t="n">
        <v>126.07</v>
      </c>
      <c r="G655" s="18" t="n">
        <v>44.15</v>
      </c>
      <c r="H655" s="38" t="n">
        <v>-4.47</v>
      </c>
      <c r="I655" s="38" t="n">
        <v>-8.98</v>
      </c>
      <c r="J655" s="13" t="n">
        <v>11642</v>
      </c>
      <c r="K655" s="13" t="n">
        <v>11308</v>
      </c>
      <c r="L655" s="13" t="n">
        <v>575</v>
      </c>
      <c r="M655" s="13" t="n">
        <v>586.88</v>
      </c>
      <c r="N655" s="13" t="n">
        <v>3775</v>
      </c>
      <c r="O655" s="38" t="n">
        <v>15.55</v>
      </c>
      <c r="P655" s="39" t="inlineStr">
        <is>
          <t>Calm</t>
        </is>
      </c>
      <c r="Q655" s="13" t="n">
        <v>208</v>
      </c>
      <c r="R655" s="13" t="n">
        <v>580.91</v>
      </c>
      <c r="S655" s="13" t="n">
        <v>215.21</v>
      </c>
      <c r="T655" s="13" t="n">
        <v>10074.63</v>
      </c>
      <c r="U655" s="13" t="n">
        <v>670.8</v>
      </c>
      <c r="V655" s="13" t="n">
        <v>179.18</v>
      </c>
      <c r="W655" s="13" t="n">
        <v>201.96</v>
      </c>
      <c r="X655" s="13" t="n">
        <v>600.74</v>
      </c>
      <c r="Y655" s="13" t="n">
        <v>284.36</v>
      </c>
      <c r="Z655" s="19" t="n"/>
      <c r="AA655" s="18" t="n"/>
      <c r="AB655" s="38" t="n">
        <v>27.84</v>
      </c>
      <c r="AC655" s="14">
        <f>IFERROR(AVERAGEIFS($E$16:$E$736,$W$16:$W$736,"&gt;="&amp;W655-$C$5,$W$16:$W$736,"&lt;="&amp;W655+$C$5,$B$16:$B$736,B655,$A$16:$A$736,"&lt;&gt;"&amp;A655),"")</f>
        <v/>
      </c>
      <c r="AD655" s="14">
        <f>IF(AND(ISNUMBER(E655),ISNUMBER(AC655)),E655-AC655,"")</f>
        <v/>
      </c>
    </row>
    <row r="656">
      <c r="A656" s="17" t="n">
        <v>45621</v>
      </c>
      <c r="B656" s="29">
        <f>MONTH(A656)</f>
        <v/>
      </c>
      <c r="C656" s="29">
        <f>IF(AND(ISNUMBER(W656),ISNUMBER($C$4),ABS(W656-$C$4)&lt;=$C$5,ABS(MOD(B656-$C$6+6,12)-6)&lt;=$C$7,OR($C$8="Any",P656=$C$8)),1,0)</f>
        <v/>
      </c>
      <c r="D656" s="29">
        <f>IF(C656=1,COUNTIF($C$16:C656,1),"")</f>
        <v/>
      </c>
      <c r="E656" s="18" t="n">
        <v>106.91</v>
      </c>
      <c r="F656" s="18" t="n">
        <v>120.34</v>
      </c>
      <c r="G656" s="18" t="n">
        <v>80.05</v>
      </c>
      <c r="H656" s="38" t="n">
        <v>-13.23</v>
      </c>
      <c r="I656" s="38" t="n">
        <v>-16.42</v>
      </c>
      <c r="J656" s="13" t="n">
        <v>11841</v>
      </c>
      <c r="K656" s="13" t="n">
        <v>11452.38</v>
      </c>
      <c r="L656" s="13" t="n">
        <v>611.4400000000001</v>
      </c>
      <c r="M656" s="13" t="n">
        <v>448.58</v>
      </c>
      <c r="N656" s="13" t="n">
        <v>3775</v>
      </c>
      <c r="O656" s="38" t="n">
        <v>11.88</v>
      </c>
      <c r="P656" s="39" t="inlineStr">
        <is>
          <t>Calm</t>
        </is>
      </c>
      <c r="Q656" s="13" t="n">
        <v>178</v>
      </c>
      <c r="R656" s="13" t="n">
        <v>583.11</v>
      </c>
      <c r="S656" s="13" t="n">
        <v>260.12</v>
      </c>
      <c r="T656" s="13" t="n">
        <v>10164.1</v>
      </c>
      <c r="U656" s="13" t="n">
        <v>690.8099999999999</v>
      </c>
      <c r="V656" s="13" t="n">
        <v>469.1</v>
      </c>
      <c r="W656" s="13" t="n">
        <v>-121.59</v>
      </c>
      <c r="X656" s="13" t="n">
        <v>578.45</v>
      </c>
      <c r="Y656" s="13" t="n">
        <v>-42.47</v>
      </c>
      <c r="Z656" s="19" t="n"/>
      <c r="AA656" s="18" t="n"/>
      <c r="AB656" s="38" t="n">
        <v>12.62</v>
      </c>
      <c r="AC656" s="14">
        <f>IFERROR(AVERAGEIFS($E$16:$E$736,$W$16:$W$736,"&gt;="&amp;W656-$C$5,$W$16:$W$736,"&lt;="&amp;W656+$C$5,$B$16:$B$736,B656,$A$16:$A$736,"&lt;&gt;"&amp;A656),"")</f>
        <v/>
      </c>
      <c r="AD656" s="14">
        <f>IF(AND(ISNUMBER(E656),ISNUMBER(AC656)),E656-AC656,"")</f>
        <v/>
      </c>
    </row>
    <row r="657">
      <c r="A657" s="17" t="n">
        <v>45620</v>
      </c>
      <c r="B657" s="29">
        <f>MONTH(A657)</f>
        <v/>
      </c>
      <c r="C657" s="29">
        <f>IF(AND(ISNUMBER(W657),ISNUMBER($C$4),ABS(W657-$C$4)&lt;=$C$5,ABS(MOD(B657-$C$6+6,12)-6)&lt;=$C$7,OR($C$8="Any",P657=$C$8)),1,0)</f>
        <v/>
      </c>
      <c r="D657" s="29">
        <f>IF(C657=1,COUNTIF($C$16:C657,1),"")</f>
        <v/>
      </c>
      <c r="E657" s="18" t="n">
        <v>48.55</v>
      </c>
      <c r="F657" s="18" t="n">
        <v>60.11</v>
      </c>
      <c r="G657" s="18" t="n">
        <v>25.44</v>
      </c>
      <c r="H657" s="38" t="n">
        <v>-12.27</v>
      </c>
      <c r="I657" s="38" t="n">
        <v>-14.84</v>
      </c>
      <c r="J657" s="13" t="n">
        <v>11647</v>
      </c>
      <c r="K657" s="13" t="n">
        <v>11129.5</v>
      </c>
      <c r="L657" s="13" t="n">
        <v>892.3099999999999</v>
      </c>
      <c r="M657" s="13" t="n">
        <v>1241.42</v>
      </c>
      <c r="N657" s="13" t="n">
        <v>3775</v>
      </c>
      <c r="O657" s="38" t="n">
        <v>32.89</v>
      </c>
      <c r="P657" s="39" t="inlineStr">
        <is>
          <t>Windy</t>
        </is>
      </c>
      <c r="Q657" s="13" t="n">
        <v>327</v>
      </c>
      <c r="R657" s="13" t="n">
        <v>582.9299999999999</v>
      </c>
      <c r="S657" s="13" t="n">
        <v>-98.12</v>
      </c>
      <c r="T657" s="13" t="n">
        <v>10069.69</v>
      </c>
      <c r="U657" s="13" t="n">
        <v>675.5700000000001</v>
      </c>
      <c r="V657" s="13" t="n">
        <v>380.23</v>
      </c>
      <c r="W657" s="13" t="n">
        <v>211.36</v>
      </c>
      <c r="X657" s="13" t="n">
        <v>941.21</v>
      </c>
      <c r="Y657" s="13" t="n">
        <v>292.82</v>
      </c>
      <c r="Z657" s="19" t="n"/>
      <c r="AA657" s="18" t="n"/>
      <c r="AB657" s="38" t="n">
        <v>13.38</v>
      </c>
      <c r="AC657" s="14">
        <f>IFERROR(AVERAGEIFS($E$16:$E$736,$W$16:$W$736,"&gt;="&amp;W657-$C$5,$W$16:$W$736,"&lt;="&amp;W657+$C$5,$B$16:$B$736,B657,$A$16:$A$736,"&lt;&gt;"&amp;A657),"")</f>
        <v/>
      </c>
      <c r="AD657" s="14">
        <f>IF(AND(ISNUMBER(E657),ISNUMBER(AC657)),E657-AC657,"")</f>
        <v/>
      </c>
    </row>
    <row r="658">
      <c r="A658" s="17" t="n">
        <v>45619</v>
      </c>
      <c r="B658" s="29">
        <f>MONTH(A658)</f>
        <v/>
      </c>
      <c r="C658" s="29">
        <f>IF(AND(ISNUMBER(W658),ISNUMBER($C$4),ABS(W658-$C$4)&lt;=$C$5,ABS(MOD(B658-$C$6+6,12)-6)&lt;=$C$7,OR($C$8="Any",P658=$C$8)),1,0)</f>
        <v/>
      </c>
      <c r="D658" s="29">
        <f>IF(C658=1,COUNTIF($C$16:C658,1),"")</f>
        <v/>
      </c>
      <c r="E658" s="18" t="n">
        <v>34.36</v>
      </c>
      <c r="F658" s="18" t="n">
        <v>34.52</v>
      </c>
      <c r="G658" s="18" t="n">
        <v>34.02</v>
      </c>
      <c r="H658" s="38" t="n">
        <v>-11.1</v>
      </c>
      <c r="I658" s="38" t="n">
        <v>-11.47</v>
      </c>
      <c r="J658" s="13" t="n">
        <v>11498</v>
      </c>
      <c r="K658" s="13" t="n">
        <v>11164.06</v>
      </c>
      <c r="L658" s="13" t="n">
        <v>1591.69</v>
      </c>
      <c r="M658" s="13" t="n">
        <v>1371.17</v>
      </c>
      <c r="N658" s="13" t="n">
        <v>3775</v>
      </c>
      <c r="O658" s="38" t="n">
        <v>36.32</v>
      </c>
      <c r="P658" s="39" t="inlineStr">
        <is>
          <t>Windy</t>
        </is>
      </c>
      <c r="Q658" s="13" t="n">
        <v>72</v>
      </c>
      <c r="R658" s="13" t="n">
        <v>532.41</v>
      </c>
      <c r="S658" s="13" t="n">
        <v>-38.79</v>
      </c>
      <c r="T658" s="13" t="n">
        <v>10230.61</v>
      </c>
      <c r="U658" s="13" t="n">
        <v>705.37</v>
      </c>
      <c r="V658" s="13" t="n">
        <v>403.85</v>
      </c>
      <c r="W658" s="13" t="n">
        <v>1108.82</v>
      </c>
      <c r="X658" s="13" t="n">
        <v>1635.53</v>
      </c>
      <c r="Y658" s="13" t="n">
        <v>1121.1</v>
      </c>
      <c r="Z658" s="19" t="n"/>
      <c r="AA658" s="18" t="n"/>
      <c r="AB658" s="38" t="n">
        <v>15.99</v>
      </c>
      <c r="AC658" s="14">
        <f>IFERROR(AVERAGEIFS($E$16:$E$736,$W$16:$W$736,"&gt;="&amp;W658-$C$5,$W$16:$W$736,"&lt;="&amp;W658+$C$5,$B$16:$B$736,B658,$A$16:$A$736,"&lt;&gt;"&amp;A658),"")</f>
        <v/>
      </c>
      <c r="AD658" s="14">
        <f>IF(AND(ISNUMBER(E658),ISNUMBER(AC658)),E658-AC658,"")</f>
        <v/>
      </c>
    </row>
    <row r="659">
      <c r="A659" s="17" t="n">
        <v>45618</v>
      </c>
      <c r="B659" s="29">
        <f>MONTH(A659)</f>
        <v/>
      </c>
      <c r="C659" s="29">
        <f>IF(AND(ISNUMBER(W659),ISNUMBER($C$4),ABS(W659-$C$4)&lt;=$C$5,ABS(MOD(B659-$C$6+6,12)-6)&lt;=$C$7,OR($C$8="Any",P659=$C$8)),1,0)</f>
        <v/>
      </c>
      <c r="D659" s="29">
        <f>IF(C659=1,COUNTIF($C$16:C659,1),"")</f>
        <v/>
      </c>
      <c r="E659" s="18" t="n">
        <v>122.4</v>
      </c>
      <c r="F659" s="18" t="n">
        <v>153.81</v>
      </c>
      <c r="G659" s="18" t="n">
        <v>59.59</v>
      </c>
      <c r="H659" s="38" t="n">
        <v>-11.4</v>
      </c>
      <c r="I659" s="38" t="n">
        <v>-12.78</v>
      </c>
      <c r="J659" s="13" t="n">
        <v>11548</v>
      </c>
      <c r="K659" s="13" t="n">
        <v>11204.38</v>
      </c>
      <c r="L659" s="13" t="n">
        <v>102.62</v>
      </c>
      <c r="M659" s="13" t="n">
        <v>110.46</v>
      </c>
      <c r="N659" s="13" t="n">
        <v>3775</v>
      </c>
      <c r="O659" s="38" t="n">
        <v>2.93</v>
      </c>
      <c r="P659" s="39" t="inlineStr">
        <is>
          <t>Calm</t>
        </is>
      </c>
      <c r="Q659" s="13" t="n">
        <v>77</v>
      </c>
      <c r="R659" s="13" t="n">
        <v>583.5599999999999</v>
      </c>
      <c r="S659" s="13" t="n">
        <v>313.08</v>
      </c>
      <c r="T659" s="13" t="n">
        <v>10122.69</v>
      </c>
      <c r="U659" s="13" t="n">
        <v>774.8200000000001</v>
      </c>
      <c r="V659" s="13" t="n">
        <v>48.72</v>
      </c>
      <c r="W659" s="13" t="n">
        <v>174.94</v>
      </c>
      <c r="X659" s="13" t="n">
        <v>475.28</v>
      </c>
      <c r="Y659" s="13" t="n">
        <v>170.08</v>
      </c>
      <c r="Z659" s="19" t="n"/>
      <c r="AA659" s="18" t="n"/>
      <c r="AB659" s="38" t="n">
        <v>7.63</v>
      </c>
      <c r="AC659" s="14">
        <f>IFERROR(AVERAGEIFS($E$16:$E$736,$W$16:$W$736,"&gt;="&amp;W659-$C$5,$W$16:$W$736,"&lt;="&amp;W659+$C$5,$B$16:$B$736,B659,$A$16:$A$736,"&lt;&gt;"&amp;A659),"")</f>
        <v/>
      </c>
      <c r="AD659" s="14">
        <f>IF(AND(ISNUMBER(E659),ISNUMBER(AC659)),E659-AC659,"")</f>
        <v/>
      </c>
    </row>
    <row r="660">
      <c r="A660" s="17" t="n">
        <v>45617</v>
      </c>
      <c r="B660" s="29">
        <f>MONTH(A660)</f>
        <v/>
      </c>
      <c r="C660" s="29">
        <f>IF(AND(ISNUMBER(W660),ISNUMBER($C$4),ABS(W660-$C$4)&lt;=$C$5,ABS(MOD(B660-$C$6+6,12)-6)&lt;=$C$7,OR($C$8="Any",P660=$C$8)),1,0)</f>
        <v/>
      </c>
      <c r="D660" s="29">
        <f>IF(C660=1,COUNTIF($C$16:C660,1),"")</f>
        <v/>
      </c>
      <c r="E660" s="18" t="n">
        <v>137.81</v>
      </c>
      <c r="F660" s="18" t="n">
        <v>183.17</v>
      </c>
      <c r="G660" s="18" t="n">
        <v>47.09</v>
      </c>
      <c r="H660" s="38" t="n">
        <v>-9.73</v>
      </c>
      <c r="I660" s="38" t="n">
        <v>-10.55</v>
      </c>
      <c r="J660" s="13" t="n">
        <v>11485</v>
      </c>
      <c r="K660" s="13" t="n">
        <v>11110.75</v>
      </c>
      <c r="L660" s="13" t="n">
        <v>231.19</v>
      </c>
      <c r="M660" s="13" t="n">
        <v>261.92</v>
      </c>
      <c r="N660" s="13" t="n">
        <v>3775</v>
      </c>
      <c r="O660" s="38" t="n">
        <v>6.94</v>
      </c>
      <c r="P660" s="39" t="inlineStr">
        <is>
          <t>Calm</t>
        </is>
      </c>
      <c r="Q660" s="13" t="n">
        <v>136</v>
      </c>
      <c r="R660" s="13" t="n">
        <v>581.85</v>
      </c>
      <c r="S660" s="13" t="n">
        <v>318.46</v>
      </c>
      <c r="T660" s="13" t="n">
        <v>9672.719999999999</v>
      </c>
      <c r="U660" s="13" t="n">
        <v>730.03</v>
      </c>
      <c r="V660" s="13" t="n">
        <v>449.39</v>
      </c>
      <c r="W660" s="13" t="n">
        <v>-218.28</v>
      </c>
      <c r="X660" s="13" t="n">
        <v>218.16</v>
      </c>
      <c r="Y660" s="13" t="n">
        <v>-197.09</v>
      </c>
      <c r="Z660" s="19" t="n"/>
      <c r="AA660" s="18" t="n"/>
      <c r="AB660" s="38" t="n">
        <v>8.01</v>
      </c>
      <c r="AC660" s="14">
        <f>IFERROR(AVERAGEIFS($E$16:$E$736,$W$16:$W$736,"&gt;="&amp;W660-$C$5,$W$16:$W$736,"&lt;="&amp;W660+$C$5,$B$16:$B$736,B660,$A$16:$A$736,"&lt;&gt;"&amp;A660),"")</f>
        <v/>
      </c>
      <c r="AD660" s="14">
        <f>IF(AND(ISNUMBER(E660),ISNUMBER(AC660)),E660-AC660,"")</f>
        <v/>
      </c>
    </row>
    <row r="661">
      <c r="A661" s="17" t="n">
        <v>45616</v>
      </c>
      <c r="B661" s="29">
        <f>MONTH(A661)</f>
        <v/>
      </c>
      <c r="C661" s="29">
        <f>IF(AND(ISNUMBER(W661),ISNUMBER($C$4),ABS(W661-$C$4)&lt;=$C$5,ABS(MOD(B661-$C$6+6,12)-6)&lt;=$C$7,OR($C$8="Any",P661=$C$8)),1,0)</f>
        <v/>
      </c>
      <c r="D661" s="29">
        <f>IF(C661=1,COUNTIF($C$16:C661,1),"")</f>
        <v/>
      </c>
      <c r="E661" s="18" t="n">
        <v>223.24</v>
      </c>
      <c r="F661" s="18" t="n">
        <v>319.77</v>
      </c>
      <c r="G661" s="18" t="n">
        <v>30.19</v>
      </c>
      <c r="H661" s="38" t="n">
        <v>-7.87</v>
      </c>
      <c r="I661" s="38" t="n">
        <v>-10.12</v>
      </c>
      <c r="J661" s="13" t="n">
        <v>11428</v>
      </c>
      <c r="K661" s="13" t="n">
        <v>11072</v>
      </c>
      <c r="L661" s="13" t="n">
        <v>152.56</v>
      </c>
      <c r="M661" s="13" t="n">
        <v>339.08</v>
      </c>
      <c r="N661" s="13" t="n">
        <v>3775</v>
      </c>
      <c r="O661" s="38" t="n">
        <v>8.98</v>
      </c>
      <c r="P661" s="39" t="inlineStr">
        <is>
          <t>Calm</t>
        </is>
      </c>
      <c r="Q661" s="13" t="n">
        <v>308</v>
      </c>
      <c r="R661" s="13" t="n">
        <v>581.58</v>
      </c>
      <c r="S661" s="13" t="n">
        <v>273.79</v>
      </c>
      <c r="T661" s="13" t="n">
        <v>9983.25</v>
      </c>
      <c r="U661" s="13" t="n">
        <v>711.12</v>
      </c>
      <c r="V661" s="13" t="n">
        <v>121.8</v>
      </c>
      <c r="W661" s="13" t="n">
        <v>-59.47</v>
      </c>
      <c r="X661" s="13" t="n">
        <v>476.47</v>
      </c>
      <c r="Y661" s="13" t="n">
        <v>2.24</v>
      </c>
      <c r="Z661" s="19" t="n"/>
      <c r="AA661" s="18" t="n"/>
      <c r="AB661" s="38" t="n">
        <v>13.19</v>
      </c>
      <c r="AC661" s="14">
        <f>IFERROR(AVERAGEIFS($E$16:$E$736,$W$16:$W$736,"&gt;="&amp;W661-$C$5,$W$16:$W$736,"&lt;="&amp;W661+$C$5,$B$16:$B$736,B661,$A$16:$A$736,"&lt;&gt;"&amp;A661),"")</f>
        <v/>
      </c>
      <c r="AD661" s="14">
        <f>IF(AND(ISNUMBER(E661),ISNUMBER(AC661)),E661-AC661,"")</f>
        <v/>
      </c>
    </row>
    <row r="662">
      <c r="A662" s="17" t="n">
        <v>45615</v>
      </c>
      <c r="B662" s="29">
        <f>MONTH(A662)</f>
        <v/>
      </c>
      <c r="C662" s="29">
        <f>IF(AND(ISNUMBER(W662),ISNUMBER($C$4),ABS(W662-$C$4)&lt;=$C$5,ABS(MOD(B662-$C$6+6,12)-6)&lt;=$C$7,OR($C$8="Any",P662=$C$8)),1,0)</f>
        <v/>
      </c>
      <c r="D662" s="29">
        <f>IF(C662=1,COUNTIF($C$16:C662,1),"")</f>
        <v/>
      </c>
      <c r="E662" s="18" t="n">
        <v>31.52</v>
      </c>
      <c r="F662" s="18" t="n">
        <v>34.29</v>
      </c>
      <c r="G662" s="18" t="n">
        <v>27.01</v>
      </c>
      <c r="H662" s="38" t="n">
        <v>-4.6</v>
      </c>
      <c r="I662" s="38" t="n">
        <v>-6.48</v>
      </c>
      <c r="J662" s="13" t="n">
        <v>11505</v>
      </c>
      <c r="K662" s="13" t="n">
        <v>11090.08</v>
      </c>
      <c r="L662" s="13" t="n">
        <v>1154.46</v>
      </c>
      <c r="M662" s="13" t="n">
        <v>998.4299999999999</v>
      </c>
      <c r="N662" s="13" t="n">
        <v>3775</v>
      </c>
      <c r="O662" s="38" t="n">
        <v>26.45</v>
      </c>
      <c r="P662" s="39" t="inlineStr">
        <is>
          <t>Windy</t>
        </is>
      </c>
      <c r="Q662" s="13" t="n">
        <v>436</v>
      </c>
      <c r="R662" s="13" t="n">
        <v>584.97</v>
      </c>
      <c r="S662" s="13" t="n">
        <v>9.19</v>
      </c>
      <c r="T662" s="13" t="n">
        <v>10187.11</v>
      </c>
      <c r="U662" s="13" t="n">
        <v>750.89</v>
      </c>
      <c r="V662" s="13" t="n">
        <v>79.17</v>
      </c>
      <c r="W662" s="13" t="n">
        <v>1050.24</v>
      </c>
      <c r="X662" s="13" t="n">
        <v>1384.56</v>
      </c>
      <c r="Y662" s="13" t="n">
        <v>1049.76</v>
      </c>
      <c r="Z662" s="19" t="n"/>
      <c r="AA662" s="18" t="n"/>
      <c r="AB662" s="38" t="n">
        <v>11.22</v>
      </c>
      <c r="AC662" s="14">
        <f>IFERROR(AVERAGEIFS($E$16:$E$736,$W$16:$W$736,"&gt;="&amp;W662-$C$5,$W$16:$W$736,"&lt;="&amp;W662+$C$5,$B$16:$B$736,B662,$A$16:$A$736,"&lt;&gt;"&amp;A662),"")</f>
        <v/>
      </c>
      <c r="AD662" s="14">
        <f>IF(AND(ISNUMBER(E662),ISNUMBER(AC662)),E662-AC662,"")</f>
        <v/>
      </c>
    </row>
    <row r="663">
      <c r="A663" s="17" t="n">
        <v>45614</v>
      </c>
      <c r="B663" s="29">
        <f>MONTH(A663)</f>
        <v/>
      </c>
      <c r="C663" s="29">
        <f>IF(AND(ISNUMBER(W663),ISNUMBER($C$4),ABS(W663-$C$4)&lt;=$C$5,ABS(MOD(B663-$C$6+6,12)-6)&lt;=$C$7,OR($C$8="Any",P663=$C$8)),1,0)</f>
        <v/>
      </c>
      <c r="D663" s="29">
        <f>IF(C663=1,COUNTIF($C$16:C663,1),"")</f>
        <v/>
      </c>
      <c r="E663" s="18" t="n">
        <v>28.92</v>
      </c>
      <c r="F663" s="18" t="n">
        <v>30.27</v>
      </c>
      <c r="G663" s="18" t="n">
        <v>26.22</v>
      </c>
      <c r="H663" s="38" t="n">
        <v>-0.67</v>
      </c>
      <c r="I663" s="38" t="n">
        <v>-2.77</v>
      </c>
      <c r="J663" s="13" t="n">
        <v>11267</v>
      </c>
      <c r="K663" s="13" t="n">
        <v>10904.44</v>
      </c>
      <c r="L663" s="13" t="n">
        <v>1683.69</v>
      </c>
      <c r="M663" s="13" t="n">
        <v>1562.08</v>
      </c>
      <c r="N663" s="13" t="n">
        <v>3775</v>
      </c>
      <c r="O663" s="38" t="n">
        <v>41.38</v>
      </c>
      <c r="P663" s="39" t="inlineStr">
        <is>
          <t>Windy</t>
        </is>
      </c>
      <c r="Q663" s="13" t="n">
        <v>175</v>
      </c>
      <c r="R663" s="13" t="n">
        <v>585.5</v>
      </c>
      <c r="S663" s="13" t="n">
        <v>-45.83</v>
      </c>
      <c r="T663" s="13" t="n">
        <v>10055.6</v>
      </c>
      <c r="U663" s="13" t="n">
        <v>734.3099999999999</v>
      </c>
      <c r="V663" s="13" t="n">
        <v>345.33</v>
      </c>
      <c r="W663" s="13" t="n">
        <v>1569.36</v>
      </c>
      <c r="X663" s="13" t="n">
        <v>1938.67</v>
      </c>
      <c r="Y663" s="13" t="n">
        <v>1601.15</v>
      </c>
      <c r="Z663" s="19" t="n"/>
      <c r="AA663" s="18" t="n"/>
      <c r="AB663" s="38" t="n">
        <v>14.34</v>
      </c>
      <c r="AC663" s="14">
        <f>IFERROR(AVERAGEIFS($E$16:$E$736,$W$16:$W$736,"&gt;="&amp;W663-$C$5,$W$16:$W$736,"&lt;="&amp;W663+$C$5,$B$16:$B$736,B663,$A$16:$A$736,"&lt;&gt;"&amp;A663),"")</f>
        <v/>
      </c>
      <c r="AD663" s="14">
        <f>IF(AND(ISNUMBER(E663),ISNUMBER(AC663)),E663-AC663,"")</f>
        <v/>
      </c>
    </row>
    <row r="664">
      <c r="A664" s="17" t="n">
        <v>45613</v>
      </c>
      <c r="B664" s="29">
        <f>MONTH(A664)</f>
        <v/>
      </c>
      <c r="C664" s="29">
        <f>IF(AND(ISNUMBER(W664),ISNUMBER($C$4),ABS(W664-$C$4)&lt;=$C$5,ABS(MOD(B664-$C$6+6,12)-6)&lt;=$C$7,OR($C$8="Any",P664=$C$8)),1,0)</f>
        <v/>
      </c>
      <c r="D664" s="29">
        <f>IF(C664=1,COUNTIF($C$16:C664,1),"")</f>
        <v/>
      </c>
      <c r="E664" s="18" t="n">
        <v>14.72</v>
      </c>
      <c r="F664" s="18" t="n">
        <v>15.6</v>
      </c>
      <c r="G664" s="18" t="n">
        <v>12.95</v>
      </c>
      <c r="H664" s="38" t="n">
        <v>6.2</v>
      </c>
      <c r="I664" s="38" t="n">
        <v>2.15</v>
      </c>
      <c r="J664" s="13" t="n">
        <v>10906</v>
      </c>
      <c r="K664" s="13" t="n">
        <v>10406.31</v>
      </c>
      <c r="L664" s="13" t="n">
        <v>2796.62</v>
      </c>
      <c r="M664" s="13" t="n">
        <v>2859.38</v>
      </c>
      <c r="N664" s="13" t="n">
        <v>3775</v>
      </c>
      <c r="O664" s="38" t="n">
        <v>75.75</v>
      </c>
      <c r="P664" s="39" t="inlineStr">
        <is>
          <t>Windy</t>
        </is>
      </c>
      <c r="Q664" s="13" t="n">
        <v>566</v>
      </c>
      <c r="R664" s="13" t="n">
        <v>586.17</v>
      </c>
      <c r="S664" s="13" t="n">
        <v>-656.67</v>
      </c>
      <c r="T664" s="13" t="n">
        <v>10123.83</v>
      </c>
      <c r="U664" s="13" t="n">
        <v>756.03</v>
      </c>
      <c r="V664" s="13" t="n">
        <v>266.29</v>
      </c>
      <c r="W664" s="13" t="n">
        <v>1866.89</v>
      </c>
      <c r="X664" s="13" t="n">
        <v>3096.25</v>
      </c>
      <c r="Y664" s="13" t="n">
        <v>1887.14</v>
      </c>
      <c r="Z664" s="19" t="n"/>
      <c r="AA664" s="18" t="n"/>
      <c r="AB664" s="38" t="n">
        <v>26.5</v>
      </c>
      <c r="AC664" s="14">
        <f>IFERROR(AVERAGEIFS($E$16:$E$736,$W$16:$W$736,"&gt;="&amp;W664-$C$5,$W$16:$W$736,"&lt;="&amp;W664+$C$5,$B$16:$B$736,B664,$A$16:$A$736,"&lt;&gt;"&amp;A664),"")</f>
        <v/>
      </c>
      <c r="AD664" s="14">
        <f>IF(AND(ISNUMBER(E664),ISNUMBER(AC664)),E664-AC664,"")</f>
        <v/>
      </c>
    </row>
    <row r="665">
      <c r="A665" s="17" t="n">
        <v>45612</v>
      </c>
      <c r="B665" s="29">
        <f>MONTH(A665)</f>
        <v/>
      </c>
      <c r="C665" s="29">
        <f>IF(AND(ISNUMBER(W665),ISNUMBER($C$4),ABS(W665-$C$4)&lt;=$C$5,ABS(MOD(B665-$C$6+6,12)-6)&lt;=$C$7,OR($C$8="Any",P665=$C$8)),1,0)</f>
        <v/>
      </c>
      <c r="D665" s="29">
        <f>IF(C665=1,COUNTIF($C$16:C665,1),"")</f>
        <v/>
      </c>
      <c r="E665" s="18" t="n">
        <v>21.98</v>
      </c>
      <c r="F665" s="18" t="n">
        <v>19.01</v>
      </c>
      <c r="G665" s="18" t="n">
        <v>27.92</v>
      </c>
      <c r="H665" s="38" t="n">
        <v>2.6</v>
      </c>
      <c r="I665" s="38" t="n">
        <v>-0.97</v>
      </c>
      <c r="J665" s="13" t="n">
        <v>10749</v>
      </c>
      <c r="K665" s="13" t="n">
        <v>10369.81</v>
      </c>
      <c r="L665" s="13" t="n">
        <v>2244.69</v>
      </c>
      <c r="M665" s="13" t="n">
        <v>1748.58</v>
      </c>
      <c r="N665" s="13" t="n">
        <v>3775</v>
      </c>
      <c r="O665" s="38" t="n">
        <v>46.32</v>
      </c>
      <c r="P665" s="39" t="inlineStr">
        <is>
          <t>Windy</t>
        </is>
      </c>
      <c r="Q665" s="13" t="n">
        <v>769</v>
      </c>
      <c r="R665" s="13" t="n">
        <v>585.83</v>
      </c>
      <c r="S665" s="13" t="n">
        <v>-354.42</v>
      </c>
      <c r="T665" s="13" t="n">
        <v>10230.43</v>
      </c>
      <c r="U665" s="13" t="n">
        <v>845.37</v>
      </c>
      <c r="V665" s="13" t="n">
        <v>397.47</v>
      </c>
      <c r="W665" s="13" t="n">
        <v>2049.84</v>
      </c>
      <c r="X665" s="13" t="n">
        <v>2943.52</v>
      </c>
      <c r="Y665" s="13" t="n">
        <v>1963.97</v>
      </c>
      <c r="Z665" s="19" t="n"/>
      <c r="AA665" s="18" t="n"/>
      <c r="AB665" s="38" t="n">
        <v>30.23</v>
      </c>
      <c r="AC665" s="14">
        <f>IFERROR(AVERAGEIFS($E$16:$E$736,$W$16:$W$736,"&gt;="&amp;W665-$C$5,$W$16:$W$736,"&lt;="&amp;W665+$C$5,$B$16:$B$736,B665,$A$16:$A$736,"&lt;&gt;"&amp;A665),"")</f>
        <v/>
      </c>
      <c r="AD665" s="14">
        <f>IF(AND(ISNUMBER(E665),ISNUMBER(AC665)),E665-AC665,"")</f>
        <v/>
      </c>
    </row>
    <row r="666">
      <c r="A666" s="17" t="n">
        <v>45611</v>
      </c>
      <c r="B666" s="29">
        <f>MONTH(A666)</f>
        <v/>
      </c>
      <c r="C666" s="29">
        <f>IF(AND(ISNUMBER(W666),ISNUMBER($C$4),ABS(W666-$C$4)&lt;=$C$5,ABS(MOD(B666-$C$6+6,12)-6)&lt;=$C$7,OR($C$8="Any",P666=$C$8)),1,0)</f>
        <v/>
      </c>
      <c r="D666" s="29">
        <f>IF(C666=1,COUNTIF($C$16:C666,1),"")</f>
        <v/>
      </c>
      <c r="E666" s="18" t="n">
        <v>63.42</v>
      </c>
      <c r="F666" s="18" t="n">
        <v>85.48999999999999</v>
      </c>
      <c r="G666" s="18" t="n">
        <v>19.28</v>
      </c>
      <c r="H666" s="38" t="n">
        <v>2.73</v>
      </c>
      <c r="I666" s="38" t="n">
        <v>-0.02</v>
      </c>
      <c r="J666" s="13" t="n">
        <v>10944</v>
      </c>
      <c r="K666" s="13" t="n">
        <v>10769.38</v>
      </c>
      <c r="L666" s="13" t="n">
        <v>254.12</v>
      </c>
      <c r="M666" s="13" t="n">
        <v>655.29</v>
      </c>
      <c r="N666" s="13" t="n">
        <v>3775</v>
      </c>
      <c r="O666" s="38" t="n">
        <v>17.36</v>
      </c>
      <c r="P666" s="39" t="inlineStr">
        <is>
          <t>Windy</t>
        </is>
      </c>
      <c r="Q666" s="13" t="n">
        <v>240</v>
      </c>
      <c r="R666" s="13" t="n">
        <v>550.89</v>
      </c>
      <c r="S666" s="13" t="n">
        <v>126.12</v>
      </c>
      <c r="T666" s="13" t="n">
        <v>10276.43</v>
      </c>
      <c r="U666" s="13" t="n">
        <v>846.77</v>
      </c>
      <c r="V666" s="13" t="n">
        <v>30.58</v>
      </c>
      <c r="W666" s="13" t="n">
        <v>950.97</v>
      </c>
      <c r="X666" s="13" t="n">
        <v>1244.9</v>
      </c>
      <c r="Y666" s="13" t="n">
        <v>842.99</v>
      </c>
      <c r="Z666" s="19" t="n"/>
      <c r="AA666" s="18" t="n"/>
      <c r="AB666" s="38" t="n">
        <v>13.43</v>
      </c>
      <c r="AC666" s="14">
        <f>IFERROR(AVERAGEIFS($E$16:$E$736,$W$16:$W$736,"&gt;="&amp;W666-$C$5,$W$16:$W$736,"&lt;="&amp;W666+$C$5,$B$16:$B$736,B666,$A$16:$A$736,"&lt;&gt;"&amp;A666),"")</f>
        <v/>
      </c>
      <c r="AD666" s="14">
        <f>IF(AND(ISNUMBER(E666),ISNUMBER(AC666)),E666-AC666,"")</f>
        <v/>
      </c>
    </row>
    <row r="667">
      <c r="A667" s="17" t="n">
        <v>45610</v>
      </c>
      <c r="B667" s="29">
        <f>MONTH(A667)</f>
        <v/>
      </c>
      <c r="C667" s="29">
        <f>IF(AND(ISNUMBER(W667),ISNUMBER($C$4),ABS(W667-$C$4)&lt;=$C$5,ABS(MOD(B667-$C$6+6,12)-6)&lt;=$C$7,OR($C$8="Any",P667=$C$8)),1,0)</f>
        <v/>
      </c>
      <c r="D667" s="29">
        <f>IF(C667=1,COUNTIF($C$16:C667,1),"")</f>
        <v/>
      </c>
      <c r="E667" s="18" t="n">
        <v>26.14</v>
      </c>
      <c r="F667" s="18" t="n">
        <v>34.73</v>
      </c>
      <c r="G667" s="18" t="n">
        <v>8.98</v>
      </c>
      <c r="H667" s="38" t="n">
        <v>5.07</v>
      </c>
      <c r="I667" s="38" t="n">
        <v>2.9</v>
      </c>
      <c r="J667" s="13" t="n">
        <v>10985</v>
      </c>
      <c r="K667" s="13" t="n">
        <v>10704.31</v>
      </c>
      <c r="L667" s="13" t="n">
        <v>1983.75</v>
      </c>
      <c r="M667" s="13" t="n">
        <v>2203.62</v>
      </c>
      <c r="N667" s="13" t="n">
        <v>3775</v>
      </c>
      <c r="O667" s="38" t="n">
        <v>58.37</v>
      </c>
      <c r="P667" s="39" t="inlineStr">
        <is>
          <t>Windy</t>
        </is>
      </c>
      <c r="Q667" s="13" t="n">
        <v>452</v>
      </c>
      <c r="R667" s="13" t="n">
        <v>582.25</v>
      </c>
      <c r="S667" s="13" t="n">
        <v>-466.75</v>
      </c>
      <c r="T667" s="13" t="n">
        <v>10163.21</v>
      </c>
      <c r="U667" s="13" t="n">
        <v>829.0599999999999</v>
      </c>
      <c r="V667" s="13" t="n">
        <v>396.2</v>
      </c>
      <c r="W667" s="13" t="n">
        <v>1558.86</v>
      </c>
      <c r="X667" s="13" t="n">
        <v>2330.27</v>
      </c>
      <c r="Y667" s="13" t="n">
        <v>1475.03</v>
      </c>
      <c r="Z667" s="19" t="n"/>
      <c r="AA667" s="18" t="n"/>
      <c r="AB667" s="38" t="n">
        <v>20.75</v>
      </c>
      <c r="AC667" s="14">
        <f>IFERROR(AVERAGEIFS($E$16:$E$736,$W$16:$W$736,"&gt;="&amp;W667-$C$5,$W$16:$W$736,"&lt;="&amp;W667+$C$5,$B$16:$B$736,B667,$A$16:$A$736,"&lt;&gt;"&amp;A667),"")</f>
        <v/>
      </c>
      <c r="AD667" s="14">
        <f>IF(AND(ISNUMBER(E667),ISNUMBER(AC667)),E667-AC667,"")</f>
        <v/>
      </c>
    </row>
    <row r="668">
      <c r="A668" s="17" t="n">
        <v>45605</v>
      </c>
      <c r="B668" s="29">
        <f>MONTH(A668)</f>
        <v/>
      </c>
      <c r="C668" s="29">
        <f>IF(AND(ISNUMBER(W668),ISNUMBER($C$4),ABS(W668-$C$4)&lt;=$C$5,ABS(MOD(B668-$C$6+6,12)-6)&lt;=$C$7,OR($C$8="Any",P668=$C$8)),1,0)</f>
        <v/>
      </c>
      <c r="D668" s="29">
        <f>IF(C668=1,COUNTIF($C$16:C668,1),"")</f>
        <v/>
      </c>
      <c r="E668" s="18" t="n">
        <v>75.19</v>
      </c>
      <c r="F668" s="18" t="n">
        <v>104.55</v>
      </c>
      <c r="G668" s="18" t="n">
        <v>16.48</v>
      </c>
      <c r="H668" s="38" t="n">
        <v>5.87</v>
      </c>
      <c r="I668" s="38" t="n">
        <v>3.31</v>
      </c>
      <c r="J668" s="13" t="n">
        <v>10599</v>
      </c>
      <c r="K668" s="13" t="n">
        <v>10219.75</v>
      </c>
      <c r="L668" s="13" t="n">
        <v>482.06</v>
      </c>
      <c r="M668" s="13" t="n">
        <v>1198.92</v>
      </c>
      <c r="N668" s="13" t="n">
        <v>3775</v>
      </c>
      <c r="O668" s="38" t="n">
        <v>31.76</v>
      </c>
      <c r="P668" s="39" t="inlineStr">
        <is>
          <t>Windy</t>
        </is>
      </c>
      <c r="Q668" s="13" t="n">
        <v>451</v>
      </c>
      <c r="R668" s="13" t="n">
        <v>586.91</v>
      </c>
      <c r="S668" s="13" t="n">
        <v>35.08</v>
      </c>
      <c r="T668" s="13" t="n">
        <v>9216.82</v>
      </c>
      <c r="U668" s="13" t="n">
        <v>750.04</v>
      </c>
      <c r="V668" s="13" t="n">
        <v>371.91</v>
      </c>
      <c r="W668" s="13" t="n">
        <v>539.2</v>
      </c>
      <c r="X668" s="13" t="n">
        <v>952.6799999999999</v>
      </c>
      <c r="Y668" s="13" t="n">
        <v>521.42</v>
      </c>
      <c r="Z668" s="19" t="n"/>
      <c r="AA668" s="18" t="n"/>
      <c r="AB668" s="38" t="n">
        <v>11.98</v>
      </c>
      <c r="AC668" s="14">
        <f>IFERROR(AVERAGEIFS($E$16:$E$736,$W$16:$W$736,"&gt;="&amp;W668-$C$5,$W$16:$W$736,"&lt;="&amp;W668+$C$5,$B$16:$B$736,B668,$A$16:$A$736,"&lt;&gt;"&amp;A668),"")</f>
        <v/>
      </c>
      <c r="AD668" s="14">
        <f>IF(AND(ISNUMBER(E668),ISNUMBER(AC668)),E668-AC668,"")</f>
        <v/>
      </c>
    </row>
    <row r="669">
      <c r="A669" s="17" t="n">
        <v>45604</v>
      </c>
      <c r="B669" s="29">
        <f>MONTH(A669)</f>
        <v/>
      </c>
      <c r="C669" s="29">
        <f>IF(AND(ISNUMBER(W669),ISNUMBER($C$4),ABS(W669-$C$4)&lt;=$C$5,ABS(MOD(B669-$C$6+6,12)-6)&lt;=$C$7,OR($C$8="Any",P669=$C$8)),1,0)</f>
        <v/>
      </c>
      <c r="D669" s="29">
        <f>IF(C669=1,COUNTIF($C$16:C669,1),"")</f>
        <v/>
      </c>
      <c r="E669" s="18" t="n">
        <v>17.8</v>
      </c>
      <c r="F669" s="18" t="n">
        <v>20.61</v>
      </c>
      <c r="G669" s="18" t="n">
        <v>12.17</v>
      </c>
      <c r="H669" s="38" t="n">
        <v>12.47</v>
      </c>
      <c r="I669" s="38" t="n">
        <v>6.42</v>
      </c>
      <c r="J669" s="13" t="n">
        <v>10619</v>
      </c>
      <c r="K669" s="13" t="n">
        <v>10385.38</v>
      </c>
      <c r="L669" s="13" t="n">
        <v>3084.75</v>
      </c>
      <c r="M669" s="13" t="n">
        <v>3060.08</v>
      </c>
      <c r="N669" s="13" t="n">
        <v>3775</v>
      </c>
      <c r="O669" s="38" t="n">
        <v>81.06</v>
      </c>
      <c r="P669" s="39" t="inlineStr">
        <is>
          <t>Windy</t>
        </is>
      </c>
      <c r="Q669" s="13" t="n">
        <v>679</v>
      </c>
      <c r="R669" s="13" t="n">
        <v>587.02</v>
      </c>
      <c r="S669" s="13" t="n">
        <v>-494.83</v>
      </c>
      <c r="T669" s="13" t="n">
        <v>8693.610000000001</v>
      </c>
      <c r="U669" s="13" t="n">
        <v>713.64</v>
      </c>
      <c r="V669" s="13" t="n">
        <v>299.59</v>
      </c>
      <c r="W669" s="13" t="n">
        <v>1532.13</v>
      </c>
      <c r="X669" s="13" t="n">
        <v>2088.53</v>
      </c>
      <c r="Y669" s="13" t="n">
        <v>1546.08</v>
      </c>
      <c r="Z669" s="19" t="n"/>
      <c r="AA669" s="18" t="n"/>
      <c r="AB669" s="38" t="n">
        <v>30.14</v>
      </c>
      <c r="AC669" s="14">
        <f>IFERROR(AVERAGEIFS($E$16:$E$736,$W$16:$W$736,"&gt;="&amp;W669-$C$5,$W$16:$W$736,"&lt;="&amp;W669+$C$5,$B$16:$B$736,B669,$A$16:$A$736,"&lt;&gt;"&amp;A669),"")</f>
        <v/>
      </c>
      <c r="AD669" s="14">
        <f>IF(AND(ISNUMBER(E669),ISNUMBER(AC669)),E669-AC669,"")</f>
        <v/>
      </c>
    </row>
    <row r="670">
      <c r="A670" s="17" t="n">
        <v>45601</v>
      </c>
      <c r="B670" s="29">
        <f>MONTH(A670)</f>
        <v/>
      </c>
      <c r="C670" s="29">
        <f>IF(AND(ISNUMBER(W670),ISNUMBER($C$4),ABS(W670-$C$4)&lt;=$C$5,ABS(MOD(B670-$C$6+6,12)-6)&lt;=$C$7,OR($C$8="Any",P670=$C$8)),1,0)</f>
        <v/>
      </c>
      <c r="D670" s="29">
        <f>IF(C670=1,COUNTIF($C$16:C670,1),"")</f>
        <v/>
      </c>
      <c r="E670" s="18" t="n">
        <v>23.9</v>
      </c>
      <c r="F670" s="18" t="n">
        <v>21.31</v>
      </c>
      <c r="G670" s="18" t="n">
        <v>29.07</v>
      </c>
      <c r="H670" s="38" t="n">
        <v>2.77</v>
      </c>
      <c r="I670" s="38" t="n">
        <v>0.5</v>
      </c>
      <c r="J670" s="13" t="n">
        <v>11094</v>
      </c>
      <c r="K670" s="13" t="n">
        <v>10764.81</v>
      </c>
      <c r="L670" s="13" t="n">
        <v>2778.5</v>
      </c>
      <c r="M670" s="13" t="n">
        <v>2626.5</v>
      </c>
      <c r="N670" s="13" t="n">
        <v>3775</v>
      </c>
      <c r="O670" s="38" t="n">
        <v>69.58</v>
      </c>
      <c r="P670" s="39" t="inlineStr">
        <is>
          <t>Windy</t>
        </is>
      </c>
      <c r="Q670" s="13" t="n">
        <v>378</v>
      </c>
      <c r="R670" s="13" t="n">
        <v>585.35</v>
      </c>
      <c r="S670" s="13" t="n">
        <v>-56.75</v>
      </c>
      <c r="T670" s="13" t="n">
        <v>8462.43</v>
      </c>
      <c r="U670" s="13" t="n">
        <v>795.8200000000001</v>
      </c>
      <c r="V670" s="13" t="n">
        <v>197.96</v>
      </c>
      <c r="W670" s="13" t="n">
        <v>982.15</v>
      </c>
      <c r="X670" s="13" t="n">
        <v>1657.52</v>
      </c>
      <c r="Y670" s="13" t="n">
        <v>953.45</v>
      </c>
      <c r="Z670" s="19" t="n"/>
      <c r="AA670" s="18" t="n"/>
      <c r="AB670" s="38" t="n">
        <v>23.61</v>
      </c>
      <c r="AC670" s="14">
        <f>IFERROR(AVERAGEIFS($E$16:$E$736,$W$16:$W$736,"&gt;="&amp;W670-$C$5,$W$16:$W$736,"&lt;="&amp;W670+$C$5,$B$16:$B$736,B670,$A$16:$A$736,"&lt;&gt;"&amp;A670),"")</f>
        <v/>
      </c>
      <c r="AD670" s="14">
        <f>IF(AND(ISNUMBER(E670),ISNUMBER(AC670)),E670-AC670,"")</f>
        <v/>
      </c>
    </row>
    <row r="671">
      <c r="A671" s="17" t="n">
        <v>45600</v>
      </c>
      <c r="B671" s="29">
        <f>MONTH(A671)</f>
        <v/>
      </c>
      <c r="C671" s="29">
        <f>IF(AND(ISNUMBER(W671),ISNUMBER($C$4),ABS(W671-$C$4)&lt;=$C$5,ABS(MOD(B671-$C$6+6,12)-6)&lt;=$C$7,OR($C$8="Any",P671=$C$8)),1,0)</f>
        <v/>
      </c>
      <c r="D671" s="29">
        <f>IF(C671=1,COUNTIF($C$16:C671,1),"")</f>
        <v/>
      </c>
      <c r="E671" s="18" t="n">
        <v>24.52</v>
      </c>
      <c r="F671" s="18" t="n">
        <v>27.3</v>
      </c>
      <c r="G671" s="18" t="n">
        <v>18.96</v>
      </c>
      <c r="H671" s="38" t="n">
        <v>3.97</v>
      </c>
      <c r="I671" s="38" t="n">
        <v>0.83</v>
      </c>
      <c r="J671" s="13" t="n">
        <v>10985</v>
      </c>
      <c r="K671" s="13" t="n">
        <v>10657.88</v>
      </c>
      <c r="L671" s="13" t="n">
        <v>2393.19</v>
      </c>
      <c r="M671" s="13" t="n">
        <v>2339.88</v>
      </c>
      <c r="N671" s="13" t="n">
        <v>3775</v>
      </c>
      <c r="O671" s="38" t="n">
        <v>61.98</v>
      </c>
      <c r="P671" s="39" t="inlineStr">
        <is>
          <t>Windy</t>
        </is>
      </c>
      <c r="Q671" s="13" t="n">
        <v>692</v>
      </c>
      <c r="R671" s="13" t="n">
        <v>591.75</v>
      </c>
      <c r="S671" s="13" t="n">
        <v>-30.42</v>
      </c>
      <c r="T671" s="13" t="n">
        <v>8627.610000000001</v>
      </c>
      <c r="U671" s="13" t="n">
        <v>801.05</v>
      </c>
      <c r="V671" s="13" t="n">
        <v>205.63</v>
      </c>
      <c r="W671" s="13" t="n">
        <v>1105.82</v>
      </c>
      <c r="X671" s="13" t="n">
        <v>1566.61</v>
      </c>
      <c r="Y671" s="13" t="n">
        <v>1095.11</v>
      </c>
      <c r="Z671" s="19" t="n"/>
      <c r="AA671" s="18" t="n"/>
      <c r="AB671" s="38" t="n">
        <v>24.44</v>
      </c>
      <c r="AC671" s="14">
        <f>IFERROR(AVERAGEIFS($E$16:$E$736,$W$16:$W$736,"&gt;="&amp;W671-$C$5,$W$16:$W$736,"&lt;="&amp;W671+$C$5,$B$16:$B$736,B671,$A$16:$A$736,"&lt;&gt;"&amp;A671),"")</f>
        <v/>
      </c>
      <c r="AD671" s="14">
        <f>IF(AND(ISNUMBER(E671),ISNUMBER(AC671)),E671-AC671,"")</f>
        <v/>
      </c>
    </row>
    <row r="672">
      <c r="A672" s="17" t="n">
        <v>45599</v>
      </c>
      <c r="B672" s="29">
        <f>MONTH(A672)</f>
        <v/>
      </c>
      <c r="C672" s="29">
        <f>IF(AND(ISNUMBER(W672),ISNUMBER($C$4),ABS(W672-$C$4)&lt;=$C$5,ABS(MOD(B672-$C$6+6,12)-6)&lt;=$C$7,OR($C$8="Any",P672=$C$8)),1,0)</f>
        <v/>
      </c>
      <c r="D672" s="29">
        <f>IF(C672=1,COUNTIF($C$16:C672,1),"")</f>
        <v/>
      </c>
      <c r="E672" s="18" t="n">
        <v>58.26</v>
      </c>
      <c r="F672" s="18" t="n">
        <v>71.84</v>
      </c>
      <c r="G672" s="18" t="n">
        <v>22.04</v>
      </c>
      <c r="H672" s="38" t="n">
        <v>6.5</v>
      </c>
      <c r="I672" s="38" t="n">
        <v>0.5600000000000001</v>
      </c>
      <c r="J672" s="13" t="n">
        <v>10675</v>
      </c>
      <c r="K672" s="13" t="n">
        <v>10132.19</v>
      </c>
      <c r="L672" s="13" t="n">
        <v>1053.75</v>
      </c>
      <c r="M672" s="13" t="n">
        <v>1211.32</v>
      </c>
      <c r="N672" s="13" t="n">
        <v>3775</v>
      </c>
      <c r="O672" s="38" t="n">
        <v>32.09</v>
      </c>
      <c r="P672" s="39" t="inlineStr">
        <is>
          <t>Windy</t>
        </is>
      </c>
      <c r="Q672" s="13" t="n">
        <v>1076</v>
      </c>
      <c r="R672" s="13" t="n">
        <v>588.98</v>
      </c>
      <c r="S672" s="13" t="n">
        <v>115.45</v>
      </c>
      <c r="T672" s="13" t="n">
        <v>8950.790000000001</v>
      </c>
      <c r="U672" s="13" t="n">
        <v>806.72</v>
      </c>
      <c r="V672" s="13" t="n">
        <v>386.32</v>
      </c>
      <c r="W672" s="13" t="n">
        <v>743.5599999999999</v>
      </c>
      <c r="X672" s="13" t="n">
        <v>1454.11</v>
      </c>
      <c r="Y672" s="13" t="n">
        <v>680.49</v>
      </c>
      <c r="Z672" s="19" t="n"/>
      <c r="AA672" s="18" t="n"/>
      <c r="AB672" s="38" t="n">
        <v>23.63</v>
      </c>
      <c r="AC672" s="14">
        <f>IFERROR(AVERAGEIFS($E$16:$E$736,$W$16:$W$736,"&gt;="&amp;W672-$C$5,$W$16:$W$736,"&lt;="&amp;W672+$C$5,$B$16:$B$736,B672,$A$16:$A$736,"&lt;&gt;"&amp;A672),"")</f>
        <v/>
      </c>
      <c r="AD672" s="14">
        <f>IF(AND(ISNUMBER(E672),ISNUMBER(AC672)),E672-AC672,"")</f>
        <v/>
      </c>
    </row>
    <row r="673">
      <c r="A673" s="17" t="n">
        <v>45598</v>
      </c>
      <c r="B673" s="29">
        <f>MONTH(A673)</f>
        <v/>
      </c>
      <c r="C673" s="29">
        <f>IF(AND(ISNUMBER(W673),ISNUMBER($C$4),ABS(W673-$C$4)&lt;=$C$5,ABS(MOD(B673-$C$6+6,12)-6)&lt;=$C$7,OR($C$8="Any",P673=$C$8)),1,0)</f>
        <v/>
      </c>
      <c r="D673" s="29">
        <f>IF(C673=1,COUNTIF($C$16:C673,1),"")</f>
        <v/>
      </c>
      <c r="E673" s="18" t="n">
        <v>119.82</v>
      </c>
      <c r="F673" s="18" t="n">
        <v>155.5</v>
      </c>
      <c r="G673" s="18" t="n">
        <v>38.27</v>
      </c>
      <c r="H673" s="38" t="n">
        <v>5.6</v>
      </c>
      <c r="I673" s="38" t="n">
        <v>0.85</v>
      </c>
      <c r="J673" s="13" t="n">
        <v>10530</v>
      </c>
      <c r="K673" s="13" t="n">
        <v>10303.38</v>
      </c>
      <c r="L673" s="13" t="n">
        <v>1230</v>
      </c>
      <c r="M673" s="13" t="n">
        <v>1325.43</v>
      </c>
      <c r="N673" s="13" t="n">
        <v>3775</v>
      </c>
      <c r="O673" s="38" t="n">
        <v>35.11</v>
      </c>
      <c r="P673" s="39" t="inlineStr">
        <is>
          <t>Windy</t>
        </is>
      </c>
      <c r="Q673" s="13" t="n">
        <v>820</v>
      </c>
      <c r="R673" s="13" t="n">
        <v>566.64</v>
      </c>
      <c r="S673" s="13" t="n">
        <v>111.78</v>
      </c>
      <c r="T673" s="13" t="n">
        <v>8556.02</v>
      </c>
      <c r="U673" s="13" t="n">
        <v>823.76</v>
      </c>
      <c r="V673" s="13" t="n">
        <v>8872.870000000001</v>
      </c>
      <c r="W673" s="13" t="n">
        <v>641.51</v>
      </c>
      <c r="X673" s="13" t="n">
        <v>1093.33</v>
      </c>
      <c r="Y673" s="13" t="n">
        <v>567.0700000000001</v>
      </c>
      <c r="Z673" s="19" t="n"/>
      <c r="AA673" s="18" t="n"/>
      <c r="AB673" s="38" t="n">
        <v>15.08</v>
      </c>
      <c r="AC673" s="14">
        <f>IFERROR(AVERAGEIFS($E$16:$E$736,$W$16:$W$736,"&gt;="&amp;W673-$C$5,$W$16:$W$736,"&lt;="&amp;W673+$C$5,$B$16:$B$736,B673,$A$16:$A$736,"&lt;&gt;"&amp;A673),"")</f>
        <v/>
      </c>
      <c r="AD673" s="14">
        <f>IF(AND(ISNUMBER(E673),ISNUMBER(AC673)),E673-AC673,"")</f>
        <v/>
      </c>
    </row>
    <row r="674">
      <c r="A674" s="17" t="n">
        <v>45597</v>
      </c>
      <c r="B674" s="29">
        <f>MONTH(A674)</f>
        <v/>
      </c>
      <c r="C674" s="29">
        <f>IF(AND(ISNUMBER(W674),ISNUMBER($C$4),ABS(W674-$C$4)&lt;=$C$5,ABS(MOD(B674-$C$6+6,12)-6)&lt;=$C$7,OR($C$8="Any",P674=$C$8)),1,0)</f>
        <v/>
      </c>
      <c r="D674" s="29">
        <f>IF(C674=1,COUNTIF($C$16:C674,1),"")</f>
        <v/>
      </c>
      <c r="E674" s="18" t="n">
        <v>57.38</v>
      </c>
      <c r="F674" s="18" t="n">
        <v>74.33</v>
      </c>
      <c r="G674" s="18" t="n">
        <v>23.49</v>
      </c>
      <c r="H674" s="38" t="n">
        <v>3.67</v>
      </c>
      <c r="I674" s="38" t="n">
        <v>-0.1</v>
      </c>
      <c r="J674" s="13" t="n">
        <v>10711</v>
      </c>
      <c r="K674" s="13" t="n">
        <v>10511.69</v>
      </c>
      <c r="L674" s="13" t="n">
        <v>615.6900000000001</v>
      </c>
      <c r="M674" s="13" t="n">
        <v>698.83</v>
      </c>
      <c r="N674" s="13" t="n">
        <v>3775</v>
      </c>
      <c r="O674" s="38" t="n">
        <v>18.51</v>
      </c>
      <c r="P674" s="39" t="inlineStr">
        <is>
          <t>Windy</t>
        </is>
      </c>
      <c r="Q674" s="13" t="n">
        <v>864</v>
      </c>
      <c r="R674" s="13" t="n">
        <v>570.22</v>
      </c>
      <c r="S674" s="13" t="n">
        <v>149.79</v>
      </c>
      <c r="T674" s="13" t="n">
        <v>8826.299999999999</v>
      </c>
      <c r="U674" s="13" t="n">
        <v>824.4299999999999</v>
      </c>
      <c r="V674" s="13" t="n">
        <v>9097</v>
      </c>
      <c r="W674" s="13" t="n">
        <v>50.26</v>
      </c>
      <c r="X674" s="13" t="n">
        <v>576.1799999999999</v>
      </c>
      <c r="Y674" s="13" t="n">
        <v>2.55</v>
      </c>
      <c r="Z674" s="19" t="n"/>
      <c r="AA674" s="18" t="n"/>
      <c r="AB674" s="38" t="n">
        <v>11.71</v>
      </c>
      <c r="AC674" s="14">
        <f>IFERROR(AVERAGEIFS($E$16:$E$736,$W$16:$W$736,"&gt;="&amp;W674-$C$5,$W$16:$W$736,"&lt;="&amp;W674+$C$5,$B$16:$B$736,B674,$A$16:$A$736,"&lt;&gt;"&amp;A674),"")</f>
        <v/>
      </c>
      <c r="AD674" s="14">
        <f>IF(AND(ISNUMBER(E674),ISNUMBER(AC674)),E674-AC674,"")</f>
        <v/>
      </c>
    </row>
    <row r="675">
      <c r="A675" s="17" t="n">
        <v>45596</v>
      </c>
      <c r="B675" s="29">
        <f>MONTH(A675)</f>
        <v/>
      </c>
      <c r="C675" s="29">
        <f>IF(AND(ISNUMBER(W675),ISNUMBER($C$4),ABS(W675-$C$4)&lt;=$C$5,ABS(MOD(B675-$C$6+6,12)-6)&lt;=$C$7,OR($C$8="Any",P675=$C$8)),1,0)</f>
        <v/>
      </c>
      <c r="D675" s="29">
        <f>IF(C675=1,COUNTIF($C$16:C675,1),"")</f>
        <v/>
      </c>
      <c r="E675" s="18" t="n">
        <v>43.1</v>
      </c>
      <c r="F675" s="18" t="n">
        <v>48.4</v>
      </c>
      <c r="G675" s="18" t="n">
        <v>32.49</v>
      </c>
      <c r="H675" s="38" t="n">
        <v>3.53</v>
      </c>
      <c r="I675" s="38" t="n">
        <v>-0.12</v>
      </c>
      <c r="J675" s="13" t="n">
        <v>10707</v>
      </c>
      <c r="K675" s="13" t="n">
        <v>10527.06</v>
      </c>
      <c r="L675" s="13" t="n">
        <v>678.5599999999999</v>
      </c>
      <c r="M675" s="13" t="n">
        <v>949.17</v>
      </c>
      <c r="N675" s="13" t="n">
        <v>3775</v>
      </c>
      <c r="O675" s="38" t="n">
        <v>25.14</v>
      </c>
      <c r="P675" s="39" t="inlineStr">
        <is>
          <t>Windy</t>
        </is>
      </c>
      <c r="Q675" s="13" t="n">
        <v>944</v>
      </c>
      <c r="R675" s="13" t="n">
        <v>571.23</v>
      </c>
      <c r="S675" s="13" t="n">
        <v>62.79</v>
      </c>
      <c r="T675" s="13" t="n">
        <v>8951.389999999999</v>
      </c>
      <c r="U675" s="13" t="n">
        <v>829.3</v>
      </c>
      <c r="V675" s="13" t="n">
        <v>8798.139999999999</v>
      </c>
      <c r="W675" s="13" t="n">
        <v>543.74</v>
      </c>
      <c r="X675" s="13" t="n">
        <v>767.38</v>
      </c>
      <c r="Y675" s="13" t="n">
        <v>512.33</v>
      </c>
      <c r="Z675" s="19" t="n"/>
      <c r="AA675" s="18" t="n"/>
      <c r="AB675" s="38" t="n">
        <v>17.97</v>
      </c>
      <c r="AC675" s="14">
        <f>IFERROR(AVERAGEIFS($E$16:$E$736,$W$16:$W$736,"&gt;="&amp;W675-$C$5,$W$16:$W$736,"&lt;="&amp;W675+$C$5,$B$16:$B$736,B675,$A$16:$A$736,"&lt;&gt;"&amp;A675),"")</f>
        <v/>
      </c>
      <c r="AD675" s="14">
        <f>IF(AND(ISNUMBER(E675),ISNUMBER(AC675)),E675-AC675,"")</f>
        <v/>
      </c>
    </row>
    <row r="676">
      <c r="A676" s="17" t="n">
        <v>45595</v>
      </c>
      <c r="B676" s="29">
        <f>MONTH(A676)</f>
        <v/>
      </c>
      <c r="C676" s="29">
        <f>IF(AND(ISNUMBER(W676),ISNUMBER($C$4),ABS(W676-$C$4)&lt;=$C$5,ABS(MOD(B676-$C$6+6,12)-6)&lt;=$C$7,OR($C$8="Any",P676=$C$8)),1,0)</f>
        <v/>
      </c>
      <c r="D676" s="29">
        <f>IF(C676=1,COUNTIF($C$16:C676,1),"")</f>
        <v/>
      </c>
      <c r="E676" s="18" t="n">
        <v>20.95</v>
      </c>
      <c r="F676" s="18" t="n">
        <v>25.27</v>
      </c>
      <c r="G676" s="18" t="n">
        <v>12.3</v>
      </c>
      <c r="H676" s="38" t="n">
        <v>6.73</v>
      </c>
      <c r="I676" s="38" t="n">
        <v>0.93</v>
      </c>
      <c r="J676" s="13" t="n">
        <v>10724</v>
      </c>
      <c r="K676" s="13" t="n">
        <v>10491.31</v>
      </c>
      <c r="L676" s="13" t="n">
        <v>1832.06</v>
      </c>
      <c r="M676" s="13" t="n">
        <v>2163.54</v>
      </c>
      <c r="N676" s="13" t="n">
        <v>3775</v>
      </c>
      <c r="O676" s="38" t="n">
        <v>57.31</v>
      </c>
      <c r="P676" s="39" t="inlineStr">
        <is>
          <t>Windy</t>
        </is>
      </c>
      <c r="Q676" s="13" t="n">
        <v>1080</v>
      </c>
      <c r="R676" s="13" t="n">
        <v>545.49</v>
      </c>
      <c r="S676" s="13" t="n">
        <v>-457.92</v>
      </c>
      <c r="T676" s="13" t="n">
        <v>9207.58</v>
      </c>
      <c r="U676" s="13" t="n">
        <v>823.15</v>
      </c>
      <c r="V676" s="13" t="n">
        <v>9256.780000000001</v>
      </c>
      <c r="W676" s="13" t="n">
        <v>1113.46</v>
      </c>
      <c r="X676" s="13" t="n">
        <v>1683.62</v>
      </c>
      <c r="Y676" s="13" t="n">
        <v>997.49</v>
      </c>
      <c r="Z676" s="19" t="n"/>
      <c r="AA676" s="18" t="n"/>
      <c r="AB676" s="38" t="n">
        <v>21.45</v>
      </c>
      <c r="AC676" s="14">
        <f>IFERROR(AVERAGEIFS($E$16:$E$736,$W$16:$W$736,"&gt;="&amp;W676-$C$5,$W$16:$W$736,"&lt;="&amp;W676+$C$5,$B$16:$B$736,B676,$A$16:$A$736,"&lt;&gt;"&amp;A676),"")</f>
        <v/>
      </c>
      <c r="AD676" s="14">
        <f>IF(AND(ISNUMBER(E676),ISNUMBER(AC676)),E676-AC676,"")</f>
        <v/>
      </c>
    </row>
    <row r="677">
      <c r="A677" s="17" t="n">
        <v>45594</v>
      </c>
      <c r="B677" s="29">
        <f>MONTH(A677)</f>
        <v/>
      </c>
      <c r="C677" s="29">
        <f>IF(AND(ISNUMBER(W677),ISNUMBER($C$4),ABS(W677-$C$4)&lt;=$C$5,ABS(MOD(B677-$C$6+6,12)-6)&lt;=$C$7,OR($C$8="Any",P677=$C$8)),1,0)</f>
        <v/>
      </c>
      <c r="D677" s="29">
        <f>IF(C677=1,COUNTIF($C$16:C677,1),"")</f>
        <v/>
      </c>
      <c r="E677" s="18" t="n">
        <v>172.09</v>
      </c>
      <c r="F677" s="18" t="n">
        <v>232.78</v>
      </c>
      <c r="G677" s="18" t="n">
        <v>50.72</v>
      </c>
      <c r="H677" s="38" t="n">
        <v>5.77</v>
      </c>
      <c r="I677" s="38" t="n">
        <v>1.26</v>
      </c>
      <c r="J677" s="13" t="n">
        <v>10606</v>
      </c>
      <c r="K677" s="13" t="n">
        <v>10412.06</v>
      </c>
      <c r="L677" s="13" t="n">
        <v>670.88</v>
      </c>
      <c r="M677" s="13" t="n">
        <v>769.38</v>
      </c>
      <c r="N677" s="13" t="n">
        <v>3775</v>
      </c>
      <c r="O677" s="38" t="n">
        <v>20.38</v>
      </c>
      <c r="P677" s="39" t="inlineStr">
        <is>
          <t>Windy</t>
        </is>
      </c>
      <c r="Q677" s="13" t="n">
        <v>860</v>
      </c>
      <c r="R677" s="13" t="n">
        <v>570.04</v>
      </c>
      <c r="S677" s="13" t="n">
        <v>248.88</v>
      </c>
      <c r="T677" s="13" t="n">
        <v>9004.549999999999</v>
      </c>
      <c r="U677" s="13" t="n">
        <v>715.28</v>
      </c>
      <c r="V677" s="13" t="n">
        <v>8809.459999999999</v>
      </c>
      <c r="W677" s="13" t="n">
        <v>-442.8</v>
      </c>
      <c r="X677" s="13" t="n">
        <v>794.4299999999999</v>
      </c>
      <c r="Y677" s="13" t="n">
        <v>-349.78</v>
      </c>
      <c r="Z677" s="19" t="n"/>
      <c r="AA677" s="18" t="n"/>
      <c r="AB677" s="38" t="n">
        <v>15.59</v>
      </c>
      <c r="AC677" s="14">
        <f>IFERROR(AVERAGEIFS($E$16:$E$736,$W$16:$W$736,"&gt;="&amp;W677-$C$5,$W$16:$W$736,"&lt;="&amp;W677+$C$5,$B$16:$B$736,B677,$A$16:$A$736,"&lt;&gt;"&amp;A677),"")</f>
        <v/>
      </c>
      <c r="AD677" s="14">
        <f>IF(AND(ISNUMBER(E677),ISNUMBER(AC677)),E677-AC677,"")</f>
        <v/>
      </c>
    </row>
    <row r="678">
      <c r="A678" s="17" t="n">
        <v>45593</v>
      </c>
      <c r="B678" s="29">
        <f>MONTH(A678)</f>
        <v/>
      </c>
      <c r="C678" s="29">
        <f>IF(AND(ISNUMBER(W678),ISNUMBER($C$4),ABS(W678-$C$4)&lt;=$C$5,ABS(MOD(B678-$C$6+6,12)-6)&lt;=$C$7,OR($C$8="Any",P678=$C$8)),1,0)</f>
        <v/>
      </c>
      <c r="D678" s="29">
        <f>IF(C678=1,COUNTIF($C$16:C678,1),"")</f>
        <v/>
      </c>
      <c r="E678" s="18" t="n">
        <v>57.58</v>
      </c>
      <c r="F678" s="18" t="n">
        <v>78.93000000000001</v>
      </c>
      <c r="G678" s="18" t="n">
        <v>14.87</v>
      </c>
      <c r="H678" s="38" t="n">
        <v>6.77</v>
      </c>
      <c r="I678" s="38" t="n">
        <v>3.6</v>
      </c>
      <c r="J678" s="13" t="n">
        <v>10652</v>
      </c>
      <c r="K678" s="13" t="n">
        <v>10485.75</v>
      </c>
      <c r="L678" s="13" t="n">
        <v>1729.62</v>
      </c>
      <c r="M678" s="13" t="n">
        <v>2005.92</v>
      </c>
      <c r="N678" s="13" t="n">
        <v>3775</v>
      </c>
      <c r="O678" s="38" t="n">
        <v>53.14</v>
      </c>
      <c r="P678" s="39" t="inlineStr">
        <is>
          <t>Windy</t>
        </is>
      </c>
      <c r="Q678" s="13" t="n">
        <v>726</v>
      </c>
      <c r="R678" s="13" t="n">
        <v>570.04</v>
      </c>
      <c r="S678" s="13" t="n">
        <v>-65.25</v>
      </c>
      <c r="T678" s="13" t="n">
        <v>8416.4</v>
      </c>
      <c r="U678" s="13" t="n">
        <v>771.47</v>
      </c>
      <c r="V678" s="13" t="n">
        <v>8500.209999999999</v>
      </c>
      <c r="W678" s="13" t="n">
        <v>19.95</v>
      </c>
      <c r="X678" s="13" t="n">
        <v>1049.37</v>
      </c>
      <c r="Y678" s="13" t="n">
        <v>-31.91</v>
      </c>
      <c r="Z678" s="19" t="n"/>
      <c r="AA678" s="18" t="n"/>
      <c r="AB678" s="38" t="n">
        <v>21.49</v>
      </c>
      <c r="AC678" s="14">
        <f>IFERROR(AVERAGEIFS($E$16:$E$736,$W$16:$W$736,"&gt;="&amp;W678-$C$5,$W$16:$W$736,"&lt;="&amp;W678+$C$5,$B$16:$B$736,B678,$A$16:$A$736,"&lt;&gt;"&amp;A678),"")</f>
        <v/>
      </c>
      <c r="AD678" s="14">
        <f>IF(AND(ISNUMBER(E678),ISNUMBER(AC678)),E678-AC678,"")</f>
        <v/>
      </c>
    </row>
    <row r="679">
      <c r="A679" s="17" t="n">
        <v>45592</v>
      </c>
      <c r="B679" s="29">
        <f>MONTH(A679)</f>
        <v/>
      </c>
      <c r="C679" s="29">
        <f>IF(AND(ISNUMBER(W679),ISNUMBER($C$4),ABS(W679-$C$4)&lt;=$C$5,ABS(MOD(B679-$C$6+6,12)-6)&lt;=$C$7,OR($C$8="Any",P679=$C$8)),1,0)</f>
        <v/>
      </c>
      <c r="D679" s="29">
        <f>IF(C679=1,COUNTIF($C$16:C679,1),"")</f>
        <v/>
      </c>
      <c r="E679" s="18" t="n">
        <v>11.99</v>
      </c>
      <c r="F679" s="18" t="n">
        <v>8.949999999999999</v>
      </c>
      <c r="G679" s="18" t="n">
        <v>18.07</v>
      </c>
      <c r="H679" s="38" t="n">
        <v>12.27</v>
      </c>
      <c r="I679" s="38" t="n">
        <v>6.25</v>
      </c>
      <c r="J679" s="13" t="n">
        <v>10598</v>
      </c>
      <c r="K679" s="13" t="n">
        <v>10253.38</v>
      </c>
      <c r="L679" s="13" t="n">
        <v>3252.44</v>
      </c>
      <c r="M679" s="13" t="n">
        <v>3056.62</v>
      </c>
      <c r="N679" s="13" t="n">
        <v>3775</v>
      </c>
      <c r="O679" s="38" t="n">
        <v>80.97</v>
      </c>
      <c r="P679" s="39" t="inlineStr">
        <is>
          <t>Windy</t>
        </is>
      </c>
      <c r="Q679" s="13" t="n">
        <v>943</v>
      </c>
      <c r="R679" s="13" t="n">
        <v>593.6900000000001</v>
      </c>
      <c r="S679" s="13" t="n">
        <v>-481.29</v>
      </c>
      <c r="T679" s="13" t="n">
        <v>8360.98</v>
      </c>
      <c r="U679" s="13" t="n">
        <v>756.37</v>
      </c>
      <c r="V679" s="13" t="n">
        <v>182.46</v>
      </c>
      <c r="W679" s="13" t="n">
        <v>1650.89</v>
      </c>
      <c r="X679" s="13" t="n">
        <v>2197.65</v>
      </c>
      <c r="Y679" s="13" t="n">
        <v>1673.07</v>
      </c>
      <c r="Z679" s="19" t="n"/>
      <c r="AA679" s="18" t="n"/>
      <c r="AB679" s="38" t="n">
        <v>31.28</v>
      </c>
      <c r="AC679" s="14">
        <f>IFERROR(AVERAGEIFS($E$16:$E$736,$W$16:$W$736,"&gt;="&amp;W679-$C$5,$W$16:$W$736,"&lt;="&amp;W679+$C$5,$B$16:$B$736,B679,$A$16:$A$736,"&lt;&gt;"&amp;A679),"")</f>
        <v/>
      </c>
      <c r="AD679" s="14">
        <f>IF(AND(ISNUMBER(E679),ISNUMBER(AC679)),E679-AC679,"")</f>
        <v/>
      </c>
    </row>
    <row r="680">
      <c r="A680" s="17" t="n">
        <v>45591</v>
      </c>
      <c r="B680" s="29">
        <f>MONTH(A680)</f>
        <v/>
      </c>
      <c r="C680" s="29">
        <f>IF(AND(ISNUMBER(W680),ISNUMBER($C$4),ABS(W680-$C$4)&lt;=$C$5,ABS(MOD(B680-$C$6+6,12)-6)&lt;=$C$7,OR($C$8="Any",P680=$C$8)),1,0)</f>
        <v/>
      </c>
      <c r="D680" s="29">
        <f>IF(C680=1,COUNTIF($C$16:C680,1),"")</f>
        <v/>
      </c>
      <c r="E680" s="18" t="n">
        <v>22.36</v>
      </c>
      <c r="F680" s="18" t="n">
        <v>25.79</v>
      </c>
      <c r="G680" s="18" t="n">
        <v>15.5</v>
      </c>
      <c r="H680" s="38" t="n">
        <v>11.8</v>
      </c>
      <c r="I680" s="38" t="n">
        <v>5.07</v>
      </c>
      <c r="J680" s="13" t="n">
        <v>10459</v>
      </c>
      <c r="K680" s="13" t="n">
        <v>10194.44</v>
      </c>
      <c r="L680" s="13" t="n">
        <v>2492.31</v>
      </c>
      <c r="M680" s="13" t="n">
        <v>2631.42</v>
      </c>
      <c r="N680" s="13" t="n">
        <v>3775</v>
      </c>
      <c r="O680" s="38" t="n">
        <v>69.70999999999999</v>
      </c>
      <c r="P680" s="39" t="inlineStr">
        <is>
          <t>Windy</t>
        </is>
      </c>
      <c r="Q680" s="13" t="n">
        <v>766</v>
      </c>
      <c r="R680" s="13" t="n">
        <v>572.9</v>
      </c>
      <c r="S680" s="13" t="n">
        <v>-318.04</v>
      </c>
      <c r="T680" s="13" t="n">
        <v>8392.030000000001</v>
      </c>
      <c r="U680" s="13" t="n">
        <v>769.22</v>
      </c>
      <c r="V680" s="13" t="n">
        <v>68.54000000000001</v>
      </c>
      <c r="W680" s="13" t="n">
        <v>1057.07</v>
      </c>
      <c r="X680" s="13" t="n">
        <v>1725.04</v>
      </c>
      <c r="Y680" s="13" t="n">
        <v>1062.85</v>
      </c>
      <c r="Z680" s="19" t="n"/>
      <c r="AA680" s="18" t="n"/>
      <c r="AB680" s="38" t="n">
        <v>19.9</v>
      </c>
      <c r="AC680" s="14">
        <f>IFERROR(AVERAGEIFS($E$16:$E$736,$W$16:$W$736,"&gt;="&amp;W680-$C$5,$W$16:$W$736,"&lt;="&amp;W680+$C$5,$B$16:$B$736,B680,$A$16:$A$736,"&lt;&gt;"&amp;A680),"")</f>
        <v/>
      </c>
      <c r="AD680" s="14">
        <f>IF(AND(ISNUMBER(E680),ISNUMBER(AC680)),E680-AC680,"")</f>
        <v/>
      </c>
    </row>
    <row r="681">
      <c r="A681" s="17" t="n">
        <v>45590</v>
      </c>
      <c r="B681" s="29">
        <f>MONTH(A681)</f>
        <v/>
      </c>
      <c r="C681" s="29">
        <f>IF(AND(ISNUMBER(W681),ISNUMBER($C$4),ABS(W681-$C$4)&lt;=$C$5,ABS(MOD(B681-$C$6+6,12)-6)&lt;=$C$7,OR($C$8="Any",P681=$C$8)),1,0)</f>
        <v/>
      </c>
      <c r="D681" s="29">
        <f>IF(C681=1,COUNTIF($C$16:C681,1),"")</f>
        <v/>
      </c>
      <c r="E681" s="18" t="n">
        <v>60.5</v>
      </c>
      <c r="F681" s="18" t="n">
        <v>76.37</v>
      </c>
      <c r="G681" s="18" t="n">
        <v>28.77</v>
      </c>
      <c r="H681" s="38" t="n">
        <v>7.4</v>
      </c>
      <c r="I681" s="38" t="n">
        <v>1.7</v>
      </c>
      <c r="J681" s="13" t="n">
        <v>10609</v>
      </c>
      <c r="K681" s="13" t="n">
        <v>10499.56</v>
      </c>
      <c r="L681" s="13" t="n">
        <v>1070.62</v>
      </c>
      <c r="M681" s="13" t="n">
        <v>1183.75</v>
      </c>
      <c r="N681" s="13" t="n">
        <v>3775</v>
      </c>
      <c r="O681" s="38" t="n">
        <v>31.36</v>
      </c>
      <c r="P681" s="39" t="inlineStr">
        <is>
          <t>Windy</t>
        </is>
      </c>
      <c r="Q681" s="13" t="n">
        <v>1166</v>
      </c>
      <c r="R681" s="13" t="n">
        <v>600.17</v>
      </c>
      <c r="S681" s="13" t="n">
        <v>63.67</v>
      </c>
      <c r="T681" s="13" t="n">
        <v>8599.02</v>
      </c>
      <c r="U681" s="13" t="n">
        <v>747.1799999999999</v>
      </c>
      <c r="V681" s="13" t="n">
        <v>382.63</v>
      </c>
      <c r="W681" s="13" t="n">
        <v>-168.73</v>
      </c>
      <c r="X681" s="13" t="n">
        <v>738.8200000000001</v>
      </c>
      <c r="Y681" s="13" t="n">
        <v>-127.81</v>
      </c>
      <c r="Z681" s="19" t="n"/>
      <c r="AA681" s="18" t="n"/>
      <c r="AB681" s="38" t="n">
        <v>15.95</v>
      </c>
      <c r="AC681" s="14">
        <f>IFERROR(AVERAGEIFS($E$16:$E$736,$W$16:$W$736,"&gt;="&amp;W681-$C$5,$W$16:$W$736,"&lt;="&amp;W681+$C$5,$B$16:$B$736,B681,$A$16:$A$736,"&lt;&gt;"&amp;A681),"")</f>
        <v/>
      </c>
      <c r="AD681" s="14">
        <f>IF(AND(ISNUMBER(E681),ISNUMBER(AC681)),E681-AC681,"")</f>
        <v/>
      </c>
    </row>
    <row r="682">
      <c r="A682" s="17" t="n">
        <v>45589</v>
      </c>
      <c r="B682" s="29">
        <f>MONTH(A682)</f>
        <v/>
      </c>
      <c r="C682" s="29">
        <f>IF(AND(ISNUMBER(W682),ISNUMBER($C$4),ABS(W682-$C$4)&lt;=$C$5,ABS(MOD(B682-$C$6+6,12)-6)&lt;=$C$7,OR($C$8="Any",P682=$C$8)),1,0)</f>
        <v/>
      </c>
      <c r="D682" s="29">
        <f>IF(C682=1,COUNTIF($C$16:C682,1),"")</f>
        <v/>
      </c>
      <c r="E682" s="18" t="n">
        <v>37.19</v>
      </c>
      <c r="F682" s="18" t="n">
        <v>37.79</v>
      </c>
      <c r="G682" s="18" t="n">
        <v>35.98</v>
      </c>
      <c r="H682" s="38" t="n">
        <v>7.6</v>
      </c>
      <c r="I682" s="38" t="n">
        <v>3.6</v>
      </c>
      <c r="J682" s="13" t="n">
        <v>10664</v>
      </c>
      <c r="K682" s="13" t="n">
        <v>10474.62</v>
      </c>
      <c r="L682" s="13" t="n">
        <v>1946.44</v>
      </c>
      <c r="M682" s="13" t="n">
        <v>1945.62</v>
      </c>
      <c r="N682" s="13" t="n">
        <v>3775</v>
      </c>
      <c r="O682" s="38" t="n">
        <v>51.54</v>
      </c>
      <c r="P682" s="39" t="inlineStr">
        <is>
          <t>Windy</t>
        </is>
      </c>
      <c r="Q682" s="13" t="n">
        <v>1172</v>
      </c>
      <c r="R682" s="13" t="n">
        <v>594.88</v>
      </c>
      <c r="S682" s="13" t="n">
        <v>-133.04</v>
      </c>
      <c r="T682" s="13" t="n">
        <v>8037.7</v>
      </c>
      <c r="U682" s="13" t="n">
        <v>723.92</v>
      </c>
      <c r="V682" s="13" t="n">
        <v>146.28</v>
      </c>
      <c r="W682" s="13" t="n">
        <v>105.11</v>
      </c>
      <c r="X682" s="13" t="n">
        <v>883.6</v>
      </c>
      <c r="Y682" s="13" t="n">
        <v>124.42</v>
      </c>
      <c r="Z682" s="19" t="n"/>
      <c r="AA682" s="18" t="n"/>
      <c r="AB682" s="38" t="n">
        <v>28.91</v>
      </c>
      <c r="AC682" s="14">
        <f>IFERROR(AVERAGEIFS($E$16:$E$736,$W$16:$W$736,"&gt;="&amp;W682-$C$5,$W$16:$W$736,"&lt;="&amp;W682+$C$5,$B$16:$B$736,B682,$A$16:$A$736,"&lt;&gt;"&amp;A682),"")</f>
        <v/>
      </c>
      <c r="AD682" s="14">
        <f>IF(AND(ISNUMBER(E682),ISNUMBER(AC682)),E682-AC682,"")</f>
        <v/>
      </c>
    </row>
    <row r="683">
      <c r="A683" s="17" t="n">
        <v>45588</v>
      </c>
      <c r="B683" s="29">
        <f>MONTH(A683)</f>
        <v/>
      </c>
      <c r="C683" s="29">
        <f>IF(AND(ISNUMBER(W683),ISNUMBER($C$4),ABS(W683-$C$4)&lt;=$C$5,ABS(MOD(B683-$C$6+6,12)-6)&lt;=$C$7,OR($C$8="Any",P683=$C$8)),1,0)</f>
        <v/>
      </c>
      <c r="D683" s="29">
        <f>IF(C683=1,COUNTIF($C$16:C683,1),"")</f>
        <v/>
      </c>
      <c r="E683" s="18" t="n">
        <v>29.59</v>
      </c>
      <c r="F683" s="18" t="n">
        <v>36.76</v>
      </c>
      <c r="G683" s="18" t="n">
        <v>15.25</v>
      </c>
      <c r="H683" s="38" t="n">
        <v>7.6</v>
      </c>
      <c r="I683" s="38" t="n">
        <v>3.7</v>
      </c>
      <c r="J683" s="13" t="n">
        <v>10614</v>
      </c>
      <c r="K683" s="13" t="n">
        <v>10476.5</v>
      </c>
      <c r="L683" s="13" t="n">
        <v>1396.88</v>
      </c>
      <c r="M683" s="13" t="n">
        <v>1870.08</v>
      </c>
      <c r="N683" s="13" t="n">
        <v>3775</v>
      </c>
      <c r="O683" s="38" t="n">
        <v>49.54</v>
      </c>
      <c r="P683" s="39" t="inlineStr">
        <is>
          <t>Windy</t>
        </is>
      </c>
      <c r="Q683" s="13" t="n">
        <v>1234</v>
      </c>
      <c r="R683" s="13" t="n">
        <v>546.53</v>
      </c>
      <c r="S683" s="13" t="n">
        <v>5.12</v>
      </c>
      <c r="T683" s="13" t="n">
        <v>8116.12</v>
      </c>
      <c r="U683" s="13" t="n">
        <v>719.51</v>
      </c>
      <c r="V683" s="13" t="n">
        <v>276.84</v>
      </c>
      <c r="W683" s="13" t="n">
        <v>156.7</v>
      </c>
      <c r="X683" s="13" t="n">
        <v>685.99</v>
      </c>
      <c r="Y683" s="13" t="n">
        <v>213.54</v>
      </c>
      <c r="Z683" s="19" t="n"/>
      <c r="AA683" s="18" t="n"/>
      <c r="AB683" s="38" t="n">
        <v>27.05</v>
      </c>
      <c r="AC683" s="14">
        <f>IFERROR(AVERAGEIFS($E$16:$E$736,$W$16:$W$736,"&gt;="&amp;W683-$C$5,$W$16:$W$736,"&lt;="&amp;W683+$C$5,$B$16:$B$736,B683,$A$16:$A$736,"&lt;&gt;"&amp;A683),"")</f>
        <v/>
      </c>
      <c r="AD683" s="14">
        <f>IF(AND(ISNUMBER(E683),ISNUMBER(AC683)),E683-AC683,"")</f>
        <v/>
      </c>
    </row>
    <row r="684">
      <c r="A684" s="17" t="n">
        <v>45587</v>
      </c>
      <c r="B684" s="29">
        <f>MONTH(A684)</f>
        <v/>
      </c>
      <c r="C684" s="29">
        <f>IF(AND(ISNUMBER(W684),ISNUMBER($C$4),ABS(W684-$C$4)&lt;=$C$5,ABS(MOD(B684-$C$6+6,12)-6)&lt;=$C$7,OR($C$8="Any",P684=$C$8)),1,0)</f>
        <v/>
      </c>
      <c r="D684" s="29">
        <f>IF(C684=1,COUNTIF($C$16:C684,1),"")</f>
        <v/>
      </c>
      <c r="E684" s="18" t="n">
        <v>168.36</v>
      </c>
      <c r="F684" s="18" t="n">
        <v>163.59</v>
      </c>
      <c r="G684" s="18" t="n">
        <v>177.89</v>
      </c>
      <c r="H684" s="38" t="n">
        <v>8.27</v>
      </c>
      <c r="I684" s="38" t="n">
        <v>1.74</v>
      </c>
      <c r="J684" s="13" t="n">
        <v>10639</v>
      </c>
      <c r="K684" s="13" t="n">
        <v>10352.5</v>
      </c>
      <c r="L684" s="13" t="n">
        <v>1510.62</v>
      </c>
      <c r="M684" s="13" t="n">
        <v>1173.17</v>
      </c>
      <c r="N684" s="13" t="n">
        <v>3775</v>
      </c>
      <c r="O684" s="38" t="n">
        <v>31.08</v>
      </c>
      <c r="P684" s="39" t="inlineStr">
        <is>
          <t>Windy</t>
        </is>
      </c>
      <c r="Q684" s="13" t="n">
        <v>976</v>
      </c>
      <c r="R684" s="13" t="n">
        <v>594.0599999999999</v>
      </c>
      <c r="S684" s="13" t="n">
        <v>214.29</v>
      </c>
      <c r="T684" s="13" t="n">
        <v>8239.08</v>
      </c>
      <c r="U684" s="13" t="n">
        <v>707.99</v>
      </c>
      <c r="V684" s="13" t="n">
        <v>230.17</v>
      </c>
      <c r="W684" s="13" t="n">
        <v>-606.65</v>
      </c>
      <c r="X684" s="13" t="n">
        <v>776.9299999999999</v>
      </c>
      <c r="Y684" s="13" t="n">
        <v>-539.87</v>
      </c>
      <c r="Z684" s="19" t="n"/>
      <c r="AA684" s="18" t="n"/>
      <c r="AB684" s="38" t="n">
        <v>26.56</v>
      </c>
      <c r="AC684" s="14">
        <f>IFERROR(AVERAGEIFS($E$16:$E$736,$W$16:$W$736,"&gt;="&amp;W684-$C$5,$W$16:$W$736,"&lt;="&amp;W684+$C$5,$B$16:$B$736,B684,$A$16:$A$736,"&lt;&gt;"&amp;A684),"")</f>
        <v/>
      </c>
      <c r="AD684" s="14">
        <f>IF(AND(ISNUMBER(E684),ISNUMBER(AC684)),E684-AC684,"")</f>
        <v/>
      </c>
    </row>
    <row r="685">
      <c r="A685" s="17" t="n">
        <v>45586</v>
      </c>
      <c r="B685" s="29">
        <f>MONTH(A685)</f>
        <v/>
      </c>
      <c r="C685" s="29">
        <f>IF(AND(ISNUMBER(W685),ISNUMBER($C$4),ABS(W685-$C$4)&lt;=$C$5,ABS(MOD(B685-$C$6+6,12)-6)&lt;=$C$7,OR($C$8="Any",P685=$C$8)),1,0)</f>
        <v/>
      </c>
      <c r="D685" s="29">
        <f>IF(C685=1,COUNTIF($C$16:C685,1),"")</f>
        <v/>
      </c>
      <c r="E685" s="18" t="n">
        <v>31.1</v>
      </c>
      <c r="F685" s="18" t="n">
        <v>41.39</v>
      </c>
      <c r="G685" s="18" t="n">
        <v>10.52</v>
      </c>
      <c r="H685" s="38" t="n">
        <v>10.07</v>
      </c>
      <c r="I685" s="38" t="n">
        <v>2.69</v>
      </c>
      <c r="J685" s="13" t="n">
        <v>10691</v>
      </c>
      <c r="K685" s="13" t="n">
        <v>10488.94</v>
      </c>
      <c r="L685" s="13" t="n">
        <v>1851.38</v>
      </c>
      <c r="M685" s="13" t="n">
        <v>2203.5</v>
      </c>
      <c r="N685" s="13" t="n">
        <v>3775</v>
      </c>
      <c r="O685" s="38" t="n">
        <v>58.37</v>
      </c>
      <c r="P685" s="39" t="inlineStr">
        <is>
          <t>Windy</t>
        </is>
      </c>
      <c r="Q685" s="13" t="n">
        <v>163</v>
      </c>
      <c r="R685" s="13" t="n">
        <v>585.87</v>
      </c>
      <c r="S685" s="13" t="n">
        <v>27.71</v>
      </c>
      <c r="T685" s="13" t="n">
        <v>7979.75</v>
      </c>
      <c r="U685" s="13" t="n">
        <v>718.8200000000001</v>
      </c>
      <c r="V685" s="13" t="n">
        <v>250.27</v>
      </c>
      <c r="W685" s="13" t="n">
        <v>145.76</v>
      </c>
      <c r="X685" s="13" t="n">
        <v>599.55</v>
      </c>
      <c r="Y685" s="13" t="n">
        <v>210.14</v>
      </c>
      <c r="Z685" s="19" t="n"/>
      <c r="AA685" s="18" t="n"/>
      <c r="AB685" s="38" t="n">
        <v>18.62</v>
      </c>
      <c r="AC685" s="14">
        <f>IFERROR(AVERAGEIFS($E$16:$E$736,$W$16:$W$736,"&gt;="&amp;W685-$C$5,$W$16:$W$736,"&lt;="&amp;W685+$C$5,$B$16:$B$736,B685,$A$16:$A$736,"&lt;&gt;"&amp;A685),"")</f>
        <v/>
      </c>
      <c r="AD685" s="14">
        <f>IF(AND(ISNUMBER(E685),ISNUMBER(AC685)),E685-AC685,"")</f>
        <v/>
      </c>
    </row>
    <row r="686">
      <c r="A686" s="17" t="n">
        <v>45585</v>
      </c>
      <c r="B686" s="29">
        <f>MONTH(A686)</f>
        <v/>
      </c>
      <c r="C686" s="29">
        <f>IF(AND(ISNUMBER(W686),ISNUMBER($C$4),ABS(W686-$C$4)&lt;=$C$5,ABS(MOD(B686-$C$6+6,12)-6)&lt;=$C$7,OR($C$8="Any",P686=$C$8)),1,0)</f>
        <v/>
      </c>
      <c r="D686" s="29">
        <f>IF(C686=1,COUNTIF($C$16:C686,1),"")</f>
        <v/>
      </c>
      <c r="E686" s="18" t="n">
        <v>34.04</v>
      </c>
      <c r="F686" s="18" t="n">
        <v>48.53</v>
      </c>
      <c r="G686" s="18" t="n">
        <v>5.06</v>
      </c>
      <c r="H686" s="38" t="n">
        <v>14.6</v>
      </c>
      <c r="I686" s="38" t="n">
        <v>10.38</v>
      </c>
      <c r="J686" s="13" t="n">
        <v>10443</v>
      </c>
      <c r="K686" s="13" t="n">
        <v>10070.81</v>
      </c>
      <c r="L686" s="13" t="n">
        <v>2310.12</v>
      </c>
      <c r="M686" s="13" t="n">
        <v>2459.62</v>
      </c>
      <c r="N686" s="13" t="n">
        <v>3775</v>
      </c>
      <c r="O686" s="38" t="n">
        <v>65.16</v>
      </c>
      <c r="P686" s="39" t="inlineStr">
        <is>
          <t>Windy</t>
        </is>
      </c>
      <c r="Q686" s="13" t="n">
        <v>1011</v>
      </c>
      <c r="R686" s="13" t="n">
        <v>586.02</v>
      </c>
      <c r="S686" s="13" t="n">
        <v>-301.46</v>
      </c>
      <c r="T686" s="13" t="n">
        <v>7818.47</v>
      </c>
      <c r="U686" s="13" t="n">
        <v>728.6</v>
      </c>
      <c r="V686" s="13" t="n">
        <v>340.43</v>
      </c>
      <c r="W686" s="13" t="n">
        <v>-52.1</v>
      </c>
      <c r="X686" s="13" t="n">
        <v>1186.35</v>
      </c>
      <c r="Y686" s="13" t="n">
        <v>52.13</v>
      </c>
      <c r="Z686" s="19" t="n"/>
      <c r="AA686" s="18" t="n"/>
      <c r="AB686" s="38" t="n">
        <v>24.24</v>
      </c>
      <c r="AC686" s="14">
        <f>IFERROR(AVERAGEIFS($E$16:$E$736,$W$16:$W$736,"&gt;="&amp;W686-$C$5,$W$16:$W$736,"&lt;="&amp;W686+$C$5,$B$16:$B$736,B686,$A$16:$A$736,"&lt;&gt;"&amp;A686),"")</f>
        <v/>
      </c>
      <c r="AD686" s="14">
        <f>IF(AND(ISNUMBER(E686),ISNUMBER(AC686)),E686-AC686,"")</f>
        <v/>
      </c>
    </row>
    <row r="687">
      <c r="A687" s="17" t="n">
        <v>45584</v>
      </c>
      <c r="B687" s="29">
        <f>MONTH(A687)</f>
        <v/>
      </c>
      <c r="C687" s="29">
        <f>IF(AND(ISNUMBER(W687),ISNUMBER($C$4),ABS(W687-$C$4)&lt;=$C$5,ABS(MOD(B687-$C$6+6,12)-6)&lt;=$C$7,OR($C$8="Any",P687=$C$8)),1,0)</f>
        <v/>
      </c>
      <c r="D687" s="29">
        <f>IF(C687=1,COUNTIF($C$16:C687,1),"")</f>
        <v/>
      </c>
      <c r="E687" s="18" t="n">
        <v>4.26</v>
      </c>
      <c r="F687" s="18" t="n">
        <v>6.39</v>
      </c>
      <c r="G687" s="18" t="n">
        <v>0</v>
      </c>
      <c r="H687" s="38" t="n">
        <v>13.77</v>
      </c>
      <c r="I687" s="38" t="n">
        <v>8.92</v>
      </c>
      <c r="J687" s="13" t="n">
        <v>10320</v>
      </c>
      <c r="K687" s="13" t="n">
        <v>10140.19</v>
      </c>
      <c r="L687" s="13" t="n">
        <v>3317</v>
      </c>
      <c r="M687" s="13" t="n">
        <v>3357.96</v>
      </c>
      <c r="N687" s="13" t="n">
        <v>3775</v>
      </c>
      <c r="O687" s="38" t="n">
        <v>88.95</v>
      </c>
      <c r="P687" s="39" t="inlineStr">
        <is>
          <t>Windy</t>
        </is>
      </c>
      <c r="Q687" s="13" t="n">
        <v>845</v>
      </c>
      <c r="R687" s="13" t="n">
        <v>587.02</v>
      </c>
      <c r="S687" s="13" t="n">
        <v>-531.62</v>
      </c>
      <c r="T687" s="13" t="n">
        <v>7684.14</v>
      </c>
      <c r="U687" s="13" t="n">
        <v>698.04</v>
      </c>
      <c r="V687" s="13" t="n">
        <v>310.36</v>
      </c>
      <c r="W687" s="13" t="n">
        <v>1186.74</v>
      </c>
      <c r="X687" s="13" t="n">
        <v>1538.02</v>
      </c>
      <c r="Y687" s="13" t="n">
        <v>1283.94</v>
      </c>
      <c r="Z687" s="19" t="n"/>
      <c r="AA687" s="18" t="n"/>
      <c r="AB687" s="38" t="n">
        <v>23.41</v>
      </c>
      <c r="AC687" s="14">
        <f>IFERROR(AVERAGEIFS($E$16:$E$736,$W$16:$W$736,"&gt;="&amp;W687-$C$5,$W$16:$W$736,"&lt;="&amp;W687+$C$5,$B$16:$B$736,B687,$A$16:$A$736,"&lt;&gt;"&amp;A687),"")</f>
        <v/>
      </c>
      <c r="AD687" s="14">
        <f>IF(AND(ISNUMBER(E687),ISNUMBER(AC687)),E687-AC687,"")</f>
        <v/>
      </c>
    </row>
    <row r="688">
      <c r="A688" s="17" t="n">
        <v>45583</v>
      </c>
      <c r="B688" s="29">
        <f>MONTH(A688)</f>
        <v/>
      </c>
      <c r="C688" s="29">
        <f>IF(AND(ISNUMBER(W688),ISNUMBER($C$4),ABS(W688-$C$4)&lt;=$C$5,ABS(MOD(B688-$C$6+6,12)-6)&lt;=$C$7,OR($C$8="Any",P688=$C$8)),1,0)</f>
        <v/>
      </c>
      <c r="D688" s="29">
        <f>IF(C688=1,COUNTIF($C$16:C688,1),"")</f>
        <v/>
      </c>
      <c r="E688" s="18" t="n">
        <v>20.01</v>
      </c>
      <c r="F688" s="18" t="n">
        <v>17.93</v>
      </c>
      <c r="G688" s="18" t="n">
        <v>24.19</v>
      </c>
      <c r="H688" s="38" t="n">
        <v>10.1</v>
      </c>
      <c r="I688" s="38" t="n">
        <v>4.69</v>
      </c>
      <c r="J688" s="13" t="n">
        <v>10309</v>
      </c>
      <c r="K688" s="13" t="n">
        <v>10220.69</v>
      </c>
      <c r="L688" s="13" t="n">
        <v>2551.31</v>
      </c>
      <c r="M688" s="13" t="n">
        <v>2299.5</v>
      </c>
      <c r="N688" s="13" t="n">
        <v>3587.92</v>
      </c>
      <c r="O688" s="38" t="n">
        <v>64.09</v>
      </c>
      <c r="P688" s="39" t="inlineStr">
        <is>
          <t>Windy</t>
        </is>
      </c>
      <c r="Q688" s="13" t="n">
        <v>1169</v>
      </c>
      <c r="R688" s="13" t="n">
        <v>563.41</v>
      </c>
      <c r="S688" s="13" t="n">
        <v>-193.62</v>
      </c>
      <c r="T688" s="13" t="n">
        <v>8170.69</v>
      </c>
      <c r="U688" s="13" t="n">
        <v>692.67</v>
      </c>
      <c r="V688" s="13" t="n">
        <v>461.3</v>
      </c>
      <c r="W688" s="13" t="n">
        <v>774.98</v>
      </c>
      <c r="X688" s="13" t="n">
        <v>1601.82</v>
      </c>
      <c r="Y688" s="13" t="n">
        <v>893.55</v>
      </c>
      <c r="Z688" s="19" t="n"/>
      <c r="AA688" s="18" t="n"/>
      <c r="AB688" s="38" t="n">
        <v>26.79</v>
      </c>
      <c r="AC688" s="14">
        <f>IFERROR(AVERAGEIFS($E$16:$E$736,$W$16:$W$736,"&gt;="&amp;W688-$C$5,$W$16:$W$736,"&lt;="&amp;W688+$C$5,$B$16:$B$736,B688,$A$16:$A$736,"&lt;&gt;"&amp;A688),"")</f>
        <v/>
      </c>
      <c r="AD688" s="14">
        <f>IF(AND(ISNUMBER(E688),ISNUMBER(AC688)),E688-AC688,"")</f>
        <v/>
      </c>
    </row>
    <row r="689">
      <c r="A689" s="17" t="n">
        <v>45582</v>
      </c>
      <c r="B689" s="29">
        <f>MONTH(A689)</f>
        <v/>
      </c>
      <c r="C689" s="29">
        <f>IF(AND(ISNUMBER(W689),ISNUMBER($C$4),ABS(W689-$C$4)&lt;=$C$5,ABS(MOD(B689-$C$6+6,12)-6)&lt;=$C$7,OR($C$8="Any",P689=$C$8)),1,0)</f>
        <v/>
      </c>
      <c r="D689" s="29">
        <f>IF(C689=1,COUNTIF($C$16:C689,1),"")</f>
        <v/>
      </c>
      <c r="E689" s="18" t="n">
        <v>36.17</v>
      </c>
      <c r="F689" s="18" t="n">
        <v>45.6</v>
      </c>
      <c r="G689" s="18" t="n">
        <v>17.33</v>
      </c>
      <c r="H689" s="38" t="n">
        <v>9.369999999999999</v>
      </c>
      <c r="I689" s="38" t="n">
        <v>5.49</v>
      </c>
      <c r="J689" s="13" t="n">
        <v>10316</v>
      </c>
      <c r="K689" s="13" t="n">
        <v>10125.06</v>
      </c>
      <c r="L689" s="13" t="n">
        <v>1234.25</v>
      </c>
      <c r="M689" s="13" t="n">
        <v>1628.79</v>
      </c>
      <c r="N689" s="13" t="n">
        <v>3537</v>
      </c>
      <c r="O689" s="38" t="n">
        <v>46.05</v>
      </c>
      <c r="P689" s="39" t="inlineStr">
        <is>
          <t>Windy</t>
        </is>
      </c>
      <c r="Q689" s="13" t="n">
        <v>1100</v>
      </c>
      <c r="R689" s="13" t="n">
        <v>585.12</v>
      </c>
      <c r="S689" s="13" t="n">
        <v>-142.21</v>
      </c>
      <c r="T689" s="13" t="n">
        <v>8299.790000000001</v>
      </c>
      <c r="U689" s="13" t="n">
        <v>1097.18</v>
      </c>
      <c r="V689" s="13" t="n">
        <v>206.32</v>
      </c>
      <c r="W689" s="13" t="n">
        <v>926.75</v>
      </c>
      <c r="X689" s="13" t="n">
        <v>1181.51</v>
      </c>
      <c r="Y689" s="13" t="n">
        <v>582.55</v>
      </c>
      <c r="Z689" s="19" t="n"/>
      <c r="AA689" s="18" t="n"/>
      <c r="AB689" s="38" t="n">
        <v>27.18</v>
      </c>
      <c r="AC689" s="14">
        <f>IFERROR(AVERAGEIFS($E$16:$E$736,$W$16:$W$736,"&gt;="&amp;W689-$C$5,$W$16:$W$736,"&lt;="&amp;W689+$C$5,$B$16:$B$736,B689,$A$16:$A$736,"&lt;&gt;"&amp;A689),"")</f>
        <v/>
      </c>
      <c r="AD689" s="14">
        <f>IF(AND(ISNUMBER(E689),ISNUMBER(AC689)),E689-AC689,"")</f>
        <v/>
      </c>
    </row>
    <row r="690">
      <c r="A690" s="17" t="n">
        <v>45581</v>
      </c>
      <c r="B690" s="29">
        <f>MONTH(A690)</f>
        <v/>
      </c>
      <c r="C690" s="29">
        <f>IF(AND(ISNUMBER(W690),ISNUMBER($C$4),ABS(W690-$C$4)&lt;=$C$5,ABS(MOD(B690-$C$6+6,12)-6)&lt;=$C$7,OR($C$8="Any",P690=$C$8)),1,0)</f>
        <v/>
      </c>
      <c r="D690" s="29">
        <f>IF(C690=1,COUNTIF($C$16:C690,1),"")</f>
        <v/>
      </c>
      <c r="E690" s="18" t="n">
        <v>44.41</v>
      </c>
      <c r="F690" s="18" t="n">
        <v>39.26</v>
      </c>
      <c r="G690" s="18" t="n">
        <v>54.71</v>
      </c>
      <c r="H690" s="38" t="n">
        <v>14.3</v>
      </c>
      <c r="I690" s="38" t="n">
        <v>9.48</v>
      </c>
      <c r="J690" s="13" t="n">
        <v>10257</v>
      </c>
      <c r="K690" s="13" t="n">
        <v>10062.81</v>
      </c>
      <c r="L690" s="13" t="n">
        <v>1677.25</v>
      </c>
      <c r="M690" s="13" t="n">
        <v>1453.92</v>
      </c>
      <c r="N690" s="13" t="n">
        <v>3537</v>
      </c>
      <c r="O690" s="38" t="n">
        <v>41.11</v>
      </c>
      <c r="P690" s="39" t="inlineStr">
        <is>
          <t>Windy</t>
        </is>
      </c>
      <c r="Q690" s="13" t="n">
        <v>895</v>
      </c>
      <c r="R690" s="13" t="n">
        <v>585.72</v>
      </c>
      <c r="S690" s="13" t="n">
        <v>-9.33</v>
      </c>
      <c r="T690" s="13" t="n">
        <v>8308.65</v>
      </c>
      <c r="U690" s="13" t="n">
        <v>1032.26</v>
      </c>
      <c r="V690" s="13" t="n">
        <v>133.33</v>
      </c>
      <c r="W690" s="13" t="n">
        <v>662.26</v>
      </c>
      <c r="X690" s="13" t="n">
        <v>1572.73</v>
      </c>
      <c r="Y690" s="13" t="n">
        <v>311.58</v>
      </c>
      <c r="Z690" s="19" t="n"/>
      <c r="AA690" s="18" t="n"/>
      <c r="AB690" s="38" t="n">
        <v>17.14</v>
      </c>
      <c r="AC690" s="14">
        <f>IFERROR(AVERAGEIFS($E$16:$E$736,$W$16:$W$736,"&gt;="&amp;W690-$C$5,$W$16:$W$736,"&lt;="&amp;W690+$C$5,$B$16:$B$736,B690,$A$16:$A$736,"&lt;&gt;"&amp;A690),"")</f>
        <v/>
      </c>
      <c r="AD690" s="14">
        <f>IF(AND(ISNUMBER(E690),ISNUMBER(AC690)),E690-AC690,"")</f>
        <v/>
      </c>
    </row>
    <row r="691">
      <c r="A691" s="17" t="n">
        <v>45580</v>
      </c>
      <c r="B691" s="29">
        <f>MONTH(A691)</f>
        <v/>
      </c>
      <c r="C691" s="29">
        <f>IF(AND(ISNUMBER(W691),ISNUMBER($C$4),ABS(W691-$C$4)&lt;=$C$5,ABS(MOD(B691-$C$6+6,12)-6)&lt;=$C$7,OR($C$8="Any",P691=$C$8)),1,0)</f>
        <v/>
      </c>
      <c r="D691" s="29">
        <f>IF(C691=1,COUNTIF($C$16:C691,1),"")</f>
        <v/>
      </c>
      <c r="E691" s="18" t="n">
        <v>352.27</v>
      </c>
      <c r="F691" s="18" t="n">
        <v>516.51</v>
      </c>
      <c r="G691" s="18" t="n">
        <v>23.78</v>
      </c>
      <c r="H691" s="38" t="n">
        <v>15.67</v>
      </c>
      <c r="I691" s="38" t="n">
        <v>10.97</v>
      </c>
      <c r="J691" s="13" t="n">
        <v>10205</v>
      </c>
      <c r="K691" s="13" t="n">
        <v>9974.120000000001</v>
      </c>
      <c r="L691" s="13" t="n">
        <v>648</v>
      </c>
      <c r="M691" s="13" t="n">
        <v>1075.96</v>
      </c>
      <c r="N691" s="13" t="n">
        <v>3537</v>
      </c>
      <c r="O691" s="38" t="n">
        <v>30.42</v>
      </c>
      <c r="P691" s="39" t="inlineStr">
        <is>
          <t>Windy</t>
        </is>
      </c>
      <c r="Q691" s="13" t="n">
        <v>604</v>
      </c>
      <c r="R691" s="13" t="n">
        <v>589.03</v>
      </c>
      <c r="S691" s="13" t="n">
        <v>97.67</v>
      </c>
      <c r="T691" s="13" t="n">
        <v>8075.21</v>
      </c>
      <c r="U691" s="13" t="n">
        <v>943.4400000000001</v>
      </c>
      <c r="V691" s="13" t="n">
        <v>451.88</v>
      </c>
      <c r="W691" s="13" t="n">
        <v>-306.9</v>
      </c>
      <c r="X691" s="13" t="n">
        <v>472.92</v>
      </c>
      <c r="Y691" s="13" t="n">
        <v>-460.81</v>
      </c>
      <c r="Z691" s="19" t="n"/>
      <c r="AA691" s="18" t="n"/>
      <c r="AB691" s="38" t="n">
        <v>14.03</v>
      </c>
      <c r="AC691" s="14">
        <f>IFERROR(AVERAGEIFS($E$16:$E$736,$W$16:$W$736,"&gt;="&amp;W691-$C$5,$W$16:$W$736,"&lt;="&amp;W691+$C$5,$B$16:$B$736,B691,$A$16:$A$736,"&lt;&gt;"&amp;A691),"")</f>
        <v/>
      </c>
      <c r="AD691" s="14">
        <f>IF(AND(ISNUMBER(E691),ISNUMBER(AC691)),E691-AC691,"")</f>
        <v/>
      </c>
    </row>
    <row r="692">
      <c r="A692" s="17" t="n">
        <v>45579</v>
      </c>
      <c r="B692" s="29">
        <f>MONTH(A692)</f>
        <v/>
      </c>
      <c r="C692" s="29">
        <f>IF(AND(ISNUMBER(W692),ISNUMBER($C$4),ABS(W692-$C$4)&lt;=$C$5,ABS(MOD(B692-$C$6+6,12)-6)&lt;=$C$7,OR($C$8="Any",P692=$C$8)),1,0)</f>
        <v/>
      </c>
      <c r="D692" s="29">
        <f>IF(C692=1,COUNTIF($C$16:C692,1),"")</f>
        <v/>
      </c>
      <c r="E692" s="18" t="n">
        <v>23.99</v>
      </c>
      <c r="F692" s="18" t="n">
        <v>25.15</v>
      </c>
      <c r="G692" s="18" t="n">
        <v>21.67</v>
      </c>
      <c r="H692" s="38" t="n">
        <v>19.73</v>
      </c>
      <c r="I692" s="38" t="n">
        <v>12.05</v>
      </c>
      <c r="J692" s="13" t="n">
        <v>10163</v>
      </c>
      <c r="K692" s="13" t="n">
        <v>9840.440000000001</v>
      </c>
      <c r="L692" s="13" t="n">
        <v>1911.81</v>
      </c>
      <c r="M692" s="13" t="n">
        <v>2007.83</v>
      </c>
      <c r="N692" s="13" t="n">
        <v>3537</v>
      </c>
      <c r="O692" s="38" t="n">
        <v>56.77</v>
      </c>
      <c r="P692" s="39" t="inlineStr">
        <is>
          <t>Windy</t>
        </is>
      </c>
      <c r="Q692" s="13" t="n">
        <v>1152</v>
      </c>
      <c r="R692" s="13" t="n">
        <v>587.3200000000001</v>
      </c>
      <c r="S692" s="13" t="n">
        <v>-383.62</v>
      </c>
      <c r="T692" s="13" t="n">
        <v>8189.58</v>
      </c>
      <c r="U692" s="13" t="n">
        <v>1103.67</v>
      </c>
      <c r="V692" s="13" t="n">
        <v>62.83</v>
      </c>
      <c r="W692" s="13" t="n">
        <v>1467.05</v>
      </c>
      <c r="X692" s="13" t="n">
        <v>1776.5</v>
      </c>
      <c r="Y692" s="13" t="n">
        <v>1145.42</v>
      </c>
      <c r="Z692" s="19" t="n"/>
      <c r="AA692" s="18" t="n"/>
      <c r="AB692" s="38" t="n">
        <v>21.33</v>
      </c>
      <c r="AC692" s="14">
        <f>IFERROR(AVERAGEIFS($E$16:$E$736,$W$16:$W$736,"&gt;="&amp;W692-$C$5,$W$16:$W$736,"&lt;="&amp;W692+$C$5,$B$16:$B$736,B692,$A$16:$A$736,"&lt;&gt;"&amp;A692),"")</f>
        <v/>
      </c>
      <c r="AD692" s="14">
        <f>IF(AND(ISNUMBER(E692),ISNUMBER(AC692)),E692-AC692,"")</f>
        <v/>
      </c>
    </row>
    <row r="693">
      <c r="A693" s="17" t="n">
        <v>45578</v>
      </c>
      <c r="B693" s="29">
        <f>MONTH(A693)</f>
        <v/>
      </c>
      <c r="C693" s="29">
        <f>IF(AND(ISNUMBER(W693),ISNUMBER($C$4),ABS(W693-$C$4)&lt;=$C$5,ABS(MOD(B693-$C$6+6,12)-6)&lt;=$C$7,OR($C$8="Any",P693=$C$8)),1,0)</f>
        <v/>
      </c>
      <c r="D693" s="29">
        <f>IF(C693=1,COUNTIF($C$16:C693,1),"")</f>
        <v/>
      </c>
      <c r="E693" s="18" t="n">
        <v>13.71</v>
      </c>
      <c r="F693" s="18" t="n">
        <v>11.61</v>
      </c>
      <c r="G693" s="18" t="n">
        <v>17.93</v>
      </c>
      <c r="H693" s="38" t="n">
        <v>18.73</v>
      </c>
      <c r="I693" s="38" t="n">
        <v>9.15</v>
      </c>
      <c r="J693" s="13" t="n">
        <v>9943</v>
      </c>
      <c r="K693" s="13" t="n">
        <v>9815.940000000001</v>
      </c>
      <c r="L693" s="13" t="n">
        <v>2592</v>
      </c>
      <c r="M693" s="13" t="n">
        <v>2569.88</v>
      </c>
      <c r="N693" s="13" t="n">
        <v>3537</v>
      </c>
      <c r="O693" s="38" t="n">
        <v>72.66</v>
      </c>
      <c r="P693" s="39" t="inlineStr">
        <is>
          <t>Windy</t>
        </is>
      </c>
      <c r="Q693" s="13" t="n">
        <v>1010</v>
      </c>
      <c r="R693" s="13" t="n">
        <v>587.58</v>
      </c>
      <c r="S693" s="13" t="n">
        <v>-539.33</v>
      </c>
      <c r="T693" s="13" t="n">
        <v>8266.98</v>
      </c>
      <c r="U693" s="13" t="n">
        <v>1115.44</v>
      </c>
      <c r="V693" s="13" t="n">
        <v>67.55</v>
      </c>
      <c r="W693" s="13" t="n">
        <v>2073.99</v>
      </c>
      <c r="X693" s="13" t="n">
        <v>2342.65</v>
      </c>
      <c r="Y693" s="13" t="n">
        <v>1746.42</v>
      </c>
      <c r="Z693" s="19" t="n"/>
      <c r="AA693" s="18" t="n"/>
      <c r="AB693" s="38" t="n">
        <v>20.4</v>
      </c>
      <c r="AC693" s="14">
        <f>IFERROR(AVERAGEIFS($E$16:$E$736,$W$16:$W$736,"&gt;="&amp;W693-$C$5,$W$16:$W$736,"&lt;="&amp;W693+$C$5,$B$16:$B$736,B693,$A$16:$A$736,"&lt;&gt;"&amp;A693),"")</f>
        <v/>
      </c>
      <c r="AD693" s="14">
        <f>IF(AND(ISNUMBER(E693),ISNUMBER(AC693)),E693-AC693,"")</f>
        <v/>
      </c>
    </row>
    <row r="694">
      <c r="A694" s="17" t="n">
        <v>45577</v>
      </c>
      <c r="B694" s="29">
        <f>MONTH(A694)</f>
        <v/>
      </c>
      <c r="C694" s="29">
        <f>IF(AND(ISNUMBER(W694),ISNUMBER($C$4),ABS(W694-$C$4)&lt;=$C$5,ABS(MOD(B694-$C$6+6,12)-6)&lt;=$C$7,OR($C$8="Any",P694=$C$8)),1,0)</f>
        <v/>
      </c>
      <c r="D694" s="29">
        <f>IF(C694=1,COUNTIF($C$16:C694,1),"")</f>
        <v/>
      </c>
      <c r="E694" s="18" t="n">
        <v>90.06</v>
      </c>
      <c r="F694" s="18" t="n">
        <v>82.43000000000001</v>
      </c>
      <c r="G694" s="18" t="n">
        <v>105.34</v>
      </c>
      <c r="H694" s="38" t="n">
        <v>12.57</v>
      </c>
      <c r="I694" s="38" t="n">
        <v>5.1</v>
      </c>
      <c r="J694" s="13" t="n">
        <v>9899</v>
      </c>
      <c r="K694" s="13" t="n">
        <v>9735.940000000001</v>
      </c>
      <c r="L694" s="13" t="n">
        <v>364.62</v>
      </c>
      <c r="M694" s="13" t="n">
        <v>423.17</v>
      </c>
      <c r="N694" s="13" t="n">
        <v>3537</v>
      </c>
      <c r="O694" s="38" t="n">
        <v>11.96</v>
      </c>
      <c r="P694" s="39" t="inlineStr">
        <is>
          <t>Calm</t>
        </is>
      </c>
      <c r="Q694" s="13" t="n">
        <v>1136</v>
      </c>
      <c r="R694" s="13" t="n">
        <v>587.6900000000001</v>
      </c>
      <c r="S694" s="13" t="n">
        <v>175.17</v>
      </c>
      <c r="T694" s="13" t="n">
        <v>8220.85</v>
      </c>
      <c r="U694" s="13" t="n">
        <v>1113.71</v>
      </c>
      <c r="V694" s="13" t="n">
        <v>39.98</v>
      </c>
      <c r="W694" s="13" t="n">
        <v>536.46</v>
      </c>
      <c r="X694" s="13" t="n">
        <v>952.34</v>
      </c>
      <c r="Y694" s="13" t="n">
        <v>201.18</v>
      </c>
      <c r="Z694" s="19" t="n"/>
      <c r="AA694" s="18" t="n"/>
      <c r="AB694" s="38" t="n">
        <v>12.81</v>
      </c>
      <c r="AC694" s="14">
        <f>IFERROR(AVERAGEIFS($E$16:$E$736,$W$16:$W$736,"&gt;="&amp;W694-$C$5,$W$16:$W$736,"&lt;="&amp;W694+$C$5,$B$16:$B$736,B694,$A$16:$A$736,"&lt;&gt;"&amp;A694),"")</f>
        <v/>
      </c>
      <c r="AD694" s="14">
        <f>IF(AND(ISNUMBER(E694),ISNUMBER(AC694)),E694-AC694,"")</f>
        <v/>
      </c>
    </row>
    <row r="695">
      <c r="A695" s="17" t="n">
        <v>45576</v>
      </c>
      <c r="B695" s="29">
        <f>MONTH(A695)</f>
        <v/>
      </c>
      <c r="C695" s="29">
        <f>IF(AND(ISNUMBER(W695),ISNUMBER($C$4),ABS(W695-$C$4)&lt;=$C$5,ABS(MOD(B695-$C$6+6,12)-6)&lt;=$C$7,OR($C$8="Any",P695=$C$8)),1,0)</f>
        <v/>
      </c>
      <c r="D695" s="29">
        <f>IF(C695=1,COUNTIF($C$16:C695,1),"")</f>
        <v/>
      </c>
      <c r="E695" s="18" t="n">
        <v>40.67</v>
      </c>
      <c r="F695" s="18" t="n">
        <v>40.86</v>
      </c>
      <c r="G695" s="18" t="n">
        <v>40.28</v>
      </c>
      <c r="H695" s="38" t="n">
        <v>13.23</v>
      </c>
      <c r="I695" s="38" t="n">
        <v>5.97</v>
      </c>
      <c r="J695" s="13" t="n">
        <v>10296</v>
      </c>
      <c r="K695" s="13" t="n">
        <v>10072</v>
      </c>
      <c r="L695" s="13" t="n">
        <v>1267.19</v>
      </c>
      <c r="M695" s="13" t="n">
        <v>1219.71</v>
      </c>
      <c r="N695" s="13" t="n">
        <v>3537</v>
      </c>
      <c r="O695" s="38" t="n">
        <v>34.48</v>
      </c>
      <c r="P695" s="39" t="inlineStr">
        <is>
          <t>Windy</t>
        </is>
      </c>
      <c r="Q695" s="13" t="n">
        <v>1150</v>
      </c>
      <c r="R695" s="13" t="n">
        <v>545.41</v>
      </c>
      <c r="S695" s="13" t="n">
        <v>-102.54</v>
      </c>
      <c r="T695" s="13" t="n">
        <v>8305.389999999999</v>
      </c>
      <c r="U695" s="13" t="n">
        <v>1098.74</v>
      </c>
      <c r="V695" s="13" t="n">
        <v>235.37</v>
      </c>
      <c r="W695" s="13" t="n">
        <v>695.1</v>
      </c>
      <c r="X695" s="13" t="n">
        <v>1168.28</v>
      </c>
      <c r="Y695" s="13" t="n">
        <v>356.73</v>
      </c>
      <c r="Z695" s="19" t="n"/>
      <c r="AA695" s="18" t="n"/>
      <c r="AB695" s="38" t="n">
        <v>15.8</v>
      </c>
      <c r="AC695" s="14">
        <f>IFERROR(AVERAGEIFS($E$16:$E$736,$W$16:$W$736,"&gt;="&amp;W695-$C$5,$W$16:$W$736,"&lt;="&amp;W695+$C$5,$B$16:$B$736,B695,$A$16:$A$736,"&lt;&gt;"&amp;A695),"")</f>
        <v/>
      </c>
      <c r="AD695" s="14">
        <f>IF(AND(ISNUMBER(E695),ISNUMBER(AC695)),E695-AC695,"")</f>
        <v/>
      </c>
    </row>
    <row r="696">
      <c r="A696" s="17" t="n">
        <v>45575</v>
      </c>
      <c r="B696" s="29">
        <f>MONTH(A696)</f>
        <v/>
      </c>
      <c r="C696" s="29">
        <f>IF(AND(ISNUMBER(W696),ISNUMBER($C$4),ABS(W696-$C$4)&lt;=$C$5,ABS(MOD(B696-$C$6+6,12)-6)&lt;=$C$7,OR($C$8="Any",P696=$C$8)),1,0)</f>
        <v/>
      </c>
      <c r="D696" s="29">
        <f>IF(C696=1,COUNTIF($C$16:C696,1),"")</f>
        <v/>
      </c>
      <c r="E696" s="18" t="n">
        <v>84.61</v>
      </c>
      <c r="F696" s="18" t="n">
        <v>108.57</v>
      </c>
      <c r="G696" s="18" t="n">
        <v>36.68</v>
      </c>
      <c r="H696" s="38" t="n">
        <v>13.2</v>
      </c>
      <c r="I696" s="38" t="n">
        <v>7.74</v>
      </c>
      <c r="J696" s="13" t="n">
        <v>10183</v>
      </c>
      <c r="K696" s="13" t="n">
        <v>10008.06</v>
      </c>
      <c r="L696" s="13" t="n">
        <v>402.88</v>
      </c>
      <c r="M696" s="13" t="n">
        <v>743.21</v>
      </c>
      <c r="N696" s="13" t="n">
        <v>3537</v>
      </c>
      <c r="O696" s="38" t="n">
        <v>21.01</v>
      </c>
      <c r="P696" s="39" t="inlineStr">
        <is>
          <t>Windy</t>
        </is>
      </c>
      <c r="Q696" s="13" t="n">
        <v>1097</v>
      </c>
      <c r="R696" s="13" t="n">
        <v>568.03</v>
      </c>
      <c r="S696" s="13" t="n">
        <v>23.88</v>
      </c>
      <c r="T696" s="13" t="n">
        <v>8266.23</v>
      </c>
      <c r="U696" s="13" t="n">
        <v>1111.2</v>
      </c>
      <c r="V696" s="13" t="n">
        <v>378.59</v>
      </c>
      <c r="W696" s="13" t="n">
        <v>284.71</v>
      </c>
      <c r="X696" s="13" t="n">
        <v>631.64</v>
      </c>
      <c r="Y696" s="13" t="n">
        <v>-57.91</v>
      </c>
      <c r="Z696" s="19" t="n"/>
      <c r="AA696" s="18" t="n"/>
      <c r="AB696" s="38" t="n">
        <v>11.28</v>
      </c>
      <c r="AC696" s="14">
        <f>IFERROR(AVERAGEIFS($E$16:$E$736,$W$16:$W$736,"&gt;="&amp;W696-$C$5,$W$16:$W$736,"&lt;="&amp;W696+$C$5,$B$16:$B$736,B696,$A$16:$A$736,"&lt;&gt;"&amp;A696),"")</f>
        <v/>
      </c>
      <c r="AD696" s="14">
        <f>IF(AND(ISNUMBER(E696),ISNUMBER(AC696)),E696-AC696,"")</f>
        <v/>
      </c>
    </row>
    <row r="697">
      <c r="A697" s="17" t="n">
        <v>45574</v>
      </c>
      <c r="B697" s="29">
        <f>MONTH(A697)</f>
        <v/>
      </c>
      <c r="C697" s="29">
        <f>IF(AND(ISNUMBER(W697),ISNUMBER($C$4),ABS(W697-$C$4)&lt;=$C$5,ABS(MOD(B697-$C$6+6,12)-6)&lt;=$C$7,OR($C$8="Any",P697=$C$8)),1,0)</f>
        <v/>
      </c>
      <c r="D697" s="29">
        <f>IF(C697=1,COUNTIF($C$16:C697,1),"")</f>
        <v/>
      </c>
      <c r="E697" s="18" t="n">
        <v>107.45</v>
      </c>
      <c r="F697" s="18" t="n">
        <v>134.72</v>
      </c>
      <c r="G697" s="18" t="n">
        <v>52.89</v>
      </c>
      <c r="H697" s="38" t="n">
        <v>15.03</v>
      </c>
      <c r="I697" s="38" t="n">
        <v>9.85</v>
      </c>
      <c r="J697" s="13" t="n">
        <v>10071</v>
      </c>
      <c r="K697" s="13" t="n">
        <v>9932.75</v>
      </c>
      <c r="L697" s="13" t="n">
        <v>649.3099999999999</v>
      </c>
      <c r="M697" s="13" t="n">
        <v>830.96</v>
      </c>
      <c r="N697" s="13" t="n">
        <v>3537</v>
      </c>
      <c r="O697" s="38" t="n">
        <v>23.49</v>
      </c>
      <c r="P697" s="39" t="inlineStr">
        <is>
          <t>Windy</t>
        </is>
      </c>
      <c r="Q697" s="13" t="n">
        <v>889</v>
      </c>
      <c r="R697" s="13" t="n">
        <v>581.8099999999999</v>
      </c>
      <c r="S697" s="13" t="n">
        <v>80.95999999999999</v>
      </c>
      <c r="T697" s="13" t="n">
        <v>8235.440000000001</v>
      </c>
      <c r="U697" s="13" t="n">
        <v>1085.93</v>
      </c>
      <c r="V697" s="13" t="n">
        <v>31.85</v>
      </c>
      <c r="W697" s="13" t="n">
        <v>344.54</v>
      </c>
      <c r="X697" s="13" t="n">
        <v>765.58</v>
      </c>
      <c r="Y697" s="13" t="n">
        <v>4.29</v>
      </c>
      <c r="Z697" s="19" t="n"/>
      <c r="AA697" s="18" t="n"/>
      <c r="AB697" s="38" t="n">
        <v>15.09</v>
      </c>
      <c r="AC697" s="14">
        <f>IFERROR(AVERAGEIFS($E$16:$E$736,$W$16:$W$736,"&gt;="&amp;W697-$C$5,$W$16:$W$736,"&lt;="&amp;W697+$C$5,$B$16:$B$736,B697,$A$16:$A$736,"&lt;&gt;"&amp;A697),"")</f>
        <v/>
      </c>
      <c r="AD697" s="14">
        <f>IF(AND(ISNUMBER(E697),ISNUMBER(AC697)),E697-AC697,"")</f>
        <v/>
      </c>
    </row>
    <row r="698">
      <c r="A698" s="17" t="n">
        <v>45573</v>
      </c>
      <c r="B698" s="29">
        <f>MONTH(A698)</f>
        <v/>
      </c>
      <c r="C698" s="29">
        <f>IF(AND(ISNUMBER(W698),ISNUMBER($C$4),ABS(W698-$C$4)&lt;=$C$5,ABS(MOD(B698-$C$6+6,12)-6)&lt;=$C$7,OR($C$8="Any",P698=$C$8)),1,0)</f>
        <v/>
      </c>
      <c r="D698" s="29">
        <f>IF(C698=1,COUNTIF($C$16:C698,1),"")</f>
        <v/>
      </c>
      <c r="E698" s="18" t="n">
        <v>18.23</v>
      </c>
      <c r="F698" s="18" t="n">
        <v>15.94</v>
      </c>
      <c r="G698" s="18" t="n">
        <v>22.82</v>
      </c>
      <c r="H698" s="38" t="n">
        <v>21.03</v>
      </c>
      <c r="I698" s="38" t="n">
        <v>13.11</v>
      </c>
      <c r="J698" s="13" t="n">
        <v>10233</v>
      </c>
      <c r="K698" s="13" t="n">
        <v>10067.06</v>
      </c>
      <c r="L698" s="13" t="n">
        <v>2630.06</v>
      </c>
      <c r="M698" s="13" t="n">
        <v>2454.33</v>
      </c>
      <c r="N698" s="13" t="n">
        <v>3537</v>
      </c>
      <c r="O698" s="38" t="n">
        <v>69.39</v>
      </c>
      <c r="P698" s="39" t="inlineStr">
        <is>
          <t>Windy</t>
        </is>
      </c>
      <c r="Q698" s="13" t="n">
        <v>1144</v>
      </c>
      <c r="R698" s="13" t="n">
        <v>515.65</v>
      </c>
      <c r="S698" s="13" t="n">
        <v>-355.71</v>
      </c>
      <c r="T698" s="13" t="n">
        <v>8118.24</v>
      </c>
      <c r="U698" s="13" t="n">
        <v>1068.44</v>
      </c>
      <c r="V698" s="13" t="n">
        <v>35.33</v>
      </c>
      <c r="W698" s="13" t="n">
        <v>1376.91</v>
      </c>
      <c r="X698" s="13" t="n">
        <v>1920.4</v>
      </c>
      <c r="Y698" s="13" t="n">
        <v>1034.06</v>
      </c>
      <c r="Z698" s="19" t="n"/>
      <c r="AA698" s="18" t="n"/>
      <c r="AB698" s="38" t="n">
        <v>23.98</v>
      </c>
      <c r="AC698" s="14">
        <f>IFERROR(AVERAGEIFS($E$16:$E$736,$W$16:$W$736,"&gt;="&amp;W698-$C$5,$W$16:$W$736,"&lt;="&amp;W698+$C$5,$B$16:$B$736,B698,$A$16:$A$736,"&lt;&gt;"&amp;A698),"")</f>
        <v/>
      </c>
      <c r="AD698" s="14">
        <f>IF(AND(ISNUMBER(E698),ISNUMBER(AC698)),E698-AC698,"")</f>
        <v/>
      </c>
    </row>
    <row r="699">
      <c r="A699" s="17" t="n">
        <v>45572</v>
      </c>
      <c r="B699" s="29">
        <f>MONTH(A699)</f>
        <v/>
      </c>
      <c r="C699" s="29">
        <f>IF(AND(ISNUMBER(W699),ISNUMBER($C$4),ABS(W699-$C$4)&lt;=$C$5,ABS(MOD(B699-$C$6+6,12)-6)&lt;=$C$7,OR($C$8="Any",P699=$C$8)),1,0)</f>
        <v/>
      </c>
      <c r="D699" s="29">
        <f>IF(C699=1,COUNTIF($C$16:C699,1),"")</f>
        <v/>
      </c>
      <c r="E699" s="18" t="n">
        <v>40.8</v>
      </c>
      <c r="F699" s="18" t="n">
        <v>47.76</v>
      </c>
      <c r="G699" s="18" t="n">
        <v>26.87</v>
      </c>
      <c r="H699" s="38" t="n">
        <v>19.63</v>
      </c>
      <c r="I699" s="38" t="n">
        <v>12.08</v>
      </c>
      <c r="J699" s="13" t="n">
        <v>10353</v>
      </c>
      <c r="K699" s="13" t="n">
        <v>10088.5</v>
      </c>
      <c r="L699" s="13" t="n">
        <v>1602.62</v>
      </c>
      <c r="M699" s="13" t="n">
        <v>1594.08</v>
      </c>
      <c r="N699" s="13" t="n">
        <v>3537</v>
      </c>
      <c r="O699" s="38" t="n">
        <v>45.07</v>
      </c>
      <c r="P699" s="39" t="inlineStr">
        <is>
          <t>Windy</t>
        </is>
      </c>
      <c r="Q699" s="13" t="n">
        <v>1297</v>
      </c>
      <c r="R699" s="13" t="n">
        <v>618.16</v>
      </c>
      <c r="S699" s="13" t="n">
        <v>-227.79</v>
      </c>
      <c r="T699" s="13" t="n">
        <v>8184.65</v>
      </c>
      <c r="U699" s="13" t="n">
        <v>1075.28</v>
      </c>
      <c r="V699" s="13" t="n">
        <v>53.09</v>
      </c>
      <c r="W699" s="13" t="n">
        <v>813.33</v>
      </c>
      <c r="X699" s="13" t="n">
        <v>1427.58</v>
      </c>
      <c r="Y699" s="13" t="n">
        <v>473.75</v>
      </c>
      <c r="Z699" s="19" t="n"/>
      <c r="AA699" s="18" t="n"/>
      <c r="AB699" s="38" t="n">
        <v>24.36</v>
      </c>
      <c r="AC699" s="14">
        <f>IFERROR(AVERAGEIFS($E$16:$E$736,$W$16:$W$736,"&gt;="&amp;W699-$C$5,$W$16:$W$736,"&lt;="&amp;W699+$C$5,$B$16:$B$736,B699,$A$16:$A$736,"&lt;&gt;"&amp;A699),"")</f>
        <v/>
      </c>
      <c r="AD699" s="14">
        <f>IF(AND(ISNUMBER(E699),ISNUMBER(AC699)),E699-AC699,"")</f>
        <v/>
      </c>
    </row>
    <row r="700">
      <c r="A700" s="17" t="n">
        <v>45571</v>
      </c>
      <c r="B700" s="29">
        <f>MONTH(A700)</f>
        <v/>
      </c>
      <c r="C700" s="29">
        <f>IF(AND(ISNUMBER(W700),ISNUMBER($C$4),ABS(W700-$C$4)&lt;=$C$5,ABS(MOD(B700-$C$6+6,12)-6)&lt;=$C$7,OR($C$8="Any",P700=$C$8)),1,0)</f>
        <v/>
      </c>
      <c r="D700" s="29">
        <f>IF(C700=1,COUNTIF($C$16:C700,1),"")</f>
        <v/>
      </c>
      <c r="E700" s="18" t="n">
        <v>49.27</v>
      </c>
      <c r="F700" s="18" t="n">
        <v>64.37</v>
      </c>
      <c r="G700" s="18" t="n">
        <v>19.07</v>
      </c>
      <c r="H700" s="38" t="n">
        <v>17.37</v>
      </c>
      <c r="I700" s="38" t="n">
        <v>10.86</v>
      </c>
      <c r="J700" s="13" t="n">
        <v>9867</v>
      </c>
      <c r="K700" s="13" t="n">
        <v>9619.559999999999</v>
      </c>
      <c r="L700" s="13" t="n">
        <v>857.25</v>
      </c>
      <c r="M700" s="13" t="n">
        <v>1199.62</v>
      </c>
      <c r="N700" s="13" t="n">
        <v>3537</v>
      </c>
      <c r="O700" s="38" t="n">
        <v>33.92</v>
      </c>
      <c r="P700" s="39" t="inlineStr">
        <is>
          <t>Windy</t>
        </is>
      </c>
      <c r="Q700" s="13" t="n">
        <v>1216</v>
      </c>
      <c r="R700" s="13" t="n">
        <v>736.3200000000001</v>
      </c>
      <c r="S700" s="13" t="n">
        <v>-357.42</v>
      </c>
      <c r="T700" s="13" t="n">
        <v>8541.969999999999</v>
      </c>
      <c r="U700" s="13" t="n">
        <v>1101.25</v>
      </c>
      <c r="V700" s="13" t="n">
        <v>95.37</v>
      </c>
      <c r="W700" s="13" t="n">
        <v>435.29</v>
      </c>
      <c r="X700" s="13" t="n">
        <v>1369.55</v>
      </c>
      <c r="Y700" s="13" t="n">
        <v>247.1</v>
      </c>
      <c r="Z700" s="19" t="n"/>
      <c r="AA700" s="18" t="n"/>
      <c r="AB700" s="38" t="n">
        <v>17.9</v>
      </c>
      <c r="AC700" s="14">
        <f>IFERROR(AVERAGEIFS($E$16:$E$736,$W$16:$W$736,"&gt;="&amp;W700-$C$5,$W$16:$W$736,"&lt;="&amp;W700+$C$5,$B$16:$B$736,B700,$A$16:$A$736,"&lt;&gt;"&amp;A700),"")</f>
        <v/>
      </c>
      <c r="AD700" s="14">
        <f>IF(AND(ISNUMBER(E700),ISNUMBER(AC700)),E700-AC700,"")</f>
        <v/>
      </c>
    </row>
    <row r="701">
      <c r="A701" s="17" t="n">
        <v>45570</v>
      </c>
      <c r="B701" s="29">
        <f>MONTH(A701)</f>
        <v/>
      </c>
      <c r="C701" s="29">
        <f>IF(AND(ISNUMBER(W701),ISNUMBER($C$4),ABS(W701-$C$4)&lt;=$C$5,ABS(MOD(B701-$C$6+6,12)-6)&lt;=$C$7,OR($C$8="Any",P701=$C$8)),1,0)</f>
        <v/>
      </c>
      <c r="D701" s="29">
        <f>IF(C701=1,COUNTIF($C$16:C701,1),"")</f>
        <v/>
      </c>
      <c r="E701" s="18" t="n">
        <v>6.84</v>
      </c>
      <c r="F701" s="18" t="n">
        <v>9.970000000000001</v>
      </c>
      <c r="G701" s="18" t="n">
        <v>0.57</v>
      </c>
      <c r="H701" s="38" t="n">
        <v>13.73</v>
      </c>
      <c r="I701" s="38" t="n">
        <v>8.99</v>
      </c>
      <c r="J701" s="13" t="n">
        <v>9905</v>
      </c>
      <c r="K701" s="13" t="n">
        <v>9775.809999999999</v>
      </c>
      <c r="L701" s="13" t="n">
        <v>2115.25</v>
      </c>
      <c r="M701" s="13" t="n">
        <v>2516.92</v>
      </c>
      <c r="N701" s="13" t="n">
        <v>3537</v>
      </c>
      <c r="O701" s="38" t="n">
        <v>71.16</v>
      </c>
      <c r="P701" s="39" t="inlineStr">
        <is>
          <t>Windy</t>
        </is>
      </c>
      <c r="Q701" s="13" t="n">
        <v>1325</v>
      </c>
      <c r="R701" s="13" t="n">
        <v>734.42</v>
      </c>
      <c r="S701" s="13" t="n">
        <v>-625.08</v>
      </c>
      <c r="T701" s="13" t="n">
        <v>8402.02</v>
      </c>
      <c r="U701" s="13" t="n">
        <v>1125.4</v>
      </c>
      <c r="V701" s="13" t="n">
        <v>352.59</v>
      </c>
      <c r="W701" s="13" t="n">
        <v>1181.06</v>
      </c>
      <c r="X701" s="13" t="n">
        <v>2088.69</v>
      </c>
      <c r="Y701" s="13" t="n">
        <v>980.3200000000001</v>
      </c>
      <c r="Z701" s="19" t="n"/>
      <c r="AA701" s="18" t="n"/>
      <c r="AB701" s="38" t="n">
        <v>28.27</v>
      </c>
      <c r="AC701" s="14">
        <f>IFERROR(AVERAGEIFS($E$16:$E$736,$W$16:$W$736,"&gt;="&amp;W701-$C$5,$W$16:$W$736,"&lt;="&amp;W701+$C$5,$B$16:$B$736,B701,$A$16:$A$736,"&lt;&gt;"&amp;A701),"")</f>
        <v/>
      </c>
      <c r="AD701" s="14">
        <f>IF(AND(ISNUMBER(E701),ISNUMBER(AC701)),E701-AC701,"")</f>
        <v/>
      </c>
    </row>
    <row r="702">
      <c r="A702" s="17" t="n">
        <v>45569</v>
      </c>
      <c r="B702" s="29">
        <f>MONTH(A702)</f>
        <v/>
      </c>
      <c r="C702" s="29">
        <f>IF(AND(ISNUMBER(W702),ISNUMBER($C$4),ABS(W702-$C$4)&lt;=$C$5,ABS(MOD(B702-$C$6+6,12)-6)&lt;=$C$7,OR($C$8="Any",P702=$C$8)),1,0)</f>
        <v/>
      </c>
      <c r="D702" s="29">
        <f>IF(C702=1,COUNTIF($C$16:C702,1),"")</f>
        <v/>
      </c>
      <c r="E702" s="18" t="n">
        <v>10.34</v>
      </c>
      <c r="F702" s="18" t="n">
        <v>8.08</v>
      </c>
      <c r="G702" s="18" t="n">
        <v>14.84</v>
      </c>
      <c r="H702" s="38" t="n">
        <v>16.8</v>
      </c>
      <c r="I702" s="38" t="n">
        <v>7.74</v>
      </c>
      <c r="J702" s="13" t="n">
        <v>10270</v>
      </c>
      <c r="K702" s="13" t="n">
        <v>10135.5</v>
      </c>
      <c r="L702" s="13" t="n">
        <v>3088.44</v>
      </c>
      <c r="M702" s="13" t="n">
        <v>2980.25</v>
      </c>
      <c r="N702" s="13" t="n">
        <v>3396.17</v>
      </c>
      <c r="O702" s="38" t="n">
        <v>87.75</v>
      </c>
      <c r="P702" s="39" t="inlineStr">
        <is>
          <t>Windy</t>
        </is>
      </c>
      <c r="Q702" s="13" t="n">
        <v>864</v>
      </c>
      <c r="R702" s="13" t="n">
        <v>738.5599999999999</v>
      </c>
      <c r="S702" s="13" t="n">
        <v>-851.33</v>
      </c>
      <c r="T702" s="13" t="n">
        <v>8715.389999999999</v>
      </c>
      <c r="U702" s="13" t="n">
        <v>1109.99</v>
      </c>
      <c r="V702" s="13" t="n">
        <v>405.45</v>
      </c>
      <c r="W702" s="13" t="n">
        <v>1816.36</v>
      </c>
      <c r="X702" s="13" t="n">
        <v>2504.36</v>
      </c>
      <c r="Y702" s="13" t="n">
        <v>1631.18</v>
      </c>
      <c r="Z702" s="19" t="n"/>
      <c r="AA702" s="18" t="n"/>
      <c r="AB702" s="38" t="n">
        <v>27.68</v>
      </c>
      <c r="AC702" s="14">
        <f>IFERROR(AVERAGEIFS($E$16:$E$736,$W$16:$W$736,"&gt;="&amp;W702-$C$5,$W$16:$W$736,"&lt;="&amp;W702+$C$5,$B$16:$B$736,B702,$A$16:$A$736,"&lt;&gt;"&amp;A702),"")</f>
        <v/>
      </c>
      <c r="AD702" s="14">
        <f>IF(AND(ISNUMBER(E702),ISNUMBER(AC702)),E702-AC702,"")</f>
        <v/>
      </c>
    </row>
    <row r="703">
      <c r="A703" s="17" t="n">
        <v>45568</v>
      </c>
      <c r="B703" s="29">
        <f>MONTH(A703)</f>
        <v/>
      </c>
      <c r="C703" s="29">
        <f>IF(AND(ISNUMBER(W703),ISNUMBER($C$4),ABS(W703-$C$4)&lt;=$C$5,ABS(MOD(B703-$C$6+6,12)-6)&lt;=$C$7,OR($C$8="Any",P703=$C$8)),1,0)</f>
        <v/>
      </c>
      <c r="D703" s="29">
        <f>IF(C703=1,COUNTIF($C$16:C703,1),"")</f>
        <v/>
      </c>
      <c r="E703" s="18" t="n">
        <v>22.29</v>
      </c>
      <c r="F703" s="18" t="n">
        <v>29.1</v>
      </c>
      <c r="G703" s="18" t="n">
        <v>8.66</v>
      </c>
      <c r="H703" s="38" t="n">
        <v>12.43</v>
      </c>
      <c r="I703" s="38" t="n">
        <v>5.8</v>
      </c>
      <c r="J703" s="13" t="n">
        <v>10150</v>
      </c>
      <c r="K703" s="13" t="n">
        <v>9946.059999999999</v>
      </c>
      <c r="L703" s="13" t="n">
        <v>507.19</v>
      </c>
      <c r="M703" s="13" t="n">
        <v>828.29</v>
      </c>
      <c r="N703" s="13" t="n">
        <v>3364</v>
      </c>
      <c r="O703" s="38" t="n">
        <v>24.62</v>
      </c>
      <c r="P703" s="39" t="inlineStr">
        <is>
          <t>Windy</t>
        </is>
      </c>
      <c r="Q703" s="13" t="n">
        <v>1329</v>
      </c>
      <c r="R703" s="13" t="n">
        <v>656.27</v>
      </c>
      <c r="S703" s="13" t="n">
        <v>73.29000000000001</v>
      </c>
      <c r="T703" s="13" t="n">
        <v>9061.620000000001</v>
      </c>
      <c r="U703" s="13" t="n">
        <v>1086.1</v>
      </c>
      <c r="V703" s="13" t="n">
        <v>274.79</v>
      </c>
      <c r="W703" s="13" t="n">
        <v>1156.7</v>
      </c>
      <c r="X703" s="13" t="n">
        <v>1662.05</v>
      </c>
      <c r="Y703" s="13" t="n">
        <v>970.85</v>
      </c>
      <c r="Z703" s="19" t="n"/>
      <c r="AA703" s="18" t="n"/>
      <c r="AB703" s="38" t="n">
        <v>15.32</v>
      </c>
      <c r="AC703" s="14">
        <f>IFERROR(AVERAGEIFS($E$16:$E$736,$W$16:$W$736,"&gt;="&amp;W703-$C$5,$W$16:$W$736,"&lt;="&amp;W703+$C$5,$B$16:$B$736,B703,$A$16:$A$736,"&lt;&gt;"&amp;A703),"")</f>
        <v/>
      </c>
      <c r="AD703" s="14">
        <f>IF(AND(ISNUMBER(E703),ISNUMBER(AC703)),E703-AC703,"")</f>
        <v/>
      </c>
    </row>
    <row r="704">
      <c r="A704" s="17" t="n">
        <v>45567</v>
      </c>
      <c r="B704" s="29">
        <f>MONTH(A704)</f>
        <v/>
      </c>
      <c r="C704" s="29">
        <f>IF(AND(ISNUMBER(W704),ISNUMBER($C$4),ABS(W704-$C$4)&lt;=$C$5,ABS(MOD(B704-$C$6+6,12)-6)&lt;=$C$7,OR($C$8="Any",P704=$C$8)),1,0)</f>
        <v/>
      </c>
      <c r="D704" s="29">
        <f>IF(C704=1,COUNTIF($C$16:C704,1),"")</f>
        <v/>
      </c>
      <c r="E704" s="18" t="n">
        <v>107.86</v>
      </c>
      <c r="F704" s="18" t="n">
        <v>167.06</v>
      </c>
      <c r="G704" s="18" t="n">
        <v>4.25</v>
      </c>
      <c r="H704" s="38" t="n">
        <v>10.23</v>
      </c>
      <c r="I704" s="38" t="n">
        <v>6.8</v>
      </c>
      <c r="J704" s="13" t="n">
        <v>9980</v>
      </c>
      <c r="K704" s="13" t="n">
        <v>9836.07</v>
      </c>
      <c r="L704" s="13" t="n">
        <v>1032.21</v>
      </c>
      <c r="M704" s="13" t="n">
        <v>1500.82</v>
      </c>
      <c r="N704" s="13" t="n">
        <v>3364</v>
      </c>
      <c r="O704" s="38" t="n">
        <v>44.61</v>
      </c>
      <c r="P704" s="39" t="inlineStr">
        <is>
          <t>Windy</t>
        </is>
      </c>
      <c r="Q704" s="13" t="n">
        <v>826</v>
      </c>
      <c r="R704" s="13" t="n">
        <v>700.9</v>
      </c>
      <c r="S704" s="13" t="n">
        <v>71</v>
      </c>
      <c r="T704" s="13" t="n">
        <v>8623.98</v>
      </c>
      <c r="U704" s="13" t="n">
        <v>1034.4</v>
      </c>
      <c r="V704" s="13" t="n">
        <v>380.93</v>
      </c>
      <c r="W704" s="13" t="n">
        <v>856.47</v>
      </c>
      <c r="X704" s="13" t="n">
        <v>1403.26</v>
      </c>
      <c r="Y704" s="13" t="n">
        <v>485.94</v>
      </c>
      <c r="Z704" s="19" t="n"/>
      <c r="AA704" s="18" t="n"/>
      <c r="AB704" s="38" t="n">
        <v>14.83</v>
      </c>
      <c r="AC704" s="14">
        <f>IFERROR(AVERAGEIFS($E$16:$E$736,$W$16:$W$736,"&gt;="&amp;W704-$C$5,$W$16:$W$736,"&lt;="&amp;W704+$C$5,$B$16:$B$736,B704,$A$16:$A$736,"&lt;&gt;"&amp;A704),"")</f>
        <v/>
      </c>
      <c r="AD704" s="14">
        <f>IF(AND(ISNUMBER(E704),ISNUMBER(AC704)),E704-AC704,"")</f>
        <v/>
      </c>
    </row>
    <row r="705">
      <c r="A705" s="17" t="n">
        <v>45566</v>
      </c>
      <c r="B705" s="29">
        <f>MONTH(A705)</f>
        <v/>
      </c>
      <c r="C705" s="29">
        <f>IF(AND(ISNUMBER(W705),ISNUMBER($C$4),ABS(W705-$C$4)&lt;=$C$5,ABS(MOD(B705-$C$6+6,12)-6)&lt;=$C$7,OR($C$8="Any",P705=$C$8)),1,0)</f>
        <v/>
      </c>
      <c r="D705" s="29">
        <f>IF(C705=1,COUNTIF($C$16:C705,1),"")</f>
        <v/>
      </c>
      <c r="E705" s="18" t="n">
        <v>8.15</v>
      </c>
      <c r="F705" s="18" t="n">
        <v>11.64</v>
      </c>
      <c r="G705" s="18" t="n">
        <v>1.15</v>
      </c>
      <c r="H705" s="38" t="n">
        <v>15.27</v>
      </c>
      <c r="I705" s="38" t="n">
        <v>10.21</v>
      </c>
      <c r="J705" s="13" t="n">
        <v>10028</v>
      </c>
      <c r="K705" s="13" t="n">
        <v>9851.690000000001</v>
      </c>
      <c r="L705" s="13" t="n">
        <v>2113.38</v>
      </c>
      <c r="M705" s="13" t="n">
        <v>2178.54</v>
      </c>
      <c r="N705" s="13" t="n">
        <v>3364</v>
      </c>
      <c r="O705" s="38" t="n">
        <v>64.76000000000001</v>
      </c>
      <c r="P705" s="39" t="inlineStr">
        <is>
          <t>Windy</t>
        </is>
      </c>
      <c r="Q705" s="13" t="n">
        <v>1025</v>
      </c>
      <c r="R705" s="13" t="n">
        <v>738.85</v>
      </c>
      <c r="S705" s="13" t="n">
        <v>-10.17</v>
      </c>
      <c r="T705" s="13" t="n">
        <v>8679.709999999999</v>
      </c>
      <c r="U705" s="13" t="n">
        <v>1112.85</v>
      </c>
      <c r="V705" s="13" t="n">
        <v>287.43</v>
      </c>
      <c r="W705" s="13" t="n">
        <v>2101.36</v>
      </c>
      <c r="X705" s="13" t="n">
        <v>2589.24</v>
      </c>
      <c r="Y705" s="13" t="n">
        <v>1920.72</v>
      </c>
      <c r="Z705" s="19" t="n"/>
      <c r="AA705" s="18" t="n"/>
      <c r="AB705" s="38" t="n">
        <v>24.17</v>
      </c>
      <c r="AC705" s="14">
        <f>IFERROR(AVERAGEIFS($E$16:$E$736,$W$16:$W$736,"&gt;="&amp;W705-$C$5,$W$16:$W$736,"&lt;="&amp;W705+$C$5,$B$16:$B$736,B705,$A$16:$A$736,"&lt;&gt;"&amp;A705),"")</f>
        <v/>
      </c>
      <c r="AD705" s="14">
        <f>IF(AND(ISNUMBER(E705),ISNUMBER(AC705)),E705-AC705,"")</f>
        <v/>
      </c>
    </row>
    <row r="706">
      <c r="A706" s="17" t="n">
        <v>45565</v>
      </c>
      <c r="B706" s="29">
        <f>MONTH(A706)</f>
        <v/>
      </c>
      <c r="C706" s="29">
        <f>IF(AND(ISNUMBER(W706),ISNUMBER($C$4),ABS(W706-$C$4)&lt;=$C$5,ABS(MOD(B706-$C$6+6,12)-6)&lt;=$C$7,OR($C$8="Any",P706=$C$8)),1,0)</f>
        <v/>
      </c>
      <c r="D706" s="29">
        <f>IF(C706=1,COUNTIF($C$16:C706,1),"")</f>
        <v/>
      </c>
      <c r="E706" s="18" t="n">
        <v>13.87</v>
      </c>
      <c r="F706" s="18" t="n">
        <v>20.51</v>
      </c>
      <c r="G706" s="18" t="n">
        <v>0.58</v>
      </c>
      <c r="H706" s="38" t="n">
        <v>12.83</v>
      </c>
      <c r="I706" s="38" t="n">
        <v>7.23</v>
      </c>
      <c r="J706" s="13" t="n">
        <v>10010</v>
      </c>
      <c r="K706" s="13" t="n">
        <v>9838.879999999999</v>
      </c>
      <c r="L706" s="13" t="n">
        <v>1922.75</v>
      </c>
      <c r="M706" s="13" t="n">
        <v>2174.83</v>
      </c>
      <c r="N706" s="13" t="n">
        <v>3364</v>
      </c>
      <c r="O706" s="38" t="n">
        <v>64.65000000000001</v>
      </c>
      <c r="P706" s="39" t="inlineStr">
        <is>
          <t>Windy</t>
        </is>
      </c>
      <c r="Q706" s="13" t="n">
        <v>1342</v>
      </c>
      <c r="R706" s="13" t="n">
        <v>736.84</v>
      </c>
      <c r="S706" s="13" t="n">
        <v>3.62</v>
      </c>
      <c r="T706" s="13" t="n">
        <v>8846.040000000001</v>
      </c>
      <c r="U706" s="13" t="n">
        <v>1096.49</v>
      </c>
      <c r="V706" s="13" t="n">
        <v>277.2</v>
      </c>
      <c r="W706" s="13" t="n">
        <v>1617.5</v>
      </c>
      <c r="X706" s="13" t="n">
        <v>2844.34</v>
      </c>
      <c r="Y706" s="13" t="n">
        <v>1444.55</v>
      </c>
      <c r="Z706" s="19" t="n"/>
      <c r="AA706" s="18" t="n"/>
      <c r="AB706" s="38" t="n">
        <v>25.54</v>
      </c>
      <c r="AC706" s="14">
        <f>IFERROR(AVERAGEIFS($E$16:$E$736,$W$16:$W$736,"&gt;="&amp;W706-$C$5,$W$16:$W$736,"&lt;="&amp;W706+$C$5,$B$16:$B$736,B706,$A$16:$A$736,"&lt;&gt;"&amp;A706),"")</f>
        <v/>
      </c>
      <c r="AD706" s="14">
        <f>IF(AND(ISNUMBER(E706),ISNUMBER(AC706)),E706-AC706,"")</f>
        <v/>
      </c>
    </row>
    <row r="707">
      <c r="A707" s="17" t="n">
        <v>45564</v>
      </c>
      <c r="B707" s="29">
        <f>MONTH(A707)</f>
        <v/>
      </c>
      <c r="C707" s="29">
        <f>IF(AND(ISNUMBER(W707),ISNUMBER($C$4),ABS(W707-$C$4)&lt;=$C$5,ABS(MOD(B707-$C$6+6,12)-6)&lt;=$C$7,OR($C$8="Any",P707=$C$8)),1,0)</f>
        <v/>
      </c>
      <c r="D707" s="29">
        <f>IF(C707=1,COUNTIF($C$16:C707,1),"")</f>
        <v/>
      </c>
      <c r="E707" s="18" t="n">
        <v>1.33</v>
      </c>
      <c r="F707" s="18" t="n">
        <v>1.93</v>
      </c>
      <c r="G707" s="18" t="n">
        <v>0.13</v>
      </c>
      <c r="H707" s="38" t="n">
        <v>15.47</v>
      </c>
      <c r="I707" s="38" t="n">
        <v>10.12</v>
      </c>
      <c r="J707" s="13" t="n">
        <v>10027</v>
      </c>
      <c r="K707" s="13" t="n">
        <v>9546.25</v>
      </c>
      <c r="L707" s="13" t="n">
        <v>2534</v>
      </c>
      <c r="M707" s="13" t="n">
        <v>2327.38</v>
      </c>
      <c r="N707" s="13" t="n">
        <v>3364</v>
      </c>
      <c r="O707" s="38" t="n">
        <v>69.18000000000001</v>
      </c>
      <c r="P707" s="39" t="inlineStr">
        <is>
          <t>Windy</t>
        </is>
      </c>
      <c r="Q707" s="13" t="n">
        <v>716</v>
      </c>
      <c r="R707" s="13" t="n">
        <v>744.7</v>
      </c>
      <c r="S707" s="13" t="n">
        <v>-63.67</v>
      </c>
      <c r="T707" s="13" t="n">
        <v>8820.4</v>
      </c>
      <c r="U707" s="13" t="n">
        <v>1057.17</v>
      </c>
      <c r="V707" s="13" t="n">
        <v>57.45</v>
      </c>
      <c r="W707" s="13" t="n">
        <v>2888.12</v>
      </c>
      <c r="X707" s="13" t="n">
        <v>3212.14</v>
      </c>
      <c r="Y707" s="13" t="n">
        <v>2782.31</v>
      </c>
      <c r="Z707" s="19" t="n"/>
      <c r="AA707" s="18" t="n"/>
      <c r="AB707" s="38" t="n">
        <v>32.85</v>
      </c>
      <c r="AC707" s="14">
        <f>IFERROR(AVERAGEIFS($E$16:$E$736,$W$16:$W$736,"&gt;="&amp;W707-$C$5,$W$16:$W$736,"&lt;="&amp;W707+$C$5,$B$16:$B$736,B707,$A$16:$A$736,"&lt;&gt;"&amp;A707),"")</f>
        <v/>
      </c>
      <c r="AD707" s="14">
        <f>IF(AND(ISNUMBER(E707),ISNUMBER(AC707)),E707-AC707,"")</f>
        <v/>
      </c>
    </row>
    <row r="708">
      <c r="A708" s="17" t="n">
        <v>45563</v>
      </c>
      <c r="B708" s="29">
        <f>MONTH(A708)</f>
        <v/>
      </c>
      <c r="C708" s="29">
        <f>IF(AND(ISNUMBER(W708),ISNUMBER($C$4),ABS(W708-$C$4)&lt;=$C$5,ABS(MOD(B708-$C$6+6,12)-6)&lt;=$C$7,OR($C$8="Any",P708=$C$8)),1,0)</f>
        <v/>
      </c>
      <c r="D708" s="29">
        <f>IF(C708=1,COUNTIF($C$16:C708,1),"")</f>
        <v/>
      </c>
      <c r="E708" s="18" t="n">
        <v>21.72</v>
      </c>
      <c r="F708" s="18" t="n">
        <v>16.31</v>
      </c>
      <c r="G708" s="18" t="n">
        <v>32.55</v>
      </c>
      <c r="H708" s="38" t="n">
        <v>16.47</v>
      </c>
      <c r="I708" s="38" t="n">
        <v>10.99</v>
      </c>
      <c r="J708" s="13" t="n">
        <v>9664</v>
      </c>
      <c r="K708" s="13" t="n">
        <v>9473.75</v>
      </c>
      <c r="L708" s="13" t="n">
        <v>844.5</v>
      </c>
      <c r="M708" s="13" t="n">
        <v>861.42</v>
      </c>
      <c r="N708" s="13" t="n">
        <v>3364</v>
      </c>
      <c r="O708" s="38" t="n">
        <v>25.61</v>
      </c>
      <c r="P708" s="39" t="inlineStr">
        <is>
          <t>Windy</t>
        </is>
      </c>
      <c r="Q708" s="13" t="n">
        <v>1274</v>
      </c>
      <c r="R708" s="13" t="n">
        <v>746.83</v>
      </c>
      <c r="S708" s="13" t="n">
        <v>-10.25</v>
      </c>
      <c r="T708" s="13" t="n">
        <v>8738.35</v>
      </c>
      <c r="U708" s="13" t="n">
        <v>1010.07</v>
      </c>
      <c r="V708" s="13" t="n">
        <v>394.49</v>
      </c>
      <c r="W708" s="13" t="n">
        <v>1026.13</v>
      </c>
      <c r="X708" s="13" t="n">
        <v>1932.09</v>
      </c>
      <c r="Y708" s="13" t="n">
        <v>911.62</v>
      </c>
      <c r="Z708" s="19" t="n"/>
      <c r="AA708" s="18" t="n"/>
      <c r="AB708" s="38" t="n">
        <v>14.21</v>
      </c>
      <c r="AC708" s="14">
        <f>IFERROR(AVERAGEIFS($E$16:$E$736,$W$16:$W$736,"&gt;="&amp;W708-$C$5,$W$16:$W$736,"&lt;="&amp;W708+$C$5,$B$16:$B$736,B708,$A$16:$A$736,"&lt;&gt;"&amp;A708),"")</f>
        <v/>
      </c>
      <c r="AD708" s="14">
        <f>IF(AND(ISNUMBER(E708),ISNUMBER(AC708)),E708-AC708,"")</f>
        <v/>
      </c>
    </row>
    <row r="709">
      <c r="A709" s="17" t="n">
        <v>45562</v>
      </c>
      <c r="B709" s="29">
        <f>MONTH(A709)</f>
        <v/>
      </c>
      <c r="C709" s="29">
        <f>IF(AND(ISNUMBER(W709),ISNUMBER($C$4),ABS(W709-$C$4)&lt;=$C$5,ABS(MOD(B709-$C$6+6,12)-6)&lt;=$C$7,OR($C$8="Any",P709=$C$8)),1,0)</f>
        <v/>
      </c>
      <c r="D709" s="29">
        <f>IF(C709=1,COUNTIF($C$16:C709,1),"")</f>
        <v/>
      </c>
      <c r="E709" s="18" t="n">
        <v>2.53</v>
      </c>
      <c r="F709" s="18" t="n">
        <v>2.76</v>
      </c>
      <c r="G709" s="18" t="n">
        <v>2.07</v>
      </c>
      <c r="H709" s="38" t="n">
        <v>20.1</v>
      </c>
      <c r="I709" s="38" t="n">
        <v>14.63</v>
      </c>
      <c r="J709" s="13" t="n">
        <v>10125</v>
      </c>
      <c r="K709" s="13" t="n">
        <v>9926.75</v>
      </c>
      <c r="L709" s="13" t="n">
        <v>2486.56</v>
      </c>
      <c r="M709" s="13" t="n">
        <v>2491.21</v>
      </c>
      <c r="N709" s="13" t="n">
        <v>3364</v>
      </c>
      <c r="O709" s="38" t="n">
        <v>74.05</v>
      </c>
      <c r="P709" s="39" t="inlineStr">
        <is>
          <t>Windy</t>
        </is>
      </c>
      <c r="Q709" s="13" t="n">
        <v>1085</v>
      </c>
      <c r="R709" s="13" t="n">
        <v>715.95</v>
      </c>
      <c r="S709" s="13" t="n">
        <v>-31.29</v>
      </c>
      <c r="T709" s="13" t="n">
        <v>8715.92</v>
      </c>
      <c r="U709" s="13" t="n">
        <v>1026.46</v>
      </c>
      <c r="V709" s="13" t="n">
        <v>272.96</v>
      </c>
      <c r="W709" s="13" t="n">
        <v>1900.55</v>
      </c>
      <c r="X709" s="13" t="n">
        <v>2986.25</v>
      </c>
      <c r="Y709" s="13" t="n">
        <v>1758.33</v>
      </c>
      <c r="Z709" s="19" t="n"/>
      <c r="AA709" s="18" t="n"/>
      <c r="AB709" s="38" t="n">
        <v>30.76</v>
      </c>
      <c r="AC709" s="14">
        <f>IFERROR(AVERAGEIFS($E$16:$E$736,$W$16:$W$736,"&gt;="&amp;W709-$C$5,$W$16:$W$736,"&lt;="&amp;W709+$C$5,$B$16:$B$736,B709,$A$16:$A$736,"&lt;&gt;"&amp;A709),"")</f>
        <v/>
      </c>
      <c r="AD709" s="14">
        <f>IF(AND(ISNUMBER(E709),ISNUMBER(AC709)),E709-AC709,"")</f>
        <v/>
      </c>
    </row>
    <row r="710">
      <c r="A710" s="17" t="n">
        <v>45561</v>
      </c>
      <c r="B710" s="29">
        <f>MONTH(A710)</f>
        <v/>
      </c>
      <c r="C710" s="29">
        <f>IF(AND(ISNUMBER(W710),ISNUMBER($C$4),ABS(W710-$C$4)&lt;=$C$5,ABS(MOD(B710-$C$6+6,12)-6)&lt;=$C$7,OR($C$8="Any",P710=$C$8)),1,0)</f>
        <v/>
      </c>
      <c r="D710" s="29">
        <f>IF(C710=1,COUNTIF($C$16:C710,1),"")</f>
        <v/>
      </c>
      <c r="E710" s="18" t="n">
        <v>5.35</v>
      </c>
      <c r="F710" s="18" t="n">
        <v>8.029999999999999</v>
      </c>
      <c r="G710" s="18" t="n">
        <v>0</v>
      </c>
      <c r="H710" s="38" t="n">
        <v>16.87</v>
      </c>
      <c r="I710" s="38" t="n">
        <v>13.14</v>
      </c>
      <c r="J710" s="13" t="n">
        <v>10064</v>
      </c>
      <c r="K710" s="13" t="n">
        <v>9854.059999999999</v>
      </c>
      <c r="L710" s="13" t="n">
        <v>2057.88</v>
      </c>
      <c r="M710" s="13" t="n">
        <v>2320.92</v>
      </c>
      <c r="N710" s="13" t="n">
        <v>3364</v>
      </c>
      <c r="O710" s="38" t="n">
        <v>68.98999999999999</v>
      </c>
      <c r="P710" s="39" t="inlineStr">
        <is>
          <t>Windy</t>
        </is>
      </c>
      <c r="Q710" s="13" t="n">
        <v>1345</v>
      </c>
      <c r="R710" s="13" t="n">
        <v>727.1900000000001</v>
      </c>
      <c r="S710" s="13" t="n">
        <v>-50.33</v>
      </c>
      <c r="T710" s="13" t="n">
        <v>8792.93</v>
      </c>
      <c r="U710" s="13" t="n">
        <v>1053.2</v>
      </c>
      <c r="V710" s="13" t="n">
        <v>625.74</v>
      </c>
      <c r="W710" s="13" t="n">
        <v>1514.8</v>
      </c>
      <c r="X710" s="13" t="n">
        <v>2717.16</v>
      </c>
      <c r="Y710" s="13" t="n">
        <v>1393.48</v>
      </c>
      <c r="Z710" s="19" t="n"/>
      <c r="AA710" s="18" t="n"/>
      <c r="AB710" s="38" t="n">
        <v>27.07</v>
      </c>
      <c r="AC710" s="14">
        <f>IFERROR(AVERAGEIFS($E$16:$E$736,$W$16:$W$736,"&gt;="&amp;W710-$C$5,$W$16:$W$736,"&lt;="&amp;W710+$C$5,$B$16:$B$736,B710,$A$16:$A$736,"&lt;&gt;"&amp;A710),"")</f>
        <v/>
      </c>
      <c r="AD710" s="14">
        <f>IF(AND(ISNUMBER(E710),ISNUMBER(AC710)),E710-AC710,"")</f>
        <v/>
      </c>
    </row>
    <row r="711">
      <c r="A711" s="17" t="n">
        <v>45560</v>
      </c>
      <c r="B711" s="29">
        <f>MONTH(A711)</f>
        <v/>
      </c>
      <c r="C711" s="29">
        <f>IF(AND(ISNUMBER(W711),ISNUMBER($C$4),ABS(W711-$C$4)&lt;=$C$5,ABS(MOD(B711-$C$6+6,12)-6)&lt;=$C$7,OR($C$8="Any",P711=$C$8)),1,0)</f>
        <v/>
      </c>
      <c r="D711" s="29">
        <f>IF(C711=1,COUNTIF($C$16:C711,1),"")</f>
        <v/>
      </c>
      <c r="E711" s="18" t="n">
        <v>3.28</v>
      </c>
      <c r="F711" s="18" t="n">
        <v>3.33</v>
      </c>
      <c r="G711" s="18" t="n">
        <v>3.19</v>
      </c>
      <c r="H711" s="38" t="n">
        <v>25.8</v>
      </c>
      <c r="I711" s="38" t="n">
        <v>19.02</v>
      </c>
      <c r="J711" s="13" t="n">
        <v>10806</v>
      </c>
      <c r="K711" s="13" t="n">
        <v>10337.31</v>
      </c>
      <c r="L711" s="13" t="n">
        <v>2852.81</v>
      </c>
      <c r="M711" s="13" t="n">
        <v>2765.46</v>
      </c>
      <c r="N711" s="13" t="n">
        <v>3364</v>
      </c>
      <c r="O711" s="38" t="n">
        <v>82.20999999999999</v>
      </c>
      <c r="P711" s="39" t="inlineStr">
        <is>
          <t>Windy</t>
        </is>
      </c>
      <c r="Q711" s="13" t="n">
        <v>1182</v>
      </c>
      <c r="R711" s="13" t="n">
        <v>728.27</v>
      </c>
      <c r="S711" s="13" t="n">
        <v>-86.29000000000001</v>
      </c>
      <c r="T711" s="13" t="n">
        <v>8509.469999999999</v>
      </c>
      <c r="U711" s="13" t="n">
        <v>1027.67</v>
      </c>
      <c r="V711" s="13" t="n">
        <v>347.6</v>
      </c>
      <c r="W711" s="13" t="n">
        <v>2138.43</v>
      </c>
      <c r="X711" s="13" t="n">
        <v>2747</v>
      </c>
      <c r="Y711" s="13" t="n">
        <v>2053.78</v>
      </c>
      <c r="Z711" s="19" t="n"/>
      <c r="AA711" s="18" t="n"/>
      <c r="AB711" s="38" t="n">
        <v>26.75</v>
      </c>
      <c r="AC711" s="14">
        <f>IFERROR(AVERAGEIFS($E$16:$E$736,$W$16:$W$736,"&gt;="&amp;W711-$C$5,$W$16:$W$736,"&lt;="&amp;W711+$C$5,$B$16:$B$736,B711,$A$16:$A$736,"&lt;&gt;"&amp;A711),"")</f>
        <v/>
      </c>
      <c r="AD711" s="14">
        <f>IF(AND(ISNUMBER(E711),ISNUMBER(AC711)),E711-AC711,"")</f>
        <v/>
      </c>
    </row>
    <row r="712">
      <c r="A712" s="17" t="n">
        <v>45559</v>
      </c>
      <c r="B712" s="29">
        <f>MONTH(A712)</f>
        <v/>
      </c>
      <c r="C712" s="29">
        <f>IF(AND(ISNUMBER(W712),ISNUMBER($C$4),ABS(W712-$C$4)&lt;=$C$5,ABS(MOD(B712-$C$6+6,12)-6)&lt;=$C$7,OR($C$8="Any",P712=$C$8)),1,0)</f>
        <v/>
      </c>
      <c r="D712" s="29">
        <f>IF(C712=1,COUNTIF($C$16:C712,1),"")</f>
        <v/>
      </c>
      <c r="E712" s="18" t="n">
        <v>78.28</v>
      </c>
      <c r="F712" s="18" t="n">
        <v>116.76</v>
      </c>
      <c r="G712" s="18" t="n">
        <v>1.33</v>
      </c>
      <c r="H712" s="38" t="n">
        <v>24.5</v>
      </c>
      <c r="I712" s="38" t="n">
        <v>17.84</v>
      </c>
      <c r="J712" s="13" t="n">
        <v>10431</v>
      </c>
      <c r="K712" s="13" t="n">
        <v>9946.440000000001</v>
      </c>
      <c r="L712" s="13" t="n">
        <v>1333.56</v>
      </c>
      <c r="M712" s="13" t="n">
        <v>1591.33</v>
      </c>
      <c r="N712" s="13" t="n">
        <v>3364</v>
      </c>
      <c r="O712" s="38" t="n">
        <v>47.3</v>
      </c>
      <c r="P712" s="39" t="inlineStr">
        <is>
          <t>Windy</t>
        </is>
      </c>
      <c r="Q712" s="13" t="n">
        <v>1228</v>
      </c>
      <c r="R712" s="13" t="n">
        <v>753.79</v>
      </c>
      <c r="S712" s="13" t="n">
        <v>-25.12</v>
      </c>
      <c r="T712" s="13" t="n">
        <v>8742.870000000001</v>
      </c>
      <c r="U712" s="13" t="n">
        <v>1006.88</v>
      </c>
      <c r="V712" s="13" t="n">
        <v>379.13</v>
      </c>
      <c r="W712" s="13" t="n">
        <v>1013.41</v>
      </c>
      <c r="X712" s="13" t="n">
        <v>1923.43</v>
      </c>
      <c r="Y712" s="13" t="n">
        <v>947.5599999999999</v>
      </c>
      <c r="Z712" s="19" t="n"/>
      <c r="AA712" s="18" t="n"/>
      <c r="AB712" s="38" t="n">
        <v>19.71</v>
      </c>
      <c r="AC712" s="14">
        <f>IFERROR(AVERAGEIFS($E$16:$E$736,$W$16:$W$736,"&gt;="&amp;W712-$C$5,$W$16:$W$736,"&lt;="&amp;W712+$C$5,$B$16:$B$736,B712,$A$16:$A$736,"&lt;&gt;"&amp;A712),"")</f>
        <v/>
      </c>
      <c r="AD712" s="14">
        <f>IF(AND(ISNUMBER(E712),ISNUMBER(AC712)),E712-AC712,"")</f>
        <v/>
      </c>
    </row>
    <row r="713">
      <c r="A713" s="17" t="n">
        <v>45558</v>
      </c>
      <c r="B713" s="29">
        <f>MONTH(A713)</f>
        <v/>
      </c>
      <c r="C713" s="29">
        <f>IF(AND(ISNUMBER(W713),ISNUMBER($C$4),ABS(W713-$C$4)&lt;=$C$5,ABS(MOD(B713-$C$6+6,12)-6)&lt;=$C$7,OR($C$8="Any",P713=$C$8)),1,0)</f>
        <v/>
      </c>
      <c r="D713" s="29">
        <f>IF(C713=1,COUNTIF($C$16:C713,1),"")</f>
        <v/>
      </c>
      <c r="E713" s="18" t="n">
        <v>18.72</v>
      </c>
      <c r="F713" s="18" t="n">
        <v>21.2</v>
      </c>
      <c r="G713" s="18" t="n">
        <v>13.76</v>
      </c>
      <c r="H713" s="38" t="n"/>
      <c r="I713" s="38" t="n"/>
      <c r="J713" s="13" t="n">
        <v>10157</v>
      </c>
      <c r="K713" s="13" t="n">
        <v>9799.809999999999</v>
      </c>
      <c r="L713" s="13" t="n">
        <v>1250.81</v>
      </c>
      <c r="M713" s="13" t="n">
        <v>1416.96</v>
      </c>
      <c r="N713" s="13" t="n">
        <v>3364</v>
      </c>
      <c r="O713" s="38" t="n">
        <v>42.12</v>
      </c>
      <c r="P713" s="39" t="inlineStr">
        <is>
          <t>Windy</t>
        </is>
      </c>
      <c r="Q713" s="13" t="n">
        <v>1236</v>
      </c>
      <c r="R713" s="13" t="n">
        <v>760.91</v>
      </c>
      <c r="S713" s="13" t="n">
        <v>-283.38</v>
      </c>
      <c r="T713" s="13" t="n">
        <v>8726.940000000001</v>
      </c>
      <c r="U713" s="13" t="n">
        <v>984.8</v>
      </c>
      <c r="V713" s="13" t="n">
        <v>265.62</v>
      </c>
      <c r="W713" s="13" t="n">
        <v>1205.09</v>
      </c>
      <c r="X713" s="13" t="n">
        <v>1937.82</v>
      </c>
      <c r="Y713" s="13" t="n">
        <v>1129.65</v>
      </c>
      <c r="Z713" s="19" t="n"/>
      <c r="AA713" s="18" t="n"/>
      <c r="AB713" s="38" t="n"/>
      <c r="AC713" s="14">
        <f>IFERROR(AVERAGEIFS($E$16:$E$736,$W$16:$W$736,"&gt;="&amp;W713-$C$5,$W$16:$W$736,"&lt;="&amp;W713+$C$5,$B$16:$B$736,B713,$A$16:$A$736,"&lt;&gt;"&amp;A713),"")</f>
        <v/>
      </c>
      <c r="AD713" s="14">
        <f>IF(AND(ISNUMBER(E713),ISNUMBER(AC713)),E713-AC713,"")</f>
        <v/>
      </c>
    </row>
    <row r="714">
      <c r="A714" s="17" t="n">
        <v>45557</v>
      </c>
      <c r="B714" s="29">
        <f>MONTH(A714)</f>
        <v/>
      </c>
      <c r="C714" s="29">
        <f>IF(AND(ISNUMBER(W714),ISNUMBER($C$4),ABS(W714-$C$4)&lt;=$C$5,ABS(MOD(B714-$C$6+6,12)-6)&lt;=$C$7,OR($C$8="Any",P714=$C$8)),1,0)</f>
        <v/>
      </c>
      <c r="D714" s="29">
        <f>IF(C714=1,COUNTIF($C$16:C714,1),"")</f>
        <v/>
      </c>
      <c r="E714" s="18" t="n">
        <v>19.65</v>
      </c>
      <c r="F714" s="18" t="n">
        <v>29.04</v>
      </c>
      <c r="G714" s="18" t="n">
        <v>0.88</v>
      </c>
      <c r="H714" s="38" t="n"/>
      <c r="I714" s="38" t="n"/>
      <c r="J714" s="13" t="n">
        <v>9825</v>
      </c>
      <c r="K714" s="13" t="n">
        <v>9329.75</v>
      </c>
      <c r="L714" s="13" t="n">
        <v>1457.75</v>
      </c>
      <c r="M714" s="13" t="n">
        <v>1713.92</v>
      </c>
      <c r="N714" s="13" t="n">
        <v>3364</v>
      </c>
      <c r="O714" s="38" t="n">
        <v>50.95</v>
      </c>
      <c r="P714" s="39" t="inlineStr">
        <is>
          <t>Windy</t>
        </is>
      </c>
      <c r="Q714" s="13" t="n">
        <v>1201</v>
      </c>
      <c r="R714" s="13" t="n">
        <v>767.5700000000001</v>
      </c>
      <c r="S714" s="13" t="n">
        <v>-688.5</v>
      </c>
      <c r="T714" s="13" t="n">
        <v>8799.48</v>
      </c>
      <c r="U714" s="13" t="n">
        <v>997.22</v>
      </c>
      <c r="V714" s="13" t="n">
        <v>240.88</v>
      </c>
      <c r="W714" s="13" t="n">
        <v>809.0700000000001</v>
      </c>
      <c r="X714" s="13" t="n">
        <v>1980.75</v>
      </c>
      <c r="Y714" s="13" t="n">
        <v>816.83</v>
      </c>
      <c r="Z714" s="19" t="n"/>
      <c r="AA714" s="18" t="n"/>
      <c r="AB714" s="38" t="n"/>
      <c r="AC714" s="14">
        <f>IFERROR(AVERAGEIFS($E$16:$E$736,$W$16:$W$736,"&gt;="&amp;W714-$C$5,$W$16:$W$736,"&lt;="&amp;W714+$C$5,$B$16:$B$736,B714,$A$16:$A$736,"&lt;&gt;"&amp;A714),"")</f>
        <v/>
      </c>
      <c r="AD714" s="14">
        <f>IF(AND(ISNUMBER(E714),ISNUMBER(AC714)),E714-AC714,"")</f>
        <v/>
      </c>
    </row>
    <row r="715">
      <c r="A715" s="17" t="n">
        <v>45556</v>
      </c>
      <c r="B715" s="29">
        <f>MONTH(A715)</f>
        <v/>
      </c>
      <c r="C715" s="29">
        <f>IF(AND(ISNUMBER(W715),ISNUMBER($C$4),ABS(W715-$C$4)&lt;=$C$5,ABS(MOD(B715-$C$6+6,12)-6)&lt;=$C$7,OR($C$8="Any",P715=$C$8)),1,0)</f>
        <v/>
      </c>
      <c r="D715" s="29">
        <f>IF(C715=1,COUNTIF($C$16:C715,1),"")</f>
        <v/>
      </c>
      <c r="E715" s="18" t="n">
        <v>13.73</v>
      </c>
      <c r="F715" s="18" t="n">
        <v>12.99</v>
      </c>
      <c r="G715" s="18" t="n">
        <v>15.22</v>
      </c>
      <c r="H715" s="38" t="n"/>
      <c r="I715" s="38" t="n"/>
      <c r="J715" s="13" t="n">
        <v>9402</v>
      </c>
      <c r="K715" s="13" t="n">
        <v>9168.190000000001</v>
      </c>
      <c r="L715" s="13" t="n">
        <v>945.4400000000001</v>
      </c>
      <c r="M715" s="13" t="n">
        <v>1109.33</v>
      </c>
      <c r="N715" s="13" t="n">
        <v>3364</v>
      </c>
      <c r="O715" s="38" t="n">
        <v>32.98</v>
      </c>
      <c r="P715" s="39" t="inlineStr">
        <is>
          <t>Windy</t>
        </is>
      </c>
      <c r="Q715" s="13" t="n">
        <v>1355</v>
      </c>
      <c r="R715" s="13" t="n">
        <v>772.64</v>
      </c>
      <c r="S715" s="13" t="n">
        <v>-461.67</v>
      </c>
      <c r="T715" s="13" t="n">
        <v>8701.549999999999</v>
      </c>
      <c r="U715" s="13" t="n">
        <v>998.6</v>
      </c>
      <c r="V715" s="13" t="n">
        <v>280.1</v>
      </c>
      <c r="W715" s="13" t="n">
        <v>1469.63</v>
      </c>
      <c r="X715" s="13" t="n">
        <v>2005.77</v>
      </c>
      <c r="Y715" s="13" t="n">
        <v>1414.99</v>
      </c>
      <c r="Z715" s="19" t="n"/>
      <c r="AA715" s="18" t="n"/>
      <c r="AB715" s="38" t="n"/>
      <c r="AC715" s="14">
        <f>IFERROR(AVERAGEIFS($E$16:$E$736,$W$16:$W$736,"&gt;="&amp;W715-$C$5,$W$16:$W$736,"&lt;="&amp;W715+$C$5,$B$16:$B$736,B715,$A$16:$A$736,"&lt;&gt;"&amp;A715),"")</f>
        <v/>
      </c>
      <c r="AD715" s="14">
        <f>IF(AND(ISNUMBER(E715),ISNUMBER(AC715)),E715-AC715,"")</f>
        <v/>
      </c>
    </row>
    <row r="716">
      <c r="A716" s="17" t="n">
        <v>45555</v>
      </c>
      <c r="B716" s="29">
        <f>MONTH(A716)</f>
        <v/>
      </c>
      <c r="C716" s="29">
        <f>IF(AND(ISNUMBER(W716),ISNUMBER($C$4),ABS(W716-$C$4)&lt;=$C$5,ABS(MOD(B716-$C$6+6,12)-6)&lt;=$C$7,OR($C$8="Any",P716=$C$8)),1,0)</f>
        <v/>
      </c>
      <c r="D716" s="29">
        <f>IF(C716=1,COUNTIF($C$16:C716,1),"")</f>
        <v/>
      </c>
      <c r="E716" s="18" t="n">
        <v>27.91</v>
      </c>
      <c r="F716" s="18" t="n">
        <v>33.49</v>
      </c>
      <c r="G716" s="18" t="n">
        <v>16.74</v>
      </c>
      <c r="H716" s="38" t="n"/>
      <c r="I716" s="38" t="n"/>
      <c r="J716" s="13" t="n">
        <v>9860</v>
      </c>
      <c r="K716" s="13" t="n">
        <v>9643.940000000001</v>
      </c>
      <c r="L716" s="13" t="n">
        <v>1417.69</v>
      </c>
      <c r="M716" s="13" t="n">
        <v>1514.54</v>
      </c>
      <c r="N716" s="13" t="n">
        <v>3364</v>
      </c>
      <c r="O716" s="38" t="n">
        <v>45.02</v>
      </c>
      <c r="P716" s="39" t="inlineStr">
        <is>
          <t>Windy</t>
        </is>
      </c>
      <c r="Q716" s="13" t="n">
        <v>482</v>
      </c>
      <c r="R716" s="13" t="n">
        <v>770.48</v>
      </c>
      <c r="S716" s="13" t="n">
        <v>-248.08</v>
      </c>
      <c r="T716" s="13" t="n">
        <v>8663.25</v>
      </c>
      <c r="U716" s="13" t="n">
        <v>967.29</v>
      </c>
      <c r="V716" s="13" t="n">
        <v>662.62</v>
      </c>
      <c r="W716" s="13" t="n">
        <v>359.6</v>
      </c>
      <c r="X716" s="13" t="n">
        <v>1636.88</v>
      </c>
      <c r="Y716" s="13" t="n">
        <v>329.72</v>
      </c>
      <c r="Z716" s="19" t="n"/>
      <c r="AA716" s="18" t="n"/>
      <c r="AB716" s="38" t="n"/>
      <c r="AC716" s="14">
        <f>IFERROR(AVERAGEIFS($E$16:$E$736,$W$16:$W$736,"&gt;="&amp;W716-$C$5,$W$16:$W$736,"&lt;="&amp;W716+$C$5,$B$16:$B$736,B716,$A$16:$A$736,"&lt;&gt;"&amp;A716),"")</f>
        <v/>
      </c>
      <c r="AD716" s="14">
        <f>IF(AND(ISNUMBER(E716),ISNUMBER(AC716)),E716-AC716,"")</f>
        <v/>
      </c>
    </row>
    <row r="717">
      <c r="A717" s="17" t="n">
        <v>45554</v>
      </c>
      <c r="B717" s="29">
        <f>MONTH(A717)</f>
        <v/>
      </c>
      <c r="C717" s="29">
        <f>IF(AND(ISNUMBER(W717),ISNUMBER($C$4),ABS(W717-$C$4)&lt;=$C$5,ABS(MOD(B717-$C$6+6,12)-6)&lt;=$C$7,OR($C$8="Any",P717=$C$8)),1,0)</f>
        <v/>
      </c>
      <c r="D717" s="29">
        <f>IF(C717=1,COUNTIF($C$16:C717,1),"")</f>
        <v/>
      </c>
      <c r="E717" s="18" t="n">
        <v>16.45</v>
      </c>
      <c r="F717" s="18" t="n">
        <v>19.1</v>
      </c>
      <c r="G717" s="18" t="n">
        <v>11.14</v>
      </c>
      <c r="H717" s="38" t="n"/>
      <c r="I717" s="38" t="n"/>
      <c r="J717" s="13" t="n">
        <v>9763</v>
      </c>
      <c r="K717" s="13" t="n">
        <v>9500.379999999999</v>
      </c>
      <c r="L717" s="13" t="n">
        <v>942.62</v>
      </c>
      <c r="M717" s="13" t="n">
        <v>1251.79</v>
      </c>
      <c r="N717" s="13" t="n">
        <v>3364</v>
      </c>
      <c r="O717" s="38" t="n">
        <v>37.21</v>
      </c>
      <c r="P717" s="39" t="inlineStr">
        <is>
          <t>Windy</t>
        </is>
      </c>
      <c r="Q717" s="13" t="n">
        <v>1266</v>
      </c>
      <c r="R717" s="13" t="n">
        <v>720.23</v>
      </c>
      <c r="S717" s="13" t="n">
        <v>-259</v>
      </c>
      <c r="T717" s="13" t="n">
        <v>8771.969999999999</v>
      </c>
      <c r="U717" s="13" t="n">
        <v>970.92</v>
      </c>
      <c r="V717" s="13" t="n">
        <v>395.68</v>
      </c>
      <c r="W717" s="13" t="n">
        <v>1069.31</v>
      </c>
      <c r="X717" s="13" t="n">
        <v>1914.09</v>
      </c>
      <c r="Y717" s="13" t="n">
        <v>1065</v>
      </c>
      <c r="Z717" s="19" t="n"/>
      <c r="AA717" s="18" t="n"/>
      <c r="AB717" s="38" t="n"/>
      <c r="AC717" s="14">
        <f>IFERROR(AVERAGEIFS($E$16:$E$736,$W$16:$W$736,"&gt;="&amp;W717-$C$5,$W$16:$W$736,"&lt;="&amp;W717+$C$5,$B$16:$B$736,B717,$A$16:$A$736,"&lt;&gt;"&amp;A717),"")</f>
        <v/>
      </c>
      <c r="AD717" s="14">
        <f>IF(AND(ISNUMBER(E717),ISNUMBER(AC717)),E717-AC717,"")</f>
        <v/>
      </c>
    </row>
    <row r="718">
      <c r="A718" s="17" t="n">
        <v>45553</v>
      </c>
      <c r="B718" s="29">
        <f>MONTH(A718)</f>
        <v/>
      </c>
      <c r="C718" s="29">
        <f>IF(AND(ISNUMBER(W718),ISNUMBER($C$4),ABS(W718-$C$4)&lt;=$C$5,ABS(MOD(B718-$C$6+6,12)-6)&lt;=$C$7,OR($C$8="Any",P718=$C$8)),1,0)</f>
        <v/>
      </c>
      <c r="D718" s="29">
        <f>IF(C718=1,COUNTIF($C$16:C718,1),"")</f>
        <v/>
      </c>
      <c r="E718" s="18" t="n">
        <v>36.47</v>
      </c>
      <c r="F718" s="18" t="n">
        <v>9.43</v>
      </c>
      <c r="G718" s="18" t="n">
        <v>90.56999999999999</v>
      </c>
      <c r="H718" s="38" t="n"/>
      <c r="I718" s="38" t="n"/>
      <c r="J718" s="13" t="n">
        <v>10014</v>
      </c>
      <c r="K718" s="13" t="n">
        <v>9660.5</v>
      </c>
      <c r="L718" s="13" t="n">
        <v>2413.75</v>
      </c>
      <c r="M718" s="13" t="n">
        <v>1975.58</v>
      </c>
      <c r="N718" s="13" t="n">
        <v>3364</v>
      </c>
      <c r="O718" s="38" t="n">
        <v>58.73</v>
      </c>
      <c r="P718" s="39" t="inlineStr">
        <is>
          <t>Windy</t>
        </is>
      </c>
      <c r="Q718" s="13" t="n">
        <v>1025</v>
      </c>
      <c r="R718" s="13" t="n">
        <v>698.62</v>
      </c>
      <c r="S718" s="13" t="n">
        <v>-698.46</v>
      </c>
      <c r="T718" s="13" t="n">
        <v>8846.15</v>
      </c>
      <c r="U718" s="13" t="n">
        <v>975.14</v>
      </c>
      <c r="V718" s="13" t="n">
        <v>448.4</v>
      </c>
      <c r="W718" s="13" t="n">
        <v>1931.45</v>
      </c>
      <c r="X718" s="13" t="n">
        <v>2523.04</v>
      </c>
      <c r="Y718" s="13" t="n">
        <v>1895.02</v>
      </c>
      <c r="Z718" s="19" t="n"/>
      <c r="AA718" s="18" t="n"/>
      <c r="AB718" s="38" t="n"/>
      <c r="AC718" s="14">
        <f>IFERROR(AVERAGEIFS($E$16:$E$736,$W$16:$W$736,"&gt;="&amp;W718-$C$5,$W$16:$W$736,"&lt;="&amp;W718+$C$5,$B$16:$B$736,B718,$A$16:$A$736,"&lt;&gt;"&amp;A718),"")</f>
        <v/>
      </c>
      <c r="AD718" s="14">
        <f>IF(AND(ISNUMBER(E718),ISNUMBER(AC718)),E718-AC718,"")</f>
        <v/>
      </c>
    </row>
    <row r="719">
      <c r="A719" s="17" t="n">
        <v>45552</v>
      </c>
      <c r="B719" s="29">
        <f>MONTH(A719)</f>
        <v/>
      </c>
      <c r="C719" s="29">
        <f>IF(AND(ISNUMBER(W719),ISNUMBER($C$4),ABS(W719-$C$4)&lt;=$C$5,ABS(MOD(B719-$C$6+6,12)-6)&lt;=$C$7,OR($C$8="Any",P719=$C$8)),1,0)</f>
        <v/>
      </c>
      <c r="D719" s="29">
        <f>IF(C719=1,COUNTIF($C$16:C719,1),"")</f>
        <v/>
      </c>
      <c r="E719" s="18" t="n">
        <v>29.62</v>
      </c>
      <c r="F719" s="18" t="n">
        <v>29.38</v>
      </c>
      <c r="G719" s="18" t="n">
        <v>30.1</v>
      </c>
      <c r="H719" s="38" t="n"/>
      <c r="I719" s="38" t="n"/>
      <c r="J719" s="13" t="n">
        <v>9809</v>
      </c>
      <c r="K719" s="13" t="n">
        <v>9466.25</v>
      </c>
      <c r="L719" s="13" t="n">
        <v>478.69</v>
      </c>
      <c r="M719" s="13" t="n">
        <v>440.04</v>
      </c>
      <c r="N719" s="13" t="n">
        <v>3364</v>
      </c>
      <c r="O719" s="38" t="n">
        <v>13.08</v>
      </c>
      <c r="P719" s="39" t="inlineStr">
        <is>
          <t>Calm</t>
        </is>
      </c>
      <c r="Q719" s="13" t="n">
        <v>888</v>
      </c>
      <c r="R719" s="13" t="n">
        <v>649.1900000000001</v>
      </c>
      <c r="S719" s="13" t="n">
        <v>-9.67</v>
      </c>
      <c r="T719" s="13" t="n">
        <v>8744.219999999999</v>
      </c>
      <c r="U719" s="13" t="n">
        <v>948.15</v>
      </c>
      <c r="V719" s="13" t="n">
        <v>304.72</v>
      </c>
      <c r="W719" s="13" t="n">
        <v>870.86</v>
      </c>
      <c r="X719" s="13" t="n">
        <v>1301.51</v>
      </c>
      <c r="Y719" s="13" t="n">
        <v>725.98</v>
      </c>
      <c r="Z719" s="19" t="n"/>
      <c r="AA719" s="18" t="n"/>
      <c r="AB719" s="38" t="n"/>
      <c r="AC719" s="14">
        <f>IFERROR(AVERAGEIFS($E$16:$E$736,$W$16:$W$736,"&gt;="&amp;W719-$C$5,$W$16:$W$736,"&lt;="&amp;W719+$C$5,$B$16:$B$736,B719,$A$16:$A$736,"&lt;&gt;"&amp;A719),"")</f>
        <v/>
      </c>
      <c r="AD719" s="14">
        <f>IF(AND(ISNUMBER(E719),ISNUMBER(AC719)),E719-AC719,"")</f>
        <v/>
      </c>
    </row>
    <row r="720">
      <c r="A720" s="17" t="n">
        <v>45551</v>
      </c>
      <c r="B720" s="29">
        <f>MONTH(A720)</f>
        <v/>
      </c>
      <c r="C720" s="29">
        <f>IF(AND(ISNUMBER(W720),ISNUMBER($C$4),ABS(W720-$C$4)&lt;=$C$5,ABS(MOD(B720-$C$6+6,12)-6)&lt;=$C$7,OR($C$8="Any",P720=$C$8)),1,0)</f>
        <v/>
      </c>
      <c r="D720" s="29">
        <f>IF(C720=1,COUNTIF($C$16:C720,1),"")</f>
        <v/>
      </c>
      <c r="E720" s="18" t="n">
        <v>40.67</v>
      </c>
      <c r="F720" s="18" t="n">
        <v>48.7</v>
      </c>
      <c r="G720" s="18" t="n">
        <v>24.63</v>
      </c>
      <c r="H720" s="38" t="n"/>
      <c r="I720" s="38" t="n"/>
      <c r="J720" s="13" t="n">
        <v>10073</v>
      </c>
      <c r="K720" s="13" t="n">
        <v>9575.440000000001</v>
      </c>
      <c r="L720" s="13" t="n">
        <v>343.62</v>
      </c>
      <c r="M720" s="13" t="n">
        <v>345.38</v>
      </c>
      <c r="N720" s="13" t="n">
        <v>3364</v>
      </c>
      <c r="O720" s="38" t="n">
        <v>10.27</v>
      </c>
      <c r="P720" s="39" t="inlineStr">
        <is>
          <t>Calm</t>
        </is>
      </c>
      <c r="Q720" s="13" t="n">
        <v>1388</v>
      </c>
      <c r="R720" s="13" t="n">
        <v>495.5</v>
      </c>
      <c r="S720" s="13" t="n">
        <v>-2.42</v>
      </c>
      <c r="T720" s="13" t="n">
        <v>8672.18</v>
      </c>
      <c r="U720" s="13" t="n">
        <v>979.02</v>
      </c>
      <c r="V720" s="13" t="n">
        <v>171.6</v>
      </c>
      <c r="W720" s="13" t="n">
        <v>727.9400000000001</v>
      </c>
      <c r="X720" s="13" t="n">
        <v>1443.07</v>
      </c>
      <c r="Y720" s="13" t="n">
        <v>375.69</v>
      </c>
      <c r="Z720" s="19" t="n"/>
      <c r="AA720" s="18" t="n"/>
      <c r="AB720" s="38" t="n"/>
      <c r="AC720" s="14">
        <f>IFERROR(AVERAGEIFS($E$16:$E$736,$W$16:$W$736,"&gt;="&amp;W720-$C$5,$W$16:$W$736,"&lt;="&amp;W720+$C$5,$B$16:$B$736,B720,$A$16:$A$736,"&lt;&gt;"&amp;A720),"")</f>
        <v/>
      </c>
      <c r="AD720" s="14">
        <f>IF(AND(ISNUMBER(E720),ISNUMBER(AC720)),E720-AC720,"")</f>
        <v/>
      </c>
    </row>
    <row r="721">
      <c r="A721" s="17" t="n">
        <v>45550</v>
      </c>
      <c r="B721" s="29">
        <f>MONTH(A721)</f>
        <v/>
      </c>
      <c r="C721" s="29">
        <f>IF(AND(ISNUMBER(W721),ISNUMBER($C$4),ABS(W721-$C$4)&lt;=$C$5,ABS(MOD(B721-$C$6+6,12)-6)&lt;=$C$7,OR($C$8="Any",P721=$C$8)),1,0)</f>
        <v/>
      </c>
      <c r="D721" s="29">
        <f>IF(C721=1,COUNTIF($C$16:C721,1),"")</f>
        <v/>
      </c>
      <c r="E721" s="18" t="n">
        <v>26.3</v>
      </c>
      <c r="F721" s="18" t="n">
        <v>25.15</v>
      </c>
      <c r="G721" s="18" t="n">
        <v>28.59</v>
      </c>
      <c r="H721" s="38" t="n"/>
      <c r="I721" s="38" t="n"/>
      <c r="J721" s="13" t="n">
        <v>9580</v>
      </c>
      <c r="K721" s="13" t="n">
        <v>9176.309999999999</v>
      </c>
      <c r="L721" s="13" t="n">
        <v>160.94</v>
      </c>
      <c r="M721" s="13" t="n">
        <v>379.25</v>
      </c>
      <c r="N721" s="13" t="n">
        <v>3364</v>
      </c>
      <c r="O721" s="38" t="n">
        <v>11.27</v>
      </c>
      <c r="P721" s="39" t="inlineStr">
        <is>
          <t>Calm</t>
        </is>
      </c>
      <c r="Q721" s="13" t="n">
        <v>1343</v>
      </c>
      <c r="R721" s="13" t="n">
        <v>762.14</v>
      </c>
      <c r="S721" s="13" t="n">
        <v>-153.46</v>
      </c>
      <c r="T721" s="13" t="n">
        <v>8844.59</v>
      </c>
      <c r="U721" s="13" t="n">
        <v>962.98</v>
      </c>
      <c r="V721" s="13" t="n">
        <v>299.44</v>
      </c>
      <c r="W721" s="13" t="n">
        <v>662.0700000000001</v>
      </c>
      <c r="X721" s="13" t="n">
        <v>1603.91</v>
      </c>
      <c r="Y721" s="13" t="n">
        <v>645.99</v>
      </c>
      <c r="Z721" s="19" t="n"/>
      <c r="AA721" s="18" t="n"/>
      <c r="AB721" s="38" t="n"/>
      <c r="AC721" s="14">
        <f>IFERROR(AVERAGEIFS($E$16:$E$736,$W$16:$W$736,"&gt;="&amp;W721-$C$5,$W$16:$W$736,"&lt;="&amp;W721+$C$5,$B$16:$B$736,B721,$A$16:$A$736,"&lt;&gt;"&amp;A721),"")</f>
        <v/>
      </c>
      <c r="AD721" s="14">
        <f>IF(AND(ISNUMBER(E721),ISNUMBER(AC721)),E721-AC721,"")</f>
        <v/>
      </c>
    </row>
    <row r="722">
      <c r="A722" s="17" t="n">
        <v>45549</v>
      </c>
      <c r="B722" s="29">
        <f>MONTH(A722)</f>
        <v/>
      </c>
      <c r="C722" s="29">
        <f>IF(AND(ISNUMBER(W722),ISNUMBER($C$4),ABS(W722-$C$4)&lt;=$C$5,ABS(MOD(B722-$C$6+6,12)-6)&lt;=$C$7,OR($C$8="Any",P722=$C$8)),1,0)</f>
        <v/>
      </c>
      <c r="D722" s="29">
        <f>IF(C722=1,COUNTIF($C$16:C722,1),"")</f>
        <v/>
      </c>
      <c r="E722" s="18" t="n">
        <v>16.06</v>
      </c>
      <c r="F722" s="18" t="n">
        <v>14.79</v>
      </c>
      <c r="G722" s="18" t="n">
        <v>18.61</v>
      </c>
      <c r="H722" s="38" t="n"/>
      <c r="I722" s="38" t="n"/>
      <c r="J722" s="13" t="n">
        <v>9555</v>
      </c>
      <c r="K722" s="13" t="n">
        <v>9193</v>
      </c>
      <c r="L722" s="13" t="n">
        <v>1764</v>
      </c>
      <c r="M722" s="13" t="n">
        <v>1728.29</v>
      </c>
      <c r="N722" s="13" t="n">
        <v>3364</v>
      </c>
      <c r="O722" s="38" t="n">
        <v>51.38</v>
      </c>
      <c r="P722" s="39" t="inlineStr">
        <is>
          <t>Windy</t>
        </is>
      </c>
      <c r="Q722" s="13" t="n">
        <v>975</v>
      </c>
      <c r="R722" s="13" t="n">
        <v>794.99</v>
      </c>
      <c r="S722" s="13" t="n">
        <v>-479.25</v>
      </c>
      <c r="T722" s="13" t="n">
        <v>8622.360000000001</v>
      </c>
      <c r="U722" s="13" t="n">
        <v>1007.83</v>
      </c>
      <c r="V722" s="13" t="n">
        <v>220.26</v>
      </c>
      <c r="W722" s="13" t="n">
        <v>1873.4</v>
      </c>
      <c r="X722" s="13" t="n">
        <v>2523.42</v>
      </c>
      <c r="Y722" s="13" t="n">
        <v>1909.48</v>
      </c>
      <c r="Z722" s="19" t="n"/>
      <c r="AA722" s="18" t="n"/>
      <c r="AB722" s="38" t="n"/>
      <c r="AC722" s="14">
        <f>IFERROR(AVERAGEIFS($E$16:$E$736,$W$16:$W$736,"&gt;="&amp;W722-$C$5,$W$16:$W$736,"&lt;="&amp;W722+$C$5,$B$16:$B$736,B722,$A$16:$A$736,"&lt;&gt;"&amp;A722),"")</f>
        <v/>
      </c>
      <c r="AD722" s="14">
        <f>IF(AND(ISNUMBER(E722),ISNUMBER(AC722)),E722-AC722,"")</f>
        <v/>
      </c>
    </row>
    <row r="723">
      <c r="A723" s="17" t="n">
        <v>45548</v>
      </c>
      <c r="B723" s="29">
        <f>MONTH(A723)</f>
        <v/>
      </c>
      <c r="C723" s="29">
        <f>IF(AND(ISNUMBER(W723),ISNUMBER($C$4),ABS(W723-$C$4)&lt;=$C$5,ABS(MOD(B723-$C$6+6,12)-6)&lt;=$C$7,OR($C$8="Any",P723=$C$8)),1,0)</f>
        <v/>
      </c>
      <c r="D723" s="29">
        <f>IF(C723=1,COUNTIF($C$16:C723,1),"")</f>
        <v/>
      </c>
      <c r="E723" s="18" t="n">
        <v>17.58</v>
      </c>
      <c r="F723" s="18" t="n">
        <v>25.59</v>
      </c>
      <c r="G723" s="18" t="n">
        <v>1.56</v>
      </c>
      <c r="H723" s="38" t="n"/>
      <c r="I723" s="38" t="n"/>
      <c r="J723" s="13" t="n">
        <v>9807</v>
      </c>
      <c r="K723" s="13" t="n">
        <v>9527.75</v>
      </c>
      <c r="L723" s="13" t="n">
        <v>2101.56</v>
      </c>
      <c r="M723" s="13" t="n">
        <v>2153.25</v>
      </c>
      <c r="N723" s="13" t="n">
        <v>3364</v>
      </c>
      <c r="O723" s="38" t="n">
        <v>64.01000000000001</v>
      </c>
      <c r="P723" s="39" t="inlineStr">
        <is>
          <t>Windy</t>
        </is>
      </c>
      <c r="Q723" s="13" t="n">
        <v>1003</v>
      </c>
      <c r="R723" s="13" t="n">
        <v>795.1799999999999</v>
      </c>
      <c r="S723" s="13" t="n">
        <v>-385.96</v>
      </c>
      <c r="T723" s="13" t="n">
        <v>8452.51</v>
      </c>
      <c r="U723" s="13" t="n">
        <v>1086.58</v>
      </c>
      <c r="V723" s="13" t="n">
        <v>312.97</v>
      </c>
      <c r="W723" s="13" t="n">
        <v>1022.15</v>
      </c>
      <c r="X723" s="13" t="n">
        <v>2369.41</v>
      </c>
      <c r="Y723" s="13" t="n">
        <v>913.4400000000001</v>
      </c>
      <c r="Z723" s="19" t="n"/>
      <c r="AA723" s="18" t="n"/>
      <c r="AB723" s="38" t="n"/>
      <c r="AC723" s="14">
        <f>IFERROR(AVERAGEIFS($E$16:$E$736,$W$16:$W$736,"&gt;="&amp;W723-$C$5,$W$16:$W$736,"&lt;="&amp;W723+$C$5,$B$16:$B$736,B723,$A$16:$A$736,"&lt;&gt;"&amp;A723),"")</f>
        <v/>
      </c>
      <c r="AD723" s="14">
        <f>IF(AND(ISNUMBER(E723),ISNUMBER(AC723)),E723-AC723,"")</f>
        <v/>
      </c>
    </row>
    <row r="724">
      <c r="A724" s="17" t="n">
        <v>45547</v>
      </c>
      <c r="B724" s="29">
        <f>MONTH(A724)</f>
        <v/>
      </c>
      <c r="C724" s="29">
        <f>IF(AND(ISNUMBER(W724),ISNUMBER($C$4),ABS(W724-$C$4)&lt;=$C$5,ABS(MOD(B724-$C$6+6,12)-6)&lt;=$C$7,OR($C$8="Any",P724=$C$8)),1,0)</f>
        <v/>
      </c>
      <c r="D724" s="29">
        <f>IF(C724=1,COUNTIF($C$16:C724,1),"")</f>
        <v/>
      </c>
      <c r="E724" s="18" t="n">
        <v>17.96</v>
      </c>
      <c r="F724" s="18" t="n">
        <v>18.13</v>
      </c>
      <c r="G724" s="18" t="n">
        <v>17.61</v>
      </c>
      <c r="H724" s="38" t="n"/>
      <c r="I724" s="38" t="n"/>
      <c r="J724" s="13" t="n">
        <v>9917</v>
      </c>
      <c r="K724" s="13" t="n">
        <v>9528.559999999999</v>
      </c>
      <c r="L724" s="13" t="n">
        <v>2088.44</v>
      </c>
      <c r="M724" s="13" t="n">
        <v>1776.96</v>
      </c>
      <c r="N724" s="13" t="n">
        <v>3364</v>
      </c>
      <c r="O724" s="38" t="n">
        <v>52.82</v>
      </c>
      <c r="P724" s="39" t="inlineStr">
        <is>
          <t>Windy</t>
        </is>
      </c>
      <c r="Q724" s="13" t="n">
        <v>126</v>
      </c>
      <c r="R724" s="13" t="n">
        <v>737.92</v>
      </c>
      <c r="S724" s="13" t="n">
        <v>-387.79</v>
      </c>
      <c r="T724" s="13" t="n">
        <v>8660.190000000001</v>
      </c>
      <c r="U724" s="13" t="n">
        <v>1086.84</v>
      </c>
      <c r="V724" s="13" t="n">
        <v>47.51</v>
      </c>
      <c r="W724" s="13" t="n">
        <v>1224.52</v>
      </c>
      <c r="X724" s="13" t="n">
        <v>2130.08</v>
      </c>
      <c r="Y724" s="13" t="n">
        <v>858.78</v>
      </c>
      <c r="Z724" s="19" t="n"/>
      <c r="AA724" s="18" t="n"/>
      <c r="AB724" s="38" t="n"/>
      <c r="AC724" s="14">
        <f>IFERROR(AVERAGEIFS($E$16:$E$736,$W$16:$W$736,"&gt;="&amp;W724-$C$5,$W$16:$W$736,"&lt;="&amp;W724+$C$5,$B$16:$B$736,B724,$A$16:$A$736,"&lt;&gt;"&amp;A724),"")</f>
        <v/>
      </c>
      <c r="AD724" s="14">
        <f>IF(AND(ISNUMBER(E724),ISNUMBER(AC724)),E724-AC724,"")</f>
        <v/>
      </c>
    </row>
    <row r="725">
      <c r="A725" s="17" t="n">
        <v>45546</v>
      </c>
      <c r="B725" s="29">
        <f>MONTH(A725)</f>
        <v/>
      </c>
      <c r="C725" s="29">
        <f>IF(AND(ISNUMBER(W725),ISNUMBER($C$4),ABS(W725-$C$4)&lt;=$C$5,ABS(MOD(B725-$C$6+6,12)-6)&lt;=$C$7,OR($C$8="Any",P725=$C$8)),1,0)</f>
        <v/>
      </c>
      <c r="D725" s="29">
        <f>IF(C725=1,COUNTIF($C$16:C725,1),"")</f>
        <v/>
      </c>
      <c r="E725" s="18" t="n">
        <v>18.36</v>
      </c>
      <c r="F725" s="18" t="n">
        <v>21.37</v>
      </c>
      <c r="G725" s="18" t="n">
        <v>12.35</v>
      </c>
      <c r="H725" s="38" t="n"/>
      <c r="I725" s="38" t="n"/>
      <c r="J725" s="13" t="n">
        <v>9675</v>
      </c>
      <c r="K725" s="13" t="n">
        <v>9429.75</v>
      </c>
      <c r="L725" s="13" t="n">
        <v>1302.62</v>
      </c>
      <c r="M725" s="13" t="n">
        <v>1390.25</v>
      </c>
      <c r="N725" s="13" t="n">
        <v>3364</v>
      </c>
      <c r="O725" s="38" t="n">
        <v>41.33</v>
      </c>
      <c r="P725" s="39" t="inlineStr">
        <is>
          <t>Windy</t>
        </is>
      </c>
      <c r="Q725" s="13" t="n">
        <v>579</v>
      </c>
      <c r="R725" s="13" t="n">
        <v>788.66</v>
      </c>
      <c r="S725" s="13" t="n">
        <v>-393.71</v>
      </c>
      <c r="T725" s="13" t="n">
        <v>8570.23</v>
      </c>
      <c r="U725" s="13" t="n">
        <v>1084.85</v>
      </c>
      <c r="V725" s="13" t="n">
        <v>260.7</v>
      </c>
      <c r="W725" s="13" t="n">
        <v>1283.03</v>
      </c>
      <c r="X725" s="13" t="n">
        <v>1639.27</v>
      </c>
      <c r="Y725" s="13" t="n">
        <v>1172.73</v>
      </c>
      <c r="Z725" s="19" t="n"/>
      <c r="AA725" s="18" t="n"/>
      <c r="AB725" s="38" t="n"/>
      <c r="AC725" s="14">
        <f>IFERROR(AVERAGEIFS($E$16:$E$736,$W$16:$W$736,"&gt;="&amp;W725-$C$5,$W$16:$W$736,"&lt;="&amp;W725+$C$5,$B$16:$B$736,B725,$A$16:$A$736,"&lt;&gt;"&amp;A725),"")</f>
        <v/>
      </c>
      <c r="AD725" s="14">
        <f>IF(AND(ISNUMBER(E725),ISNUMBER(AC725)),E725-AC725,"")</f>
        <v/>
      </c>
    </row>
    <row r="726">
      <c r="A726" s="17" t="n">
        <v>45545</v>
      </c>
      <c r="B726" s="29">
        <f>MONTH(A726)</f>
        <v/>
      </c>
      <c r="C726" s="29">
        <f>IF(AND(ISNUMBER(W726),ISNUMBER($C$4),ABS(W726-$C$4)&lt;=$C$5,ABS(MOD(B726-$C$6+6,12)-6)&lt;=$C$7,OR($C$8="Any",P726=$C$8)),1,0)</f>
        <v/>
      </c>
      <c r="D726" s="29">
        <f>IF(C726=1,COUNTIF($C$16:C726,1),"")</f>
        <v/>
      </c>
      <c r="E726" s="18" t="n">
        <v>24.76</v>
      </c>
      <c r="F726" s="18" t="n">
        <v>29.57</v>
      </c>
      <c r="G726" s="18" t="n">
        <v>15.14</v>
      </c>
      <c r="H726" s="38" t="n"/>
      <c r="I726" s="38" t="n"/>
      <c r="J726" s="13" t="n">
        <v>9726</v>
      </c>
      <c r="K726" s="13" t="n">
        <v>9424.190000000001</v>
      </c>
      <c r="L726" s="13" t="n">
        <v>573.9400000000001</v>
      </c>
      <c r="M726" s="13" t="n">
        <v>781.62</v>
      </c>
      <c r="N726" s="13" t="n">
        <v>3364</v>
      </c>
      <c r="O726" s="38" t="n">
        <v>23.23</v>
      </c>
      <c r="P726" s="39" t="inlineStr">
        <is>
          <t>Windy</t>
        </is>
      </c>
      <c r="Q726" s="13" t="n">
        <v>1120</v>
      </c>
      <c r="R726" s="13" t="n">
        <v>797.49</v>
      </c>
      <c r="S726" s="13" t="n">
        <v>-118.29</v>
      </c>
      <c r="T726" s="13" t="n">
        <v>8656.530000000001</v>
      </c>
      <c r="U726" s="13" t="n">
        <v>1083.13</v>
      </c>
      <c r="V726" s="13" t="n">
        <v>44.03</v>
      </c>
      <c r="W726" s="13" t="n">
        <v>804.12</v>
      </c>
      <c r="X726" s="13" t="n">
        <v>1601.49</v>
      </c>
      <c r="Y726" s="13" t="n">
        <v>667.01</v>
      </c>
      <c r="Z726" s="19" t="n"/>
      <c r="AA726" s="18" t="n"/>
      <c r="AB726" s="38" t="n"/>
      <c r="AC726" s="14">
        <f>IFERROR(AVERAGEIFS($E$16:$E$736,$W$16:$W$736,"&gt;="&amp;W726-$C$5,$W$16:$W$736,"&lt;="&amp;W726+$C$5,$B$16:$B$736,B726,$A$16:$A$736,"&lt;&gt;"&amp;A726),"")</f>
        <v/>
      </c>
      <c r="AD726" s="14">
        <f>IF(AND(ISNUMBER(E726),ISNUMBER(AC726)),E726-AC726,"")</f>
        <v/>
      </c>
    </row>
    <row r="727">
      <c r="A727" s="17" t="n">
        <v>45544</v>
      </c>
      <c r="B727" s="29">
        <f>MONTH(A727)</f>
        <v/>
      </c>
      <c r="C727" s="29">
        <f>IF(AND(ISNUMBER(W727),ISNUMBER($C$4),ABS(W727-$C$4)&lt;=$C$5,ABS(MOD(B727-$C$6+6,12)-6)&lt;=$C$7,OR($C$8="Any",P727=$C$8)),1,0)</f>
        <v/>
      </c>
      <c r="D727" s="29">
        <f>IF(C727=1,COUNTIF($C$16:C727,1),"")</f>
        <v/>
      </c>
      <c r="E727" s="18" t="n">
        <v>6.18</v>
      </c>
      <c r="F727" s="18" t="n">
        <v>5.19</v>
      </c>
      <c r="G727" s="18" t="n">
        <v>8.17</v>
      </c>
      <c r="H727" s="38" t="n"/>
      <c r="I727" s="38" t="n"/>
      <c r="J727" s="13" t="n">
        <v>10269</v>
      </c>
      <c r="K727" s="13" t="n">
        <v>9923.690000000001</v>
      </c>
      <c r="L727" s="13" t="n">
        <v>2433</v>
      </c>
      <c r="M727" s="13" t="n">
        <v>2173.33</v>
      </c>
      <c r="N727" s="13" t="n">
        <v>3364</v>
      </c>
      <c r="O727" s="38" t="n">
        <v>64.61</v>
      </c>
      <c r="P727" s="39" t="inlineStr">
        <is>
          <t>Windy</t>
        </is>
      </c>
      <c r="Q727" s="13" t="n">
        <v>975</v>
      </c>
      <c r="R727" s="13" t="n">
        <v>798.49</v>
      </c>
      <c r="S727" s="13" t="n">
        <v>-555.58</v>
      </c>
      <c r="T727" s="13" t="n">
        <v>8569.309999999999</v>
      </c>
      <c r="U727" s="13" t="n">
        <v>1093.74</v>
      </c>
      <c r="V727" s="13" t="n">
        <v>370.26</v>
      </c>
      <c r="W727" s="13" t="n">
        <v>1794.76</v>
      </c>
      <c r="X727" s="13" t="n">
        <v>2225.9</v>
      </c>
      <c r="Y727" s="13" t="n">
        <v>1658.47</v>
      </c>
      <c r="Z727" s="19" t="n"/>
      <c r="AA727" s="18" t="n"/>
      <c r="AB727" s="38" t="n"/>
      <c r="AC727" s="14">
        <f>IFERROR(AVERAGEIFS($E$16:$E$736,$W$16:$W$736,"&gt;="&amp;W727-$C$5,$W$16:$W$736,"&lt;="&amp;W727+$C$5,$B$16:$B$736,B727,$A$16:$A$736,"&lt;&gt;"&amp;A727),"")</f>
        <v/>
      </c>
      <c r="AD727" s="14">
        <f>IF(AND(ISNUMBER(E727),ISNUMBER(AC727)),E727-AC727,"")</f>
        <v/>
      </c>
    </row>
    <row r="728">
      <c r="A728" s="17" t="n">
        <v>45543</v>
      </c>
      <c r="B728" s="29">
        <f>MONTH(A728)</f>
        <v/>
      </c>
      <c r="C728" s="29">
        <f>IF(AND(ISNUMBER(W728),ISNUMBER($C$4),ABS(W728-$C$4)&lt;=$C$5,ABS(MOD(B728-$C$6+6,12)-6)&lt;=$C$7,OR($C$8="Any",P728=$C$8)),1,0)</f>
        <v/>
      </c>
      <c r="D728" s="29">
        <f>IF(C728=1,COUNTIF($C$16:C728,1),"")</f>
        <v/>
      </c>
      <c r="E728" s="18" t="n">
        <v>52.87</v>
      </c>
      <c r="F728" s="18" t="n">
        <v>66.26000000000001</v>
      </c>
      <c r="G728" s="18" t="n">
        <v>26.09</v>
      </c>
      <c r="H728" s="38" t="n"/>
      <c r="I728" s="38" t="n"/>
      <c r="J728" s="13" t="n">
        <v>10658</v>
      </c>
      <c r="K728" s="13" t="n">
        <v>9966.5</v>
      </c>
      <c r="L728" s="13" t="n">
        <v>261.62</v>
      </c>
      <c r="M728" s="13" t="n">
        <v>321.62</v>
      </c>
      <c r="N728" s="13" t="n">
        <v>3364</v>
      </c>
      <c r="O728" s="38" t="n">
        <v>9.56</v>
      </c>
      <c r="P728" s="39" t="inlineStr">
        <is>
          <t>Calm</t>
        </is>
      </c>
      <c r="Q728" s="13" t="n">
        <v>1358</v>
      </c>
      <c r="R728" s="13" t="n">
        <v>801.77</v>
      </c>
      <c r="S728" s="13" t="n">
        <v>-77.33</v>
      </c>
      <c r="T728" s="13" t="n">
        <v>8785.709999999999</v>
      </c>
      <c r="U728" s="13" t="n">
        <v>1052.16</v>
      </c>
      <c r="V728" s="13" t="n">
        <v>77.25</v>
      </c>
      <c r="W728" s="13" t="n">
        <v>423.74</v>
      </c>
      <c r="X728" s="13" t="n">
        <v>1049.72</v>
      </c>
      <c r="Y728" s="13" t="n">
        <v>367.71</v>
      </c>
      <c r="Z728" s="19" t="n"/>
      <c r="AA728" s="18" t="n"/>
      <c r="AB728" s="38" t="n"/>
      <c r="AC728" s="14">
        <f>IFERROR(AVERAGEIFS($E$16:$E$736,$W$16:$W$736,"&gt;="&amp;W728-$C$5,$W$16:$W$736,"&lt;="&amp;W728+$C$5,$B$16:$B$736,B728,$A$16:$A$736,"&lt;&gt;"&amp;A728),"")</f>
        <v/>
      </c>
      <c r="AD728" s="14">
        <f>IF(AND(ISNUMBER(E728),ISNUMBER(AC728)),E728-AC728,"")</f>
        <v/>
      </c>
    </row>
    <row r="729">
      <c r="A729" s="17" t="n">
        <v>45542</v>
      </c>
      <c r="B729" s="29">
        <f>MONTH(A729)</f>
        <v/>
      </c>
      <c r="C729" s="29">
        <f>IF(AND(ISNUMBER(W729),ISNUMBER($C$4),ABS(W729-$C$4)&lt;=$C$5,ABS(MOD(B729-$C$6+6,12)-6)&lt;=$C$7,OR($C$8="Any",P729=$C$8)),1,0)</f>
        <v/>
      </c>
      <c r="D729" s="29">
        <f>IF(C729=1,COUNTIF($C$16:C729,1),"")</f>
        <v/>
      </c>
      <c r="E729" s="18" t="n">
        <v>117.55</v>
      </c>
      <c r="F729" s="18" t="n">
        <v>171.23</v>
      </c>
      <c r="G729" s="18" t="n">
        <v>10.21</v>
      </c>
      <c r="H729" s="38" t="n"/>
      <c r="I729" s="38" t="n"/>
      <c r="J729" s="13" t="n">
        <v>10850</v>
      </c>
      <c r="K729" s="13" t="n">
        <v>10113.56</v>
      </c>
      <c r="L729" s="13" t="n">
        <v>446.81</v>
      </c>
      <c r="M729" s="13" t="n">
        <v>828.04</v>
      </c>
      <c r="N729" s="13" t="n">
        <v>3364</v>
      </c>
      <c r="O729" s="38" t="n">
        <v>24.61</v>
      </c>
      <c r="P729" s="39" t="inlineStr">
        <is>
          <t>Windy</t>
        </is>
      </c>
      <c r="Q729" s="13" t="n">
        <v>1403</v>
      </c>
      <c r="R729" s="13" t="n">
        <v>802.0700000000001</v>
      </c>
      <c r="S729" s="13" t="n">
        <v>-88.95999999999999</v>
      </c>
      <c r="T729" s="13" t="n">
        <v>8593.719999999999</v>
      </c>
      <c r="U729" s="13" t="n">
        <v>1074.42</v>
      </c>
      <c r="V729" s="13" t="n">
        <v>66.56</v>
      </c>
      <c r="W729" s="13" t="n">
        <v>416.63</v>
      </c>
      <c r="X729" s="13" t="n">
        <v>1144.93</v>
      </c>
      <c r="Y729" s="13" t="n">
        <v>340.05</v>
      </c>
      <c r="Z729" s="19" t="n"/>
      <c r="AA729" s="18" t="n"/>
      <c r="AB729" s="38" t="n"/>
      <c r="AC729" s="14">
        <f>IFERROR(AVERAGEIFS($E$16:$E$736,$W$16:$W$736,"&gt;="&amp;W729-$C$5,$W$16:$W$736,"&lt;="&amp;W729+$C$5,$B$16:$B$736,B729,$A$16:$A$736,"&lt;&gt;"&amp;A729),"")</f>
        <v/>
      </c>
      <c r="AD729" s="14">
        <f>IF(AND(ISNUMBER(E729),ISNUMBER(AC729)),E729-AC729,"")</f>
        <v/>
      </c>
    </row>
    <row r="730">
      <c r="A730" s="17" t="n">
        <v>45541</v>
      </c>
      <c r="B730" s="29">
        <f>MONTH(A730)</f>
        <v/>
      </c>
      <c r="C730" s="29">
        <f>IF(AND(ISNUMBER(W730),ISNUMBER($C$4),ABS(W730-$C$4)&lt;=$C$5,ABS(MOD(B730-$C$6+6,12)-6)&lt;=$C$7,OR($C$8="Any",P730=$C$8)),1,0)</f>
        <v/>
      </c>
      <c r="D730" s="29">
        <f>IF(C730=1,COUNTIF($C$16:C730,1),"")</f>
        <v/>
      </c>
      <c r="E730" s="18" t="n">
        <v>69.16</v>
      </c>
      <c r="F730" s="18" t="n">
        <v>94.68000000000001</v>
      </c>
      <c r="G730" s="18" t="n">
        <v>18.11</v>
      </c>
      <c r="H730" s="38" t="n"/>
      <c r="I730" s="38" t="n"/>
      <c r="J730" s="13" t="n">
        <v>11096</v>
      </c>
      <c r="K730" s="13" t="n">
        <v>10482.75</v>
      </c>
      <c r="L730" s="13" t="n">
        <v>1020.81</v>
      </c>
      <c r="M730" s="13" t="n">
        <v>1160.54</v>
      </c>
      <c r="N730" s="13" t="n">
        <v>3364</v>
      </c>
      <c r="O730" s="38" t="n">
        <v>34.5</v>
      </c>
      <c r="P730" s="39" t="inlineStr">
        <is>
          <t>Windy</t>
        </is>
      </c>
      <c r="Q730" s="13" t="n">
        <v>1422</v>
      </c>
      <c r="R730" s="13" t="n">
        <v>797.9299999999999</v>
      </c>
      <c r="S730" s="13" t="n">
        <v>-259.04</v>
      </c>
      <c r="T730" s="13" t="n">
        <v>8896.370000000001</v>
      </c>
      <c r="U730" s="13" t="n">
        <v>1049.92</v>
      </c>
      <c r="V730" s="13" t="n">
        <v>347.87</v>
      </c>
      <c r="W730" s="13" t="n">
        <v>546.13</v>
      </c>
      <c r="X730" s="13" t="n">
        <v>1388.77</v>
      </c>
      <c r="Y730" s="13" t="n">
        <v>508.12</v>
      </c>
      <c r="Z730" s="19" t="n"/>
      <c r="AA730" s="18" t="n"/>
      <c r="AB730" s="38" t="n"/>
      <c r="AC730" s="14">
        <f>IFERROR(AVERAGEIFS($E$16:$E$736,$W$16:$W$736,"&gt;="&amp;W730-$C$5,$W$16:$W$736,"&lt;="&amp;W730+$C$5,$B$16:$B$736,B730,$A$16:$A$736,"&lt;&gt;"&amp;A730),"")</f>
        <v/>
      </c>
      <c r="AD730" s="14">
        <f>IF(AND(ISNUMBER(E730),ISNUMBER(AC730)),E730-AC730,"")</f>
        <v/>
      </c>
    </row>
    <row r="731">
      <c r="A731" s="17" t="n">
        <v>45540</v>
      </c>
      <c r="B731" s="29">
        <f>MONTH(A731)</f>
        <v/>
      </c>
      <c r="C731" s="29">
        <f>IF(AND(ISNUMBER(W731),ISNUMBER($C$4),ABS(W731-$C$4)&lt;=$C$5,ABS(MOD(B731-$C$6+6,12)-6)&lt;=$C$7,OR($C$8="Any",P731=$C$8)),1,0)</f>
        <v/>
      </c>
      <c r="D731" s="29">
        <f>IF(C731=1,COUNTIF($C$16:C731,1),"")</f>
        <v/>
      </c>
      <c r="E731" s="18" t="n">
        <v>145.1</v>
      </c>
      <c r="F731" s="18" t="n">
        <v>206.58</v>
      </c>
      <c r="G731" s="18" t="n">
        <v>22.14</v>
      </c>
      <c r="H731" s="38" t="n"/>
      <c r="I731" s="38" t="n"/>
      <c r="J731" s="13" t="n">
        <v>10798</v>
      </c>
      <c r="K731" s="13" t="n">
        <v>10233.44</v>
      </c>
      <c r="L731" s="13" t="n">
        <v>299.19</v>
      </c>
      <c r="M731" s="13" t="n">
        <v>515.12</v>
      </c>
      <c r="N731" s="13" t="n">
        <v>3364</v>
      </c>
      <c r="O731" s="38" t="n">
        <v>15.31</v>
      </c>
      <c r="P731" s="39" t="inlineStr">
        <is>
          <t>Calm</t>
        </is>
      </c>
      <c r="Q731" s="13" t="n">
        <v>1394</v>
      </c>
      <c r="R731" s="13" t="n">
        <v>795.25</v>
      </c>
      <c r="S731" s="13" t="n">
        <v>-225.42</v>
      </c>
      <c r="T731" s="13" t="n">
        <v>9117.309999999999</v>
      </c>
      <c r="U731" s="13" t="n">
        <v>1111.85</v>
      </c>
      <c r="V731" s="13" t="n">
        <v>71.97</v>
      </c>
      <c r="W731" s="13" t="n">
        <v>393.71</v>
      </c>
      <c r="X731" s="13" t="n">
        <v>1189.96</v>
      </c>
      <c r="Y731" s="13" t="n">
        <v>298.78</v>
      </c>
      <c r="Z731" s="19" t="n"/>
      <c r="AA731" s="18" t="n"/>
      <c r="AB731" s="38" t="n"/>
      <c r="AC731" s="14">
        <f>IFERROR(AVERAGEIFS($E$16:$E$736,$W$16:$W$736,"&gt;="&amp;W731-$C$5,$W$16:$W$736,"&lt;="&amp;W731+$C$5,$B$16:$B$736,B731,$A$16:$A$736,"&lt;&gt;"&amp;A731),"")</f>
        <v/>
      </c>
      <c r="AD731" s="14">
        <f>IF(AND(ISNUMBER(E731),ISNUMBER(AC731)),E731-AC731,"")</f>
        <v/>
      </c>
    </row>
    <row r="732">
      <c r="A732" s="17" t="n">
        <v>45539</v>
      </c>
      <c r="B732" s="29">
        <f>MONTH(A732)</f>
        <v/>
      </c>
      <c r="C732" s="29">
        <f>IF(AND(ISNUMBER(W732),ISNUMBER($C$4),ABS(W732-$C$4)&lt;=$C$5,ABS(MOD(B732-$C$6+6,12)-6)&lt;=$C$7,OR($C$8="Any",P732=$C$8)),1,0)</f>
        <v/>
      </c>
      <c r="D732" s="29">
        <f>IF(C732=1,COUNTIF($C$16:C732,1),"")</f>
        <v/>
      </c>
      <c r="E732" s="18" t="n">
        <v>22.12</v>
      </c>
      <c r="F732" s="18" t="n">
        <v>27.63</v>
      </c>
      <c r="G732" s="18" t="n">
        <v>11.12</v>
      </c>
      <c r="H732" s="38" t="n"/>
      <c r="I732" s="38" t="n"/>
      <c r="J732" s="13" t="n">
        <v>10438</v>
      </c>
      <c r="K732" s="13" t="n">
        <v>10062.12</v>
      </c>
      <c r="L732" s="13" t="n">
        <v>702.0599999999999</v>
      </c>
      <c r="M732" s="13" t="n">
        <v>898.67</v>
      </c>
      <c r="N732" s="13" t="n">
        <v>3364</v>
      </c>
      <c r="O732" s="38" t="n">
        <v>26.71</v>
      </c>
      <c r="P732" s="39" t="inlineStr">
        <is>
          <t>Windy</t>
        </is>
      </c>
      <c r="Q732" s="13" t="n">
        <v>1101</v>
      </c>
      <c r="R732" s="13" t="n">
        <v>788.62</v>
      </c>
      <c r="S732" s="13" t="n">
        <v>-276.67</v>
      </c>
      <c r="T732" s="13" t="n">
        <v>9255.370000000001</v>
      </c>
      <c r="U732" s="13" t="n">
        <v>1097.27</v>
      </c>
      <c r="V732" s="13" t="n">
        <v>420.47</v>
      </c>
      <c r="W732" s="13" t="n">
        <v>724.61</v>
      </c>
      <c r="X732" s="13" t="n">
        <v>1488.16</v>
      </c>
      <c r="Y732" s="13" t="n">
        <v>577.48</v>
      </c>
      <c r="Z732" s="19" t="n"/>
      <c r="AA732" s="18" t="n"/>
      <c r="AB732" s="38" t="n"/>
      <c r="AC732" s="14">
        <f>IFERROR(AVERAGEIFS($E$16:$E$736,$W$16:$W$736,"&gt;="&amp;W732-$C$5,$W$16:$W$736,"&lt;="&amp;W732+$C$5,$B$16:$B$736,B732,$A$16:$A$736,"&lt;&gt;"&amp;A732),"")</f>
        <v/>
      </c>
      <c r="AD732" s="14">
        <f>IF(AND(ISNUMBER(E732),ISNUMBER(AC732)),E732-AC732,"")</f>
        <v/>
      </c>
    </row>
    <row r="733">
      <c r="A733" s="17" t="n">
        <v>45538</v>
      </c>
      <c r="B733" s="29">
        <f>MONTH(A733)</f>
        <v/>
      </c>
      <c r="C733" s="29">
        <f>IF(AND(ISNUMBER(W733),ISNUMBER($C$4),ABS(W733-$C$4)&lt;=$C$5,ABS(MOD(B733-$C$6+6,12)-6)&lt;=$C$7,OR($C$8="Any",P733=$C$8)),1,0)</f>
        <v/>
      </c>
      <c r="D733" s="29">
        <f>IF(C733=1,COUNTIF($C$16:C733,1),"")</f>
        <v/>
      </c>
      <c r="E733" s="18" t="n">
        <v>53.91</v>
      </c>
      <c r="F733" s="18" t="n">
        <v>75.12</v>
      </c>
      <c r="G733" s="18" t="n">
        <v>11.51</v>
      </c>
      <c r="H733" s="38" t="n"/>
      <c r="I733" s="38" t="n"/>
      <c r="J733" s="13" t="n">
        <v>11023</v>
      </c>
      <c r="K733" s="13" t="n">
        <v>10527.56</v>
      </c>
      <c r="L733" s="13" t="n">
        <v>680.88</v>
      </c>
      <c r="M733" s="13" t="n">
        <v>914.12</v>
      </c>
      <c r="N733" s="13" t="n">
        <v>3364</v>
      </c>
      <c r="O733" s="38" t="n">
        <v>27.17</v>
      </c>
      <c r="P733" s="39" t="inlineStr">
        <is>
          <t>Windy</t>
        </is>
      </c>
      <c r="Q733" s="13" t="n">
        <v>1403</v>
      </c>
      <c r="R733" s="13" t="n">
        <v>796.1799999999999</v>
      </c>
      <c r="S733" s="13" t="n">
        <v>-181.62</v>
      </c>
      <c r="T733" s="13" t="n">
        <v>9093.18</v>
      </c>
      <c r="U733" s="13" t="n">
        <v>1089.94</v>
      </c>
      <c r="V733" s="13" t="n">
        <v>42.1</v>
      </c>
      <c r="W733" s="13" t="n">
        <v>692.63</v>
      </c>
      <c r="X733" s="13" t="n">
        <v>1173.81</v>
      </c>
      <c r="Y733" s="13" t="n">
        <v>592.27</v>
      </c>
      <c r="Z733" s="19" t="n"/>
      <c r="AA733" s="18" t="n"/>
      <c r="AB733" s="38" t="n"/>
      <c r="AC733" s="14">
        <f>IFERROR(AVERAGEIFS($E$16:$E$736,$W$16:$W$736,"&gt;="&amp;W733-$C$5,$W$16:$W$736,"&lt;="&amp;W733+$C$5,$B$16:$B$736,B733,$A$16:$A$736,"&lt;&gt;"&amp;A733),"")</f>
        <v/>
      </c>
      <c r="AD733" s="14">
        <f>IF(AND(ISNUMBER(E733),ISNUMBER(AC733)),E733-AC733,"")</f>
        <v/>
      </c>
    </row>
    <row r="734">
      <c r="A734" s="17" t="n">
        <v>45537</v>
      </c>
      <c r="B734" s="29">
        <f>MONTH(A734)</f>
        <v/>
      </c>
      <c r="C734" s="29">
        <f>IF(AND(ISNUMBER(W734),ISNUMBER($C$4),ABS(W734-$C$4)&lt;=$C$5,ABS(MOD(B734-$C$6+6,12)-6)&lt;=$C$7,OR($C$8="Any",P734=$C$8)),1,0)</f>
        <v/>
      </c>
      <c r="D734" s="29">
        <f>IF(C734=1,COUNTIF($C$16:C734,1),"")</f>
        <v/>
      </c>
      <c r="E734" s="18" t="n">
        <v>165.72</v>
      </c>
      <c r="F734" s="18" t="n">
        <v>237.93</v>
      </c>
      <c r="G734" s="18" t="n">
        <v>21.3</v>
      </c>
      <c r="H734" s="38" t="n"/>
      <c r="I734" s="38" t="n"/>
      <c r="J734" s="13" t="n">
        <v>10952</v>
      </c>
      <c r="K734" s="13" t="n">
        <v>10281</v>
      </c>
      <c r="L734" s="13" t="n">
        <v>255</v>
      </c>
      <c r="M734" s="13" t="n">
        <v>372.58</v>
      </c>
      <c r="N734" s="13" t="n">
        <v>3364</v>
      </c>
      <c r="O734" s="38" t="n">
        <v>11.08</v>
      </c>
      <c r="P734" s="39" t="inlineStr">
        <is>
          <t>Calm</t>
        </is>
      </c>
      <c r="Q734" s="13" t="n">
        <v>1398</v>
      </c>
      <c r="R734" s="13" t="n">
        <v>796.4</v>
      </c>
      <c r="S734" s="13" t="n">
        <v>-30.71</v>
      </c>
      <c r="T734" s="13" t="n">
        <v>8963.790000000001</v>
      </c>
      <c r="U734" s="13" t="n">
        <v>1082.61</v>
      </c>
      <c r="V734" s="13" t="n">
        <v>498.21</v>
      </c>
      <c r="W734" s="13" t="n">
        <v>79.45999999999999</v>
      </c>
      <c r="X734" s="13" t="n">
        <v>1052.84</v>
      </c>
      <c r="Y734" s="13" t="n">
        <v>-10.84</v>
      </c>
      <c r="Z734" s="19" t="n"/>
      <c r="AA734" s="18" t="n"/>
      <c r="AB734" s="38" t="n"/>
      <c r="AC734" s="14">
        <f>IFERROR(AVERAGEIFS($E$16:$E$736,$W$16:$W$736,"&gt;="&amp;W734-$C$5,$W$16:$W$736,"&lt;="&amp;W734+$C$5,$B$16:$B$736,B734,$A$16:$A$736,"&lt;&gt;"&amp;A734),"")</f>
        <v/>
      </c>
      <c r="AD734" s="14">
        <f>IF(AND(ISNUMBER(E734),ISNUMBER(AC734)),E734-AC734,"")</f>
        <v/>
      </c>
    </row>
    <row r="735">
      <c r="A735" s="17" t="n">
        <v>45536</v>
      </c>
      <c r="B735" s="29">
        <f>MONTH(A735)</f>
        <v/>
      </c>
      <c r="C735" s="29">
        <f>IF(AND(ISNUMBER(W735),ISNUMBER($C$4),ABS(W735-$C$4)&lt;=$C$5,ABS(MOD(B735-$C$6+6,12)-6)&lt;=$C$7,OR($C$8="Any",P735=$C$8)),1,0)</f>
        <v/>
      </c>
      <c r="D735" s="29">
        <f>IF(C735=1,COUNTIF($C$16:C735,1),"")</f>
        <v/>
      </c>
      <c r="E735" s="18" t="n">
        <v>200.85</v>
      </c>
      <c r="F735" s="18" t="n">
        <v>297.87</v>
      </c>
      <c r="G735" s="18" t="n">
        <v>6.8</v>
      </c>
      <c r="H735" s="38" t="n"/>
      <c r="I735" s="38" t="n"/>
      <c r="J735" s="13" t="n">
        <v>10724</v>
      </c>
      <c r="K735" s="13" t="n">
        <v>10073.38</v>
      </c>
      <c r="L735" s="13" t="n">
        <v>840.9400000000001</v>
      </c>
      <c r="M735" s="13" t="n">
        <v>1356.58</v>
      </c>
      <c r="N735" s="13" t="n">
        <v>3364</v>
      </c>
      <c r="O735" s="38" t="n">
        <v>40.33</v>
      </c>
      <c r="P735" s="39" t="inlineStr">
        <is>
          <t>Windy</t>
        </is>
      </c>
      <c r="Q735" s="13" t="n">
        <v>1420</v>
      </c>
      <c r="R735" s="13" t="n">
        <v>799.16</v>
      </c>
      <c r="S735" s="13" t="n">
        <v>-384.29</v>
      </c>
      <c r="T735" s="13" t="n">
        <v>8857.309999999999</v>
      </c>
      <c r="U735" s="13" t="n">
        <v>1096.15</v>
      </c>
      <c r="V735" s="13" t="n">
        <v>566.23</v>
      </c>
      <c r="W735" s="13" t="n">
        <v>229.79</v>
      </c>
      <c r="X735" s="13" t="n">
        <v>1538.74</v>
      </c>
      <c r="Y735" s="13" t="n">
        <v>148.1</v>
      </c>
      <c r="Z735" s="19" t="n"/>
      <c r="AA735" s="18" t="n"/>
      <c r="AB735" s="38" t="n"/>
      <c r="AC735" s="14">
        <f>IFERROR(AVERAGEIFS($E$16:$E$736,$W$16:$W$736,"&gt;="&amp;W735-$C$5,$W$16:$W$736,"&lt;="&amp;W735+$C$5,$B$16:$B$736,B735,$A$16:$A$736,"&lt;&gt;"&amp;A735),"")</f>
        <v/>
      </c>
      <c r="AD735" s="14">
        <f>IF(AND(ISNUMBER(E735),ISNUMBER(AC735)),E735-AC735,"")</f>
        <v/>
      </c>
    </row>
    <row r="736">
      <c r="A736" s="17" t="n">
        <v>45535</v>
      </c>
      <c r="B736" s="29">
        <f>MONTH(A736)</f>
        <v/>
      </c>
      <c r="C736" s="29">
        <f>IF(AND(ISNUMBER(W736),ISNUMBER($C$4),ABS(W736-$C$4)&lt;=$C$5,ABS(MOD(B736-$C$6+6,12)-6)&lt;=$C$7,OR($C$8="Any",P736=$C$8)),1,0)</f>
        <v/>
      </c>
      <c r="D736" s="29">
        <f>IF(C736=1,COUNTIF($C$16:C736,1),"")</f>
        <v/>
      </c>
      <c r="E736" s="18" t="n">
        <v>24.65</v>
      </c>
      <c r="F736" s="18" t="n">
        <v>29.31</v>
      </c>
      <c r="G736" s="18" t="n">
        <v>15.34</v>
      </c>
      <c r="H736" s="38" t="n"/>
      <c r="I736" s="38" t="n"/>
      <c r="J736" s="13" t="n">
        <v>10362</v>
      </c>
      <c r="K736" s="13" t="n">
        <v>9922.5</v>
      </c>
      <c r="L736" s="13" t="n">
        <v>414</v>
      </c>
      <c r="M736" s="13" t="n">
        <v>739.71</v>
      </c>
      <c r="N736" s="13" t="n">
        <v>3364</v>
      </c>
      <c r="O736" s="38" t="n">
        <v>21.99</v>
      </c>
      <c r="P736" s="39" t="inlineStr">
        <is>
          <t>Windy</t>
        </is>
      </c>
      <c r="Q736" s="13" t="n">
        <v>1461</v>
      </c>
      <c r="R736" s="13" t="n">
        <v>801.21</v>
      </c>
      <c r="S736" s="13" t="n">
        <v>-196.83</v>
      </c>
      <c r="T736" s="13" t="n">
        <v>9181.049999999999</v>
      </c>
      <c r="U736" s="13" t="n">
        <v>1104.43</v>
      </c>
      <c r="V736" s="13" t="n">
        <v>299.41</v>
      </c>
      <c r="W736" s="13" t="n">
        <v>936.12</v>
      </c>
      <c r="X736" s="13" t="n">
        <v>1760.52</v>
      </c>
      <c r="Y736" s="13" t="n">
        <v>819.45</v>
      </c>
      <c r="Z736" s="19" t="n"/>
      <c r="AA736" s="18" t="n"/>
      <c r="AB736" s="38" t="n"/>
      <c r="AC736" s="14">
        <f>IFERROR(AVERAGEIFS($E$16:$E$736,$W$16:$W$736,"&gt;="&amp;W736-$C$5,$W$16:$W$736,"&lt;="&amp;W736+$C$5,$B$16:$B$736,B736,$A$16:$A$736,"&lt;&gt;"&amp;A736),"")</f>
        <v/>
      </c>
      <c r="AD736" s="14">
        <f>IF(AND(ISNUMBER(E736),ISNUMBER(AC736)),E736-AC736,"")</f>
        <v/>
      </c>
    </row>
  </sheetData>
  <autoFilter ref="A15:AD736"/>
  <conditionalFormatting sqref="C16:C736">
    <cfRule type="cellIs" priority="1" operator="equal" dxfId="3">
      <formula>1</formula>
    </cfRule>
  </conditionalFormatting>
  <conditionalFormatting sqref="AD16:AD736">
    <cfRule type="cellIs" priority="2" operator="greaterThan" dxfId="0">
      <formula>40</formula>
    </cfRule>
    <cfRule type="cellIs" priority="3" operator="lessThan" dxfId="1">
      <formula>-40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2026-09-30T02:44:21Z</dcterms:created>
  <dcterms:modified xmlns:dcterms="http://purl.org/dc/terms/" xmlns:xsi="http://www.w3.org/2001/XMLSchema-instance" xsi:type="dcterms:W3CDTF">2026-09-30T02:44:21Z</dcterms:modified>
</cp:coreProperties>
</file>