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onths" sheetId="2" state="visible" r:id="rId4"/>
    <sheet name="Normals" sheetId="3" state="visible" r:id="rId5"/>
    <sheet name="Premium" sheetId="4" state="visible" r:id="rId6"/>
    <sheet name="Forward" sheetId="5" state="visible" r:id="rId7"/>
    <sheet name="Outlook" sheetId="6" state="visible" r:id="rId8"/>
    <sheet name="Decis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<sst xmlns="http://schemas.openxmlformats.org/spreadsheetml/2006/main" count="408" uniqueCount="217">
  <si>
    <t xml:space="preserve">Monthly model — the data behind a monthly view, laid out for a decision</t>
  </si>
  <si>
    <t xml:space="preserve">What this is: not a fair value. At 30-60 days the level of an Alberta month is not forecastable from fundamentals — the walk-forward on the monthly tool itself says so (outlook-only correlation 0.40, and the market curve 0.06). What can be known is where the month sits against its own history, what the market is paying for it, and which drivers are running away from normal. That is a judgement laid on data, so the data is laid out and the judgement is left to you on the Decision tab.</t>
  </si>
  <si>
    <t xml:space="preserve">Tabs</t>
  </si>
  <si>
    <t xml:space="preserve">Months: every settled month on file. Price (flat, peak, worst hour, spike days, hours over $100, share of the month in its 3 worst days), fundamentals (tightest cushion, thermal remaining, wind, load, thermal availability, imports, hydro, temperature, gas, Mid-C), each also as a deviation from the same calendar month's normal, the forward that was paid for the month 60 / 30 / 5 days out, and settle minus the 30-day forward. Band = above / average / below (10% of normal).</t>
  </si>
  <si>
    <t xml:space="preserve">Normals: the calendar-month normal for each item (mean across the years on file — two years, so read the direction).</t>
  </si>
  <si>
    <t xml:space="preserve">Premium: what the market has paid over what settled, by lead. This is the standing edge in the data and the reason a fundamental fair value always reads below the curve.</t>
  </si>
  <si>
    <t xml:space="preserve">Forward: the monthly curve as of the latest settle and its path over the last 90 days, one column per delivery month.</t>
  </si>
  <si>
    <t xml:space="preserve">Outlook: the next 44 days from outlook.csv — cushion percentiles, load, wind, temperature anomaly — against the seasonal normal.</t>
  </si>
  <si>
    <t xml:space="preserve">Decision: one row per driver per delivery month. Normal, what the market implies, what you see, direction, weight, and your call. Blue cells are yours.</t>
  </si>
  <si>
    <t xml:space="preserve">What the monthly tool is missing (from reading it)</t>
  </si>
  <si>
    <t xml:space="preserve">1. Its fair value is a seasonal normal, not a view: beyond the 9-day wind and 14-day load horizon every scenario collapses to climatology, so every month lands at ~2,100-2,500 MW of cushion and the price is the trailing-year curve read at that point. It will always sit $3-4 under the market and always say sell.</t>
  </si>
  <si>
    <t xml:space="preserve">2. No risk premium term. Settle beat the month-ahead forward in 3 of 15 months (median -$13.7). Fair below market is the expected state, not a signal. The signal is when the gap is unusual against that history.</t>
  </si>
  <si>
    <t xml:space="preserve">3. Gas enters only as a floor. Measured: +16% on price per $/GJ, and it predicts the model's error. It belongs in the curve, as does Mid-C (+18% per log unit).</t>
  </si>
  <si>
    <t xml:space="preserve">4. The trailing-365-day curve is stale on level: load grows ~300 MW a year and new wind / solar / gas capacity moves the whole cushion-price relationship. Restate old cushions to today's fleet before fitting.</t>
  </si>
  <si>
    <t xml:space="preserve">5. Daily curve, monthly answer: a third of a month's dollars sit in its three worst days. Averaging 400 daily draws from a daily-mean curve under-produces that tail unless the residuals are drawn by hour block.</t>
  </si>
  <si>
    <t xml:space="preserve">6. Contract shape: the tool prices flat. Peak and off-peak months carry different premiums (peak settled $9.60 under its forward, off-peak $0.75).</t>
  </si>
  <si>
    <t xml:space="preserve">7. Hydro / imports: BC freshet (May-June) and the winter export pattern move imports by ±400 MW and are seasonal, not in the outlook.</t>
  </si>
  <si>
    <t xml:space="preserve">8. Text says a $5.00 spread in one place and $2.50 in another; percentile of model outcomes above 50 for a mean is skew, not a signal.</t>
  </si>
  <si>
    <t xml:space="preserve">Built 2026-09-29. Two years of history; the Normals are two-year means.</t>
  </si>
  <si>
    <t xml:space="preserve">Month</t>
  </si>
  <si>
    <t xml:space="preserve">days</t>
  </si>
  <si>
    <t xml:space="preserve">flat</t>
  </si>
  <si>
    <t xml:space="preserve">peak</t>
  </si>
  <si>
    <t xml:space="preserve">worst</t>
  </si>
  <si>
    <t xml:space="preserve">spike_days</t>
  </si>
  <si>
    <t xml:space="preserve">hrs100</t>
  </si>
  <si>
    <t xml:space="preserve">cush_min</t>
  </si>
  <si>
    <t xml:space="preserve">cush_mean</t>
  </si>
  <si>
    <t xml:space="preserve">rem_min</t>
  </si>
  <si>
    <t xml:space="preserve">wind</t>
  </si>
  <si>
    <t xml:space="preserve">load</t>
  </si>
  <si>
    <t xml:space="preserve">thermal</t>
  </si>
  <si>
    <t xml:space="preserve">imports</t>
  </si>
  <si>
    <t xml:space="preserve">hydro</t>
  </si>
  <si>
    <t xml:space="preserve">temp</t>
  </si>
  <si>
    <t xml:space="preserve">tmin</t>
  </si>
  <si>
    <t xml:space="preserve">gas</t>
  </si>
  <si>
    <t xml:space="preserve">midc</t>
  </si>
  <si>
    <t xml:space="preserve">top3_share</t>
  </si>
  <si>
    <t xml:space="preserve">fwd_60d</t>
  </si>
  <si>
    <t xml:space="preserve">fwd_30d</t>
  </si>
  <si>
    <t xml:space="preserve">fwd_5d</t>
  </si>
  <si>
    <t xml:space="preserve">settle_minus_fwd30</t>
  </si>
  <si>
    <t xml:space="preserve">yr</t>
  </si>
  <si>
    <t xml:space="preserve">load_adj</t>
  </si>
  <si>
    <t xml:space="preserve">cush_adj</t>
  </si>
  <si>
    <t xml:space="preserve">flat_vs_norm</t>
  </si>
  <si>
    <t xml:space="preserve">wind_vs_norm</t>
  </si>
  <si>
    <t xml:space="preserve">thermal_vs_norm</t>
  </si>
  <si>
    <t xml:space="preserve">temp_vs_norm</t>
  </si>
  <si>
    <t xml:space="preserve">load_vs_norm</t>
  </si>
  <si>
    <t xml:space="preserve">cush_min_vs_norm</t>
  </si>
  <si>
    <t xml:space="preserve">band</t>
  </si>
  <si>
    <t xml:space="preserve">2024-09</t>
  </si>
  <si>
    <t xml:space="preserve">below</t>
  </si>
  <si>
    <t xml:space="preserve">2024-10</t>
  </si>
  <si>
    <t xml:space="preserve">above</t>
  </si>
  <si>
    <t xml:space="preserve">2024-11</t>
  </si>
  <si>
    <t xml:space="preserve">2024-12</t>
  </si>
  <si>
    <t xml:space="preserve">2025-01</t>
  </si>
  <si>
    <t xml:space="preserve">2025-02</t>
  </si>
  <si>
    <t xml:space="preserve">2025-03</t>
  </si>
  <si>
    <t xml:space="preserve">average</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</si>
  <si>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</si>
  <si>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</si>
  <si>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</si>
  <si>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</si>
  <si>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</si>
  <si>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</si>
  <si>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</si>
  <si>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</si>
  <si>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</si>
  <si>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</si>
  <si>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</si>
  <si>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</si>
  <si>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</si>
  <si>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</si>
  <si>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</si>
  <si>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</si>
  <si>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</si>
  <si>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</si>
  <si>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Calendar month</t>
  </si>
  <si>
    <t xml:space="preserve">years</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</si>
  <si>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</si>
  <si>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</si>
  <si>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</si>
  <si>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</si>
  <si>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</si>
  <si>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</si>
  <si>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</si>
  <si>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</si>
  <si>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</si>
  <si>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</si>
  <si>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</si>
  <si>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</si>
  <si>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Load and tightest cushion are restated to the latest year at +300 MW/yr of load growth; a raw average would read low on load and high on cushion.</t>
  </si>
  <si>
    <t xml:space="preserve">Forward lead</t>
  </si>
  <si>
    <t xml:space="preserve">months</t>
  </si>
  <si>
    <t xml:space="preserve">settle_above_fwd</t>
  </si>
  <si>
    <t xml:space="preserve">mean</t>
  </si>
  <si>
    <t xml:space="preserve">median</t>
  </si>
  <si>
    <t xml:space="preserve">p10</t>
  </si>
  <si>
    <t xml:space="preserve">p90</t>
  </si>
  <si>
    <t xml:space="preserve">best</t>
  </si>
  <si>
    <t xml:space="preserve">1-8 days</t>
  </si>
  <si>
    <t xml:space="preserve">9-20</t>
  </si>
  <si>
    <t xml:space="preserve">20-40</t>
  </si>
  <si>
    <t xml:space="preserve">40-70</t>
  </si>
  <si>
    <t xml:space="preserve">70-120</t>
  </si>
  <si>
    <t xml:space="preserve">Monthly flat forward, as of 2026-09-28</t>
  </si>
  <si>
    <t xml:space="preserve">Delivery month</t>
  </si>
  <si>
    <t xml:space="preserve">Forward now</t>
  </si>
  <si>
    <t xml:space="preserve">30 days ago</t>
  </si>
  <si>
    <t xml:space="preserve">60 days ago</t>
  </si>
  <si>
    <t xml:space="preserve">90 days ago</t>
  </si>
  <si>
    <t xml:space="preserve">Normal settle (same calendar month)</t>
  </si>
  <si>
    <t xml:space="preserve">Forward - normal</t>
  </si>
  <si>
    <t xml:space="preserve">Spike days normal</t>
  </si>
  <si>
    <t xml:space="preserve">2026-10</t>
  </si>
  <si>
    <t xml:space="preserve">2026-11</t>
  </si>
  <si>
    <t xml:space="preserve">2026-12</t>
  </si>
  <si>
    <t xml:space="preserve">2027-01</t>
  </si>
  <si>
    <t xml:space="preserve">2027-02</t>
  </si>
  <si>
    <t xml:space="preserve">2027-03</t>
  </si>
  <si>
    <t xml:space="preserve">2027-04</t>
  </si>
  <si>
    <t xml:space="preserve">2027-05</t>
  </si>
  <si>
    <t xml:space="preserve">2027-06</t>
  </si>
  <si>
    <t xml:space="preserve">2027-07</t>
  </si>
  <si>
    <t xml:space="preserve">2027-08</t>
  </si>
  <si>
    <t xml:space="preserve">2027-09</t>
  </si>
  <si>
    <t xml:space="preserve">2027-10</t>
  </si>
  <si>
    <t xml:space="preserve">2027-11</t>
  </si>
  <si>
    <t xml:space="preserve">2027-12</t>
  </si>
  <si>
    <t xml:space="preserve">Curve history, last 90 days (rows = settle date, columns = delivery month)</t>
  </si>
  <si>
    <t xml:space="preserve">Date</t>
  </si>
  <si>
    <t xml:space="preserve">lead</t>
  </si>
  <si>
    <t xml:space="preserve">wind_src</t>
  </si>
  <si>
    <t xml:space="preserve">t_anom</t>
  </si>
  <si>
    <t xml:space="preserve">t_spread</t>
  </si>
  <si>
    <t xml:space="preserve">ail</t>
  </si>
  <si>
    <t xml:space="preserve">p25</t>
  </si>
  <si>
    <t xml:space="preserve">p50</t>
  </si>
  <si>
    <t xml:space="preserve">p75</t>
  </si>
  <si>
    <t xml:space="preserve">sd</t>
  </si>
  <si>
    <t xml:space="preserve">2026-09-23 00:00:00</t>
  </si>
  <si>
    <t xml:space="preserve">ens</t>
  </si>
  <si>
    <t xml:space="preserve">2026-09-24 00:00:00</t>
  </si>
  <si>
    <t xml:space="preserve">2026-09-25 00:00:00</t>
  </si>
  <si>
    <t xml:space="preserve">2026-09-26 00:00:00</t>
  </si>
  <si>
    <t xml:space="preserve">2026-09-27 00:00:00</t>
  </si>
  <si>
    <t xml:space="preserve">2026-09-28 00:00:00</t>
  </si>
  <si>
    <t xml:space="preserve">2026-09-29 00:00:00</t>
  </si>
  <si>
    <t xml:space="preserve">2026-09-30 00:00:00</t>
  </si>
  <si>
    <t xml:space="preserve">2026-10-01 00:00:00</t>
  </si>
  <si>
    <t xml:space="preserve">2026-10-02 00:00:00</t>
  </si>
  <si>
    <t xml:space="preserve">clim</t>
  </si>
  <si>
    <t xml:space="preserve">2026-10-03 00:00:00</t>
  </si>
  <si>
    <t xml:space="preserve">2026-10-04 00:00:00</t>
  </si>
  <si>
    <t xml:space="preserve">2026-10-05 00:00:00</t>
  </si>
  <si>
    <t xml:space="preserve">2026-10-06 00:00:00</t>
  </si>
  <si>
    <t xml:space="preserve">2026-10-07 00:00:00</t>
  </si>
  <si>
    <t xml:space="preserve">2026-10-08 00:00:00</t>
  </si>
  <si>
    <t xml:space="preserve">2026-10-09 00:00:00</t>
  </si>
  <si>
    <t xml:space="preserve">2026-10-10 00:00:00</t>
  </si>
  <si>
    <t xml:space="preserve">2026-10-11 00:00:00</t>
  </si>
  <si>
    <t xml:space="preserve">2026-10-12 00:00:00</t>
  </si>
  <si>
    <t xml:space="preserve">2026-10-13 00:00:00</t>
  </si>
  <si>
    <t xml:space="preserve">2026-10-14 00:00:00</t>
  </si>
  <si>
    <t xml:space="preserve">2026-10-15 00:00:00</t>
  </si>
  <si>
    <t xml:space="preserve">2026-10-16 00:00:00</t>
  </si>
  <si>
    <t xml:space="preserve">2026-10-17 00:00:00</t>
  </si>
  <si>
    <t xml:space="preserve">2026-10-18 00:00:00</t>
  </si>
  <si>
    <t xml:space="preserve">2026-10-19 00:00:00</t>
  </si>
  <si>
    <t xml:space="preserve">2026-10-20 00:00:00</t>
  </si>
  <si>
    <t xml:space="preserve">2026-10-21 00:00:00</t>
  </si>
  <si>
    <t xml:space="preserve">2026-10-22 00:00:00</t>
  </si>
  <si>
    <t xml:space="preserve">2026-10-23 00:00:00</t>
  </si>
  <si>
    <t xml:space="preserve">2026-10-24 00:00:00</t>
  </si>
  <si>
    <t xml:space="preserve">2026-10-25 00:00:00</t>
  </si>
  <si>
    <t xml:space="preserve">2026-10-26 00:00:00</t>
  </si>
  <si>
    <t xml:space="preserve">2026-10-27 00:00:00</t>
  </si>
  <si>
    <t xml:space="preserve">2026-10-28 00:00:00</t>
  </si>
  <si>
    <t xml:space="preserve">2026-10-29 00:00:00</t>
  </si>
  <si>
    <t xml:space="preserve">2026-10-30 00:00:00</t>
  </si>
  <si>
    <t xml:space="preserve">2026-10-31 00:00:00</t>
  </si>
  <si>
    <t xml:space="preserve">2026-11-01 00:00:00</t>
  </si>
  <si>
    <t xml:space="preserve">2026-11-02 00:00:00</t>
  </si>
  <si>
    <t xml:space="preserve">2026-11-03 00:00:00</t>
  </si>
  <si>
    <t xml:space="preserve">2026-11-04 00:00:00</t>
  </si>
  <si>
    <t xml:space="preserve">2026-11-05 00:00:00</t>
  </si>
  <si>
    <t xml:space="preserve">Decision: one row per driver per delivery month. Blue = yours.</t>
  </si>
  <si>
    <t xml:space="preserve">Driver</t>
  </si>
  <si>
    <t xml:space="preserve">Normal for this month</t>
  </si>
  <si>
    <t xml:space="preserve">What the outlook / market shows now</t>
  </si>
  <si>
    <t xml:space="preserve">Above / average / below</t>
  </si>
  <si>
    <t xml:space="preserve">Pushes price</t>
  </si>
  <si>
    <t xml:space="preserve">Weight (1-5)</t>
  </si>
  <si>
    <t xml:space="preserve">Your view</t>
  </si>
  <si>
    <t xml:space="preserve">Call (buy / sell / no trade)</t>
  </si>
  <si>
    <t xml:space="preserve">Wind vs normal</t>
  </si>
  <si>
    <t xml:space="preserve">down when high</t>
  </si>
  <si>
    <t xml:space="preserve">Load / temperature vs normal</t>
  </si>
  <si>
    <t xml:space="preserve">up when high</t>
  </si>
  <si>
    <t xml:space="preserve">Thermal availability vs normal (now = gencap AC, else nameplate minus the 90-day report)</t>
  </si>
  <si>
    <t xml:space="preserve">up when low</t>
  </si>
  <si>
    <t xml:space="preserve">Daily-mean cushion vs normal (outlook p50 vs restated normal)</t>
  </si>
  <si>
    <t xml:space="preserve">Gas: AB-NIT monthly forward vs normal spot</t>
  </si>
  <si>
    <t xml:space="preserve">Imports / BC hydro vs normal (now = last 30 days actual; no forward exists)</t>
  </si>
  <si>
    <t xml:space="preserve">Spike days: normal for the month vs the last 3 months</t>
  </si>
  <si>
    <t xml:space="preserve">tail</t>
  </si>
  <si>
    <t xml:space="preserve">Market forward vs normal settle</t>
  </si>
  <si>
    <t xml:space="preserve">premium</t>
  </si>
  <si>
    <t xml:space="preserve">Premium: market minus normal settle now, vs what the market usually pays over the settle at 1-8 days out</t>
  </si>
  <si>
    <t xml:space="preserve">see Premium tab</t>
  </si>
  <si>
    <t xml:space="preserve">Premium: market minus normal settle now, vs what the market usually pays over the settle at 20-40 out</t>
  </si>
  <si>
    <t xml:space="preserve">Premium: market minus normal settle now, vs what the market usually pays over the settle at 40-70 out</t>
  </si>
  <si>
    <t xml:space="preserve">Premium: market minus normal settle now, vs what the market usually pays over the settle at 70-120 out</t>
  </si>
</sst>
</file>

<file path=xl/styles.xml><?xml version="1.0" encoding="utf-8"?>
<styleSheet xmlns="http://schemas.openxmlformats.org/spreadsheetml/2006/main">
  <numFmts count="6">
    <numFmt numFmtId="164" formatCode="General"/>
    <numFmt numFmtId="165" formatCode="#,##0.0"/>
    <numFmt numFmtId="166" formatCode="0%"/>
    <numFmt numFmtId="167" formatCode="0.00"/>
    <numFmt numFmtId="168" formatCode="0.0"/>
    <numFmt numFmtId="169" formatCode="yyyy\-mm\-dd"/>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8"/>
      <color rgb="FF000000"/>
      <name val="Calibri"/>
      <family val="2"/>
    </font>
    <font>
      <sz val="10"/>
      <color rgb="FF000000"/>
      <name val="Calibri"/>
      <family val="2"/>
    </font>
    <font>
      <sz val="10"/>
      <color rgb="FF0000FF"/>
      <name val="Arial"/>
      <family val="0"/>
      <charset val="1"/>
    </font>
  </fonts>
  <fills count="4">
    <fill>
      <patternFill patternType="none"/>
    </fill>
    <fill>
      <patternFill patternType="gray125"/>
    </fill>
    <fill>
      <patternFill patternType="solid">
        <fgColor rgb="FFDDEBF7"/>
        <bgColor rgb="FFD9D9D9"/>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6AAC4"/>
      <rgbColor rgb="FF98B855"/>
      <rgbColor rgb="FFFFCC00"/>
      <rgbColor rgb="FFF59240"/>
      <rgbColor rgb="FFFF6600"/>
      <rgbColor rgb="FF7D5FA0"/>
      <rgbColor rgb="FF969696"/>
      <rgbColor rgb="FF003366"/>
      <rgbColor rgb="FF4F81BD"/>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Settle vs the same calendar month normal, flat $/MWh</a:t>
            </a:r>
          </a:p>
        </c:rich>
      </c:tx>
      <c:overlay val="0"/>
      <c:spPr>
        <a:noFill/>
        <a:ln w="0">
          <a:noFill/>
        </a:ln>
      </c:spPr>
    </c:title>
    <c:autoTitleDeleted val="0"/>
    <c:plotArea>
      <c:barChart>
        <c:barDir val="col"/>
        <c:grouping val="clustered"/>
        <c:varyColors val="0"/>
        <c:ser>
          <c:idx val="0"/>
          <c:order val="0"/>
          <c:tx>
            <c:strRef>
              <c:f>Months!B1</c:f>
              <c:strCache>
                <c:ptCount val="1"/>
                <c:pt idx="0">
                  <c:v>days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Months!$A$2:$A$26</c:f>
              <c:strCache>
                <c:ptCount val="25"/>
                <c:pt idx="0">
                  <c:v>2024-09</c:v>
                </c:pt>
                <c:pt idx="1">
                  <c:v>2024-10</c:v>
                </c:pt>
                <c:pt idx="2">
                  <c:v>2024-11</c:v>
                </c:pt>
                <c:pt idx="3">
                  <c:v>2024-12</c:v>
                </c:pt>
                <c:pt idx="4">
                  <c:v>2025-01</c:v>
                </c:pt>
                <c:pt idx="5">
                  <c:v>2025-02</c:v>
                </c:pt>
                <c:pt idx="6">
                  <c:v>2025-03</c:v>
                </c:pt>
                <c:pt idx="7">
                  <c:v>2025-04</c:v>
                </c:pt>
                <c:pt idx="8">
                  <c:v>2025-05</c:v>
                </c:pt>
                <c:pt idx="9">
                  <c:v>2025-06</c:v>
                </c:pt>
                <c:pt idx="10">
                  <c:v>2025-07</c:v>
                </c:pt>
                <c:pt idx="11">
                  <c:v>2025-08</c:v>
                </c:pt>
                <c:pt idx="12">
                  <c:v>2025-09</c:v>
                </c:pt>
                <c:pt idx="13">
                  <c:v>2025-10</c:v>
                </c:pt>
                <c:pt idx="14">
                  <c:v>2025-11</c:v>
                </c:pt>
                <c:pt idx="15">
                  <c:v>2025-12</c:v>
                </c:pt>
                <c:pt idx="16">
                  <c:v>2026-01</c:v>
                </c:pt>
                <c:pt idx="17">
                  <c:v>2026-02</c:v>
                </c:pt>
                <c:pt idx="18">
                  <c:v>2026-03</c:v>
                </c:pt>
                <c:pt idx="19">
                  <c:v>2026-04</c:v>
                </c:pt>
                <c:pt idx="20">
                  <c:v>2026-05</c:v>
                </c:pt>
                <c:pt idx="21">
                  <c:v>2026-06</c:v>
                </c:pt>
                <c:pt idx="22">
                  <c:v>2026-07</c:v>
                </c:pt>
                <c:pt idx="23">
                  <c:v>2026-08</c:v>
                </c:pt>
                <c:pt idx="24">
                  <c:v>2026-09</c:v>
                </c:pt>
              </c:strCache>
            </c:strRef>
          </c:cat>
          <c:val>
            <c:numRef>
              <c:f>Months!$B$2:$B$26</c:f>
              <c:numCache>
                <c:formatCode>General</c:formatCode>
                <c:ptCount val="25"/>
                <c:pt idx="0">
                  <c:v>30</c:v>
                </c:pt>
                <c:pt idx="1">
                  <c:v>31</c:v>
                </c:pt>
                <c:pt idx="2">
                  <c:v>28</c:v>
                </c:pt>
                <c:pt idx="3">
                  <c:v>31</c:v>
                </c:pt>
                <c:pt idx="4">
                  <c:v>31</c:v>
                </c:pt>
                <c:pt idx="5">
                  <c:v>28</c:v>
                </c:pt>
                <c:pt idx="6">
                  <c:v>31</c:v>
                </c:pt>
                <c:pt idx="7">
                  <c:v>30</c:v>
                </c:pt>
                <c:pt idx="8">
                  <c:v>29</c:v>
                </c:pt>
                <c:pt idx="9">
                  <c:v>28</c:v>
                </c:pt>
                <c:pt idx="10">
                  <c:v>31</c:v>
                </c:pt>
                <c:pt idx="11">
                  <c:v>31</c:v>
                </c:pt>
                <c:pt idx="12">
                  <c:v>30</c:v>
                </c:pt>
                <c:pt idx="13">
                  <c:v>27</c:v>
                </c:pt>
                <c:pt idx="14">
                  <c:v>30</c:v>
                </c:pt>
                <c:pt idx="15">
                  <c:v>31</c:v>
                </c:pt>
                <c:pt idx="16">
                  <c:v>31</c:v>
                </c:pt>
                <c:pt idx="17">
                  <c:v>28</c:v>
                </c:pt>
                <c:pt idx="18">
                  <c:v>31</c:v>
                </c:pt>
                <c:pt idx="19">
                  <c:v>28</c:v>
                </c:pt>
                <c:pt idx="20">
                  <c:v>31</c:v>
                </c:pt>
                <c:pt idx="21">
                  <c:v>30</c:v>
                </c:pt>
                <c:pt idx="22">
                  <c:v>31</c:v>
                </c:pt>
                <c:pt idx="23">
                  <c:v>31</c:v>
                </c:pt>
                <c:pt idx="24">
                  <c:v>29</c:v>
                </c:pt>
              </c:numCache>
            </c:numRef>
          </c:val>
        </c:ser>
        <c:ser>
          <c:idx val="1"/>
          <c:order val="1"/>
          <c:tx>
            <c:strRef>
              <c:f>Months!V1</c:f>
              <c:strCache>
                <c:ptCount val="1"/>
                <c:pt idx="0">
                  <c:v>fwd_30d</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Months!$A$2:$A$26</c:f>
              <c:strCache>
                <c:ptCount val="25"/>
                <c:pt idx="0">
                  <c:v>2024-09</c:v>
                </c:pt>
                <c:pt idx="1">
                  <c:v>2024-10</c:v>
                </c:pt>
                <c:pt idx="2">
                  <c:v>2024-11</c:v>
                </c:pt>
                <c:pt idx="3">
                  <c:v>2024-12</c:v>
                </c:pt>
                <c:pt idx="4">
                  <c:v>2025-01</c:v>
                </c:pt>
                <c:pt idx="5">
                  <c:v>2025-02</c:v>
                </c:pt>
                <c:pt idx="6">
                  <c:v>2025-03</c:v>
                </c:pt>
                <c:pt idx="7">
                  <c:v>2025-04</c:v>
                </c:pt>
                <c:pt idx="8">
                  <c:v>2025-05</c:v>
                </c:pt>
                <c:pt idx="9">
                  <c:v>2025-06</c:v>
                </c:pt>
                <c:pt idx="10">
                  <c:v>2025-07</c:v>
                </c:pt>
                <c:pt idx="11">
                  <c:v>2025-08</c:v>
                </c:pt>
                <c:pt idx="12">
                  <c:v>2025-09</c:v>
                </c:pt>
                <c:pt idx="13">
                  <c:v>2025-10</c:v>
                </c:pt>
                <c:pt idx="14">
                  <c:v>2025-11</c:v>
                </c:pt>
                <c:pt idx="15">
                  <c:v>2025-12</c:v>
                </c:pt>
                <c:pt idx="16">
                  <c:v>2026-01</c:v>
                </c:pt>
                <c:pt idx="17">
                  <c:v>2026-02</c:v>
                </c:pt>
                <c:pt idx="18">
                  <c:v>2026-03</c:v>
                </c:pt>
                <c:pt idx="19">
                  <c:v>2026-04</c:v>
                </c:pt>
                <c:pt idx="20">
                  <c:v>2026-05</c:v>
                </c:pt>
                <c:pt idx="21">
                  <c:v>2026-06</c:v>
                </c:pt>
                <c:pt idx="22">
                  <c:v>2026-07</c:v>
                </c:pt>
                <c:pt idx="23">
                  <c:v>2026-08</c:v>
                </c:pt>
                <c:pt idx="24">
                  <c:v>2026-09</c:v>
                </c:pt>
              </c:strCache>
            </c:strRef>
          </c:cat>
          <c:val>
            <c:numRef>
              <c:f>Months!$V$2:$V$26</c:f>
              <c:numCache>
                <c:formatCode>#,##0.0</c:formatCode>
                <c:ptCount val="25"/>
                <c:pt idx="10">
                  <c:v>54.07</c:v>
                </c:pt>
                <c:pt idx="11">
                  <c:v>55.64</c:v>
                </c:pt>
                <c:pt idx="12">
                  <c:v>43</c:v>
                </c:pt>
                <c:pt idx="13">
                  <c:v>42.38</c:v>
                </c:pt>
                <c:pt idx="14">
                  <c:v>47.89</c:v>
                </c:pt>
                <c:pt idx="15">
                  <c:v>64.93</c:v>
                </c:pt>
                <c:pt idx="16">
                  <c:v>60.98</c:v>
                </c:pt>
                <c:pt idx="17">
                  <c:v>52.31</c:v>
                </c:pt>
                <c:pt idx="18">
                  <c:v>37.28</c:v>
                </c:pt>
                <c:pt idx="19">
                  <c:v>42.32</c:v>
                </c:pt>
                <c:pt idx="20">
                  <c:v>32.22</c:v>
                </c:pt>
                <c:pt idx="21">
                  <c:v>35.55</c:v>
                </c:pt>
                <c:pt idx="22">
                  <c:v>45.73</c:v>
                </c:pt>
                <c:pt idx="23">
                  <c:v>47.05</c:v>
                </c:pt>
                <c:pt idx="24">
                  <c:v>42.23</c:v>
                </c:pt>
              </c:numCache>
            </c:numRef>
          </c:val>
        </c:ser>
        <c:gapWidth val="150"/>
        <c:overlap val="0"/>
        <c:axId val="80234783"/>
        <c:axId val="83087482"/>
      </c:barChart>
      <c:catAx>
        <c:axId val="802347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087482"/>
        <c:crosses val="autoZero"/>
        <c:auto val="1"/>
        <c:lblAlgn val="ctr"/>
        <c:lblOffset val="100"/>
        <c:noMultiLvlLbl val="0"/>
      </c:catAx>
      <c:valAx>
        <c:axId val="8308748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23478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forward: how each delivery month has moved (last 90 days)</a:t>
            </a:r>
          </a:p>
        </c:rich>
      </c:tx>
      <c:overlay val="0"/>
      <c:spPr>
        <a:noFill/>
        <a:ln w="0">
          <a:noFill/>
        </a:ln>
      </c:spPr>
    </c:title>
    <c:autoTitleDeleted val="0"/>
    <c:plotArea>
      <c:lineChart>
        <c:grouping val="standard"/>
        <c:varyColors val="0"/>
        <c:ser>
          <c:idx val="0"/>
          <c:order val="0"/>
          <c:tx>
            <c:strRef>
              <c:f>Forward!B21</c:f>
              <c:strCache>
                <c:ptCount val="1"/>
                <c:pt idx="0">
                  <c:v>2026-10</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Forward!$A$22:$A$85</c:f>
              <c:strCache>
                <c:ptCount val="64"/>
                <c:pt idx="0">
                  <c:v>2026-07-01</c:v>
                </c:pt>
                <c:pt idx="1">
                  <c:v>2026-07-02</c:v>
                </c:pt>
                <c:pt idx="2">
                  <c:v>2026-07-03</c:v>
                </c:pt>
                <c:pt idx="3">
                  <c:v>2026-07-06</c:v>
                </c:pt>
                <c:pt idx="4">
                  <c:v>2026-07-07</c:v>
                </c:pt>
                <c:pt idx="5">
                  <c:v>2026-07-08</c:v>
                </c:pt>
                <c:pt idx="6">
                  <c:v>2026-07-09</c:v>
                </c:pt>
                <c:pt idx="7">
                  <c:v>2026-07-10</c:v>
                </c:pt>
                <c:pt idx="8">
                  <c:v>2026-07-13</c:v>
                </c:pt>
                <c:pt idx="9">
                  <c:v>2026-07-14</c:v>
                </c:pt>
                <c:pt idx="10">
                  <c:v>2026-07-15</c:v>
                </c:pt>
                <c:pt idx="11">
                  <c:v>2026-07-16</c:v>
                </c:pt>
                <c:pt idx="12">
                  <c:v>2026-07-17</c:v>
                </c:pt>
                <c:pt idx="13">
                  <c:v>2026-07-20</c:v>
                </c:pt>
                <c:pt idx="14">
                  <c:v>2026-07-21</c:v>
                </c:pt>
                <c:pt idx="15">
                  <c:v>2026-07-22</c:v>
                </c:pt>
                <c:pt idx="16">
                  <c:v>2026-07-23</c:v>
                </c:pt>
                <c:pt idx="17">
                  <c:v>2026-07-24</c:v>
                </c:pt>
                <c:pt idx="18">
                  <c:v>2026-07-27</c:v>
                </c:pt>
                <c:pt idx="19">
                  <c:v>2026-07-28</c:v>
                </c:pt>
                <c:pt idx="20">
                  <c:v>2026-07-29</c:v>
                </c:pt>
                <c:pt idx="21">
                  <c:v>2026-07-30</c:v>
                </c:pt>
                <c:pt idx="22">
                  <c:v>2026-07-31</c:v>
                </c:pt>
                <c:pt idx="23">
                  <c:v>2026-08-03</c:v>
                </c:pt>
                <c:pt idx="24">
                  <c:v>2026-08-04</c:v>
                </c:pt>
                <c:pt idx="25">
                  <c:v>2026-08-05</c:v>
                </c:pt>
                <c:pt idx="26">
                  <c:v>2026-08-06</c:v>
                </c:pt>
                <c:pt idx="27">
                  <c:v>2026-08-07</c:v>
                </c:pt>
                <c:pt idx="28">
                  <c:v>2026-08-10</c:v>
                </c:pt>
                <c:pt idx="29">
                  <c:v>2026-08-11</c:v>
                </c:pt>
                <c:pt idx="30">
                  <c:v>2026-08-12</c:v>
                </c:pt>
                <c:pt idx="31">
                  <c:v>2026-08-13</c:v>
                </c:pt>
                <c:pt idx="32">
                  <c:v>2026-08-14</c:v>
                </c:pt>
                <c:pt idx="33">
                  <c:v>2026-08-17</c:v>
                </c:pt>
                <c:pt idx="34">
                  <c:v>2026-08-18</c:v>
                </c:pt>
                <c:pt idx="35">
                  <c:v>2026-08-19</c:v>
                </c:pt>
                <c:pt idx="36">
                  <c:v>2026-08-20</c:v>
                </c:pt>
                <c:pt idx="37">
                  <c:v>2026-08-21</c:v>
                </c:pt>
                <c:pt idx="38">
                  <c:v>2026-08-24</c:v>
                </c:pt>
                <c:pt idx="39">
                  <c:v>2026-08-25</c:v>
                </c:pt>
                <c:pt idx="40">
                  <c:v>2026-08-26</c:v>
                </c:pt>
                <c:pt idx="41">
                  <c:v>2026-08-27</c:v>
                </c:pt>
                <c:pt idx="42">
                  <c:v>2026-08-28</c:v>
                </c:pt>
                <c:pt idx="43">
                  <c:v>2026-08-31</c:v>
                </c:pt>
                <c:pt idx="44">
                  <c:v>2026-09-01</c:v>
                </c:pt>
                <c:pt idx="45">
                  <c:v>2026-09-02</c:v>
                </c:pt>
                <c:pt idx="46">
                  <c:v>2026-09-03</c:v>
                </c:pt>
                <c:pt idx="47">
                  <c:v>2026-09-04</c:v>
                </c:pt>
                <c:pt idx="48">
                  <c:v>2026-09-07</c:v>
                </c:pt>
                <c:pt idx="49">
                  <c:v>2026-09-08</c:v>
                </c:pt>
                <c:pt idx="50">
                  <c:v>2026-09-09</c:v>
                </c:pt>
                <c:pt idx="51">
                  <c:v>2026-09-10</c:v>
                </c:pt>
                <c:pt idx="52">
                  <c:v>2026-09-11</c:v>
                </c:pt>
                <c:pt idx="53">
                  <c:v>2026-09-14</c:v>
                </c:pt>
                <c:pt idx="54">
                  <c:v>2026-09-15</c:v>
                </c:pt>
                <c:pt idx="55">
                  <c:v>2026-09-16</c:v>
                </c:pt>
                <c:pt idx="56">
                  <c:v>2026-09-17</c:v>
                </c:pt>
                <c:pt idx="57">
                  <c:v>2026-09-18</c:v>
                </c:pt>
                <c:pt idx="58">
                  <c:v>2026-09-21</c:v>
                </c:pt>
                <c:pt idx="59">
                  <c:v>2026-09-22</c:v>
                </c:pt>
                <c:pt idx="60">
                  <c:v>2026-09-23</c:v>
                </c:pt>
                <c:pt idx="61">
                  <c:v>2026-09-24</c:v>
                </c:pt>
                <c:pt idx="62">
                  <c:v>2026-09-25</c:v>
                </c:pt>
                <c:pt idx="63">
                  <c:v>2026-09-28</c:v>
                </c:pt>
              </c:strCache>
            </c:strRef>
          </c:cat>
          <c:val>
            <c:numRef>
              <c:f>Forward!$B$22:$B$85</c:f>
              <c:numCache>
                <c:formatCode>0.00</c:formatCode>
                <c:ptCount val="64"/>
                <c:pt idx="0">
                  <c:v>36</c:v>
                </c:pt>
                <c:pt idx="1">
                  <c:v>36</c:v>
                </c:pt>
                <c:pt idx="2">
                  <c:v>36</c:v>
                </c:pt>
                <c:pt idx="3">
                  <c:v>36</c:v>
                </c:pt>
                <c:pt idx="4">
                  <c:v>36</c:v>
                </c:pt>
                <c:pt idx="5">
                  <c:v>36</c:v>
                </c:pt>
                <c:pt idx="6">
                  <c:v>36</c:v>
                </c:pt>
                <c:pt idx="7">
                  <c:v>36</c:v>
                </c:pt>
                <c:pt idx="8">
                  <c:v>35.5</c:v>
                </c:pt>
                <c:pt idx="9">
                  <c:v>35.5</c:v>
                </c:pt>
                <c:pt idx="10">
                  <c:v>35.5</c:v>
                </c:pt>
                <c:pt idx="11">
                  <c:v>35.5</c:v>
                </c:pt>
                <c:pt idx="12">
                  <c:v>36.5</c:v>
                </c:pt>
                <c:pt idx="13">
                  <c:v>36.5</c:v>
                </c:pt>
                <c:pt idx="14">
                  <c:v>36.5</c:v>
                </c:pt>
                <c:pt idx="15">
                  <c:v>36.5</c:v>
                </c:pt>
                <c:pt idx="16">
                  <c:v>36.25</c:v>
                </c:pt>
                <c:pt idx="17">
                  <c:v>36.25</c:v>
                </c:pt>
                <c:pt idx="18">
                  <c:v>35.75</c:v>
                </c:pt>
                <c:pt idx="19">
                  <c:v>35.5</c:v>
                </c:pt>
                <c:pt idx="20">
                  <c:v>35.5</c:v>
                </c:pt>
                <c:pt idx="21">
                  <c:v>35.5</c:v>
                </c:pt>
                <c:pt idx="22">
                  <c:v>35.5</c:v>
                </c:pt>
                <c:pt idx="23">
                  <c:v>35.5</c:v>
                </c:pt>
                <c:pt idx="24">
                  <c:v>35</c:v>
                </c:pt>
                <c:pt idx="25">
                  <c:v>34.25</c:v>
                </c:pt>
                <c:pt idx="26">
                  <c:v>34.25</c:v>
                </c:pt>
                <c:pt idx="27">
                  <c:v>34.25</c:v>
                </c:pt>
                <c:pt idx="28">
                  <c:v>33.75</c:v>
                </c:pt>
                <c:pt idx="29">
                  <c:v>33.5</c:v>
                </c:pt>
                <c:pt idx="30">
                  <c:v>33.5</c:v>
                </c:pt>
                <c:pt idx="31">
                  <c:v>33.5</c:v>
                </c:pt>
                <c:pt idx="32">
                  <c:v>34</c:v>
                </c:pt>
                <c:pt idx="33">
                  <c:v>34.05</c:v>
                </c:pt>
                <c:pt idx="34">
                  <c:v>34.75</c:v>
                </c:pt>
                <c:pt idx="35">
                  <c:v>35</c:v>
                </c:pt>
                <c:pt idx="36">
                  <c:v>34.5</c:v>
                </c:pt>
                <c:pt idx="37">
                  <c:v>34.25</c:v>
                </c:pt>
                <c:pt idx="38">
                  <c:v>34.25</c:v>
                </c:pt>
                <c:pt idx="39">
                  <c:v>34.25</c:v>
                </c:pt>
                <c:pt idx="40">
                  <c:v>34.25</c:v>
                </c:pt>
                <c:pt idx="41">
                  <c:v>34.25</c:v>
                </c:pt>
                <c:pt idx="42">
                  <c:v>34.25</c:v>
                </c:pt>
                <c:pt idx="43">
                  <c:v>34.25</c:v>
                </c:pt>
                <c:pt idx="44">
                  <c:v>33.75</c:v>
                </c:pt>
                <c:pt idx="45">
                  <c:v>33.5</c:v>
                </c:pt>
                <c:pt idx="46">
                  <c:v>33.5</c:v>
                </c:pt>
                <c:pt idx="47">
                  <c:v>33.5</c:v>
                </c:pt>
                <c:pt idx="48">
                  <c:v>33.5</c:v>
                </c:pt>
                <c:pt idx="49">
                  <c:v>32.5</c:v>
                </c:pt>
                <c:pt idx="50">
                  <c:v>32.5</c:v>
                </c:pt>
                <c:pt idx="51">
                  <c:v>33.25</c:v>
                </c:pt>
                <c:pt idx="52">
                  <c:v>33.25</c:v>
                </c:pt>
                <c:pt idx="53">
                  <c:v>33.25</c:v>
                </c:pt>
                <c:pt idx="54">
                  <c:v>33.25</c:v>
                </c:pt>
                <c:pt idx="55">
                  <c:v>33</c:v>
                </c:pt>
                <c:pt idx="56">
                  <c:v>33</c:v>
                </c:pt>
                <c:pt idx="57">
                  <c:v>33</c:v>
                </c:pt>
                <c:pt idx="58">
                  <c:v>33</c:v>
                </c:pt>
                <c:pt idx="59">
                  <c:v>31.5</c:v>
                </c:pt>
                <c:pt idx="60">
                  <c:v>31.5</c:v>
                </c:pt>
                <c:pt idx="61">
                  <c:v>33</c:v>
                </c:pt>
                <c:pt idx="62">
                  <c:v>33</c:v>
                </c:pt>
                <c:pt idx="63">
                  <c:v>34</c:v>
                </c:pt>
              </c:numCache>
            </c:numRef>
          </c:val>
          <c:smooth val="1"/>
        </c:ser>
        <c:ser>
          <c:idx val="1"/>
          <c:order val="1"/>
          <c:tx>
            <c:strRef>
              <c:f>Forward!C21</c:f>
              <c:strCache>
                <c:ptCount val="1"/>
                <c:pt idx="0">
                  <c:v>2026-11</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Forward!$A$22:$A$85</c:f>
              <c:strCache>
                <c:ptCount val="64"/>
                <c:pt idx="0">
                  <c:v>2026-07-01</c:v>
                </c:pt>
                <c:pt idx="1">
                  <c:v>2026-07-02</c:v>
                </c:pt>
                <c:pt idx="2">
                  <c:v>2026-07-03</c:v>
                </c:pt>
                <c:pt idx="3">
                  <c:v>2026-07-06</c:v>
                </c:pt>
                <c:pt idx="4">
                  <c:v>2026-07-07</c:v>
                </c:pt>
                <c:pt idx="5">
                  <c:v>2026-07-08</c:v>
                </c:pt>
                <c:pt idx="6">
                  <c:v>2026-07-09</c:v>
                </c:pt>
                <c:pt idx="7">
                  <c:v>2026-07-10</c:v>
                </c:pt>
                <c:pt idx="8">
                  <c:v>2026-07-13</c:v>
                </c:pt>
                <c:pt idx="9">
                  <c:v>2026-07-14</c:v>
                </c:pt>
                <c:pt idx="10">
                  <c:v>2026-07-15</c:v>
                </c:pt>
                <c:pt idx="11">
                  <c:v>2026-07-16</c:v>
                </c:pt>
                <c:pt idx="12">
                  <c:v>2026-07-17</c:v>
                </c:pt>
                <c:pt idx="13">
                  <c:v>2026-07-20</c:v>
                </c:pt>
                <c:pt idx="14">
                  <c:v>2026-07-21</c:v>
                </c:pt>
                <c:pt idx="15">
                  <c:v>2026-07-22</c:v>
                </c:pt>
                <c:pt idx="16">
                  <c:v>2026-07-23</c:v>
                </c:pt>
                <c:pt idx="17">
                  <c:v>2026-07-24</c:v>
                </c:pt>
                <c:pt idx="18">
                  <c:v>2026-07-27</c:v>
                </c:pt>
                <c:pt idx="19">
                  <c:v>2026-07-28</c:v>
                </c:pt>
                <c:pt idx="20">
                  <c:v>2026-07-29</c:v>
                </c:pt>
                <c:pt idx="21">
                  <c:v>2026-07-30</c:v>
                </c:pt>
                <c:pt idx="22">
                  <c:v>2026-07-31</c:v>
                </c:pt>
                <c:pt idx="23">
                  <c:v>2026-08-03</c:v>
                </c:pt>
                <c:pt idx="24">
                  <c:v>2026-08-04</c:v>
                </c:pt>
                <c:pt idx="25">
                  <c:v>2026-08-05</c:v>
                </c:pt>
                <c:pt idx="26">
                  <c:v>2026-08-06</c:v>
                </c:pt>
                <c:pt idx="27">
                  <c:v>2026-08-07</c:v>
                </c:pt>
                <c:pt idx="28">
                  <c:v>2026-08-10</c:v>
                </c:pt>
                <c:pt idx="29">
                  <c:v>2026-08-11</c:v>
                </c:pt>
                <c:pt idx="30">
                  <c:v>2026-08-12</c:v>
                </c:pt>
                <c:pt idx="31">
                  <c:v>2026-08-13</c:v>
                </c:pt>
                <c:pt idx="32">
                  <c:v>2026-08-14</c:v>
                </c:pt>
                <c:pt idx="33">
                  <c:v>2026-08-17</c:v>
                </c:pt>
                <c:pt idx="34">
                  <c:v>2026-08-18</c:v>
                </c:pt>
                <c:pt idx="35">
                  <c:v>2026-08-19</c:v>
                </c:pt>
                <c:pt idx="36">
                  <c:v>2026-08-20</c:v>
                </c:pt>
                <c:pt idx="37">
                  <c:v>2026-08-21</c:v>
                </c:pt>
                <c:pt idx="38">
                  <c:v>2026-08-24</c:v>
                </c:pt>
                <c:pt idx="39">
                  <c:v>2026-08-25</c:v>
                </c:pt>
                <c:pt idx="40">
                  <c:v>2026-08-26</c:v>
                </c:pt>
                <c:pt idx="41">
                  <c:v>2026-08-27</c:v>
                </c:pt>
                <c:pt idx="42">
                  <c:v>2026-08-28</c:v>
                </c:pt>
                <c:pt idx="43">
                  <c:v>2026-08-31</c:v>
                </c:pt>
                <c:pt idx="44">
                  <c:v>2026-09-01</c:v>
                </c:pt>
                <c:pt idx="45">
                  <c:v>2026-09-02</c:v>
                </c:pt>
                <c:pt idx="46">
                  <c:v>2026-09-03</c:v>
                </c:pt>
                <c:pt idx="47">
                  <c:v>2026-09-04</c:v>
                </c:pt>
                <c:pt idx="48">
                  <c:v>2026-09-07</c:v>
                </c:pt>
                <c:pt idx="49">
                  <c:v>2026-09-08</c:v>
                </c:pt>
                <c:pt idx="50">
                  <c:v>2026-09-09</c:v>
                </c:pt>
                <c:pt idx="51">
                  <c:v>2026-09-10</c:v>
                </c:pt>
                <c:pt idx="52">
                  <c:v>2026-09-11</c:v>
                </c:pt>
                <c:pt idx="53">
                  <c:v>2026-09-14</c:v>
                </c:pt>
                <c:pt idx="54">
                  <c:v>2026-09-15</c:v>
                </c:pt>
                <c:pt idx="55">
                  <c:v>2026-09-16</c:v>
                </c:pt>
                <c:pt idx="56">
                  <c:v>2026-09-17</c:v>
                </c:pt>
                <c:pt idx="57">
                  <c:v>2026-09-18</c:v>
                </c:pt>
                <c:pt idx="58">
                  <c:v>2026-09-21</c:v>
                </c:pt>
                <c:pt idx="59">
                  <c:v>2026-09-22</c:v>
                </c:pt>
                <c:pt idx="60">
                  <c:v>2026-09-23</c:v>
                </c:pt>
                <c:pt idx="61">
                  <c:v>2026-09-24</c:v>
                </c:pt>
                <c:pt idx="62">
                  <c:v>2026-09-25</c:v>
                </c:pt>
                <c:pt idx="63">
                  <c:v>2026-09-28</c:v>
                </c:pt>
              </c:strCache>
            </c:strRef>
          </c:cat>
          <c:val>
            <c:numRef>
              <c:f>Forward!$C$22:$C$85</c:f>
              <c:numCache>
                <c:formatCode>0.00</c:formatCode>
                <c:ptCount val="64"/>
                <c:pt idx="0">
                  <c:v>43</c:v>
                </c:pt>
                <c:pt idx="1">
                  <c:v>43</c:v>
                </c:pt>
                <c:pt idx="2">
                  <c:v>43</c:v>
                </c:pt>
                <c:pt idx="3">
                  <c:v>43</c:v>
                </c:pt>
                <c:pt idx="4">
                  <c:v>43</c:v>
                </c:pt>
                <c:pt idx="5">
                  <c:v>43</c:v>
                </c:pt>
                <c:pt idx="6">
                  <c:v>42.95</c:v>
                </c:pt>
                <c:pt idx="7">
                  <c:v>42.95</c:v>
                </c:pt>
                <c:pt idx="8">
                  <c:v>42</c:v>
                </c:pt>
                <c:pt idx="9">
                  <c:v>42</c:v>
                </c:pt>
                <c:pt idx="10">
                  <c:v>42</c:v>
                </c:pt>
                <c:pt idx="11">
                  <c:v>42</c:v>
                </c:pt>
                <c:pt idx="12">
                  <c:v>42.25</c:v>
                </c:pt>
                <c:pt idx="13">
                  <c:v>42.5</c:v>
                </c:pt>
                <c:pt idx="14">
                  <c:v>42.5</c:v>
                </c:pt>
                <c:pt idx="15">
                  <c:v>42.5</c:v>
                </c:pt>
                <c:pt idx="16">
                  <c:v>42.5</c:v>
                </c:pt>
                <c:pt idx="17">
                  <c:v>42.2</c:v>
                </c:pt>
                <c:pt idx="18">
                  <c:v>41.75</c:v>
                </c:pt>
                <c:pt idx="19">
                  <c:v>41</c:v>
                </c:pt>
                <c:pt idx="20">
                  <c:v>41</c:v>
                </c:pt>
                <c:pt idx="21">
                  <c:v>41</c:v>
                </c:pt>
                <c:pt idx="22">
                  <c:v>41</c:v>
                </c:pt>
                <c:pt idx="23">
                  <c:v>41</c:v>
                </c:pt>
                <c:pt idx="24">
                  <c:v>40</c:v>
                </c:pt>
                <c:pt idx="25">
                  <c:v>38.75</c:v>
                </c:pt>
                <c:pt idx="26">
                  <c:v>38.75</c:v>
                </c:pt>
                <c:pt idx="27">
                  <c:v>38.75</c:v>
                </c:pt>
                <c:pt idx="28">
                  <c:v>38.75</c:v>
                </c:pt>
                <c:pt idx="29">
                  <c:v>38.25</c:v>
                </c:pt>
                <c:pt idx="30">
                  <c:v>37.8</c:v>
                </c:pt>
                <c:pt idx="31">
                  <c:v>37.8</c:v>
                </c:pt>
                <c:pt idx="32">
                  <c:v>38</c:v>
                </c:pt>
                <c:pt idx="33">
                  <c:v>38</c:v>
                </c:pt>
                <c:pt idx="34">
                  <c:v>38.5</c:v>
                </c:pt>
                <c:pt idx="35">
                  <c:v>38.75</c:v>
                </c:pt>
                <c:pt idx="36">
                  <c:v>38.5</c:v>
                </c:pt>
                <c:pt idx="37">
                  <c:v>38</c:v>
                </c:pt>
                <c:pt idx="38">
                  <c:v>38</c:v>
                </c:pt>
                <c:pt idx="39">
                  <c:v>38</c:v>
                </c:pt>
                <c:pt idx="40">
                  <c:v>38.25</c:v>
                </c:pt>
                <c:pt idx="41">
                  <c:v>38</c:v>
                </c:pt>
                <c:pt idx="42">
                  <c:v>38</c:v>
                </c:pt>
                <c:pt idx="43">
                  <c:v>38</c:v>
                </c:pt>
                <c:pt idx="44">
                  <c:v>37.75</c:v>
                </c:pt>
                <c:pt idx="45">
                  <c:v>37.75</c:v>
                </c:pt>
                <c:pt idx="46">
                  <c:v>37.5</c:v>
                </c:pt>
                <c:pt idx="47">
                  <c:v>37.5</c:v>
                </c:pt>
                <c:pt idx="48">
                  <c:v>37.5</c:v>
                </c:pt>
                <c:pt idx="49">
                  <c:v>36.5</c:v>
                </c:pt>
                <c:pt idx="50">
                  <c:v>37</c:v>
                </c:pt>
                <c:pt idx="51">
                  <c:v>37.5</c:v>
                </c:pt>
                <c:pt idx="52">
                  <c:v>37.5</c:v>
                </c:pt>
                <c:pt idx="53">
                  <c:v>37.25</c:v>
                </c:pt>
                <c:pt idx="54">
                  <c:v>37.25</c:v>
                </c:pt>
                <c:pt idx="55">
                  <c:v>37.25</c:v>
                </c:pt>
                <c:pt idx="56">
                  <c:v>37.25</c:v>
                </c:pt>
                <c:pt idx="57">
                  <c:v>37.25</c:v>
                </c:pt>
                <c:pt idx="58">
                  <c:v>37.25</c:v>
                </c:pt>
                <c:pt idx="59">
                  <c:v>36.5</c:v>
                </c:pt>
                <c:pt idx="60">
                  <c:v>36.75</c:v>
                </c:pt>
                <c:pt idx="61">
                  <c:v>36.75</c:v>
                </c:pt>
                <c:pt idx="62">
                  <c:v>36.75</c:v>
                </c:pt>
                <c:pt idx="63">
                  <c:v>38</c:v>
                </c:pt>
              </c:numCache>
            </c:numRef>
          </c:val>
          <c:smooth val="1"/>
        </c:ser>
        <c:ser>
          <c:idx val="2"/>
          <c:order val="2"/>
          <c:tx>
            <c:strRef>
              <c:f>Forward!D21</c:f>
              <c:strCache>
                <c:ptCount val="1"/>
                <c:pt idx="0">
                  <c:v>2026-12</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Forward!$A$22:$A$85</c:f>
              <c:strCache>
                <c:ptCount val="64"/>
                <c:pt idx="0">
                  <c:v>2026-07-01</c:v>
                </c:pt>
                <c:pt idx="1">
                  <c:v>2026-07-02</c:v>
                </c:pt>
                <c:pt idx="2">
                  <c:v>2026-07-03</c:v>
                </c:pt>
                <c:pt idx="3">
                  <c:v>2026-07-06</c:v>
                </c:pt>
                <c:pt idx="4">
                  <c:v>2026-07-07</c:v>
                </c:pt>
                <c:pt idx="5">
                  <c:v>2026-07-08</c:v>
                </c:pt>
                <c:pt idx="6">
                  <c:v>2026-07-09</c:v>
                </c:pt>
                <c:pt idx="7">
                  <c:v>2026-07-10</c:v>
                </c:pt>
                <c:pt idx="8">
                  <c:v>2026-07-13</c:v>
                </c:pt>
                <c:pt idx="9">
                  <c:v>2026-07-14</c:v>
                </c:pt>
                <c:pt idx="10">
                  <c:v>2026-07-15</c:v>
                </c:pt>
                <c:pt idx="11">
                  <c:v>2026-07-16</c:v>
                </c:pt>
                <c:pt idx="12">
                  <c:v>2026-07-17</c:v>
                </c:pt>
                <c:pt idx="13">
                  <c:v>2026-07-20</c:v>
                </c:pt>
                <c:pt idx="14">
                  <c:v>2026-07-21</c:v>
                </c:pt>
                <c:pt idx="15">
                  <c:v>2026-07-22</c:v>
                </c:pt>
                <c:pt idx="16">
                  <c:v>2026-07-23</c:v>
                </c:pt>
                <c:pt idx="17">
                  <c:v>2026-07-24</c:v>
                </c:pt>
                <c:pt idx="18">
                  <c:v>2026-07-27</c:v>
                </c:pt>
                <c:pt idx="19">
                  <c:v>2026-07-28</c:v>
                </c:pt>
                <c:pt idx="20">
                  <c:v>2026-07-29</c:v>
                </c:pt>
                <c:pt idx="21">
                  <c:v>2026-07-30</c:v>
                </c:pt>
                <c:pt idx="22">
                  <c:v>2026-07-31</c:v>
                </c:pt>
                <c:pt idx="23">
                  <c:v>2026-08-03</c:v>
                </c:pt>
                <c:pt idx="24">
                  <c:v>2026-08-04</c:v>
                </c:pt>
                <c:pt idx="25">
                  <c:v>2026-08-05</c:v>
                </c:pt>
                <c:pt idx="26">
                  <c:v>2026-08-06</c:v>
                </c:pt>
                <c:pt idx="27">
                  <c:v>2026-08-07</c:v>
                </c:pt>
                <c:pt idx="28">
                  <c:v>2026-08-10</c:v>
                </c:pt>
                <c:pt idx="29">
                  <c:v>2026-08-11</c:v>
                </c:pt>
                <c:pt idx="30">
                  <c:v>2026-08-12</c:v>
                </c:pt>
                <c:pt idx="31">
                  <c:v>2026-08-13</c:v>
                </c:pt>
                <c:pt idx="32">
                  <c:v>2026-08-14</c:v>
                </c:pt>
                <c:pt idx="33">
                  <c:v>2026-08-17</c:v>
                </c:pt>
                <c:pt idx="34">
                  <c:v>2026-08-18</c:v>
                </c:pt>
                <c:pt idx="35">
                  <c:v>2026-08-19</c:v>
                </c:pt>
                <c:pt idx="36">
                  <c:v>2026-08-20</c:v>
                </c:pt>
                <c:pt idx="37">
                  <c:v>2026-08-21</c:v>
                </c:pt>
                <c:pt idx="38">
                  <c:v>2026-08-24</c:v>
                </c:pt>
                <c:pt idx="39">
                  <c:v>2026-08-25</c:v>
                </c:pt>
                <c:pt idx="40">
                  <c:v>2026-08-26</c:v>
                </c:pt>
                <c:pt idx="41">
                  <c:v>2026-08-27</c:v>
                </c:pt>
                <c:pt idx="42">
                  <c:v>2026-08-28</c:v>
                </c:pt>
                <c:pt idx="43">
                  <c:v>2026-08-31</c:v>
                </c:pt>
                <c:pt idx="44">
                  <c:v>2026-09-01</c:v>
                </c:pt>
                <c:pt idx="45">
                  <c:v>2026-09-02</c:v>
                </c:pt>
                <c:pt idx="46">
                  <c:v>2026-09-03</c:v>
                </c:pt>
                <c:pt idx="47">
                  <c:v>2026-09-04</c:v>
                </c:pt>
                <c:pt idx="48">
                  <c:v>2026-09-07</c:v>
                </c:pt>
                <c:pt idx="49">
                  <c:v>2026-09-08</c:v>
                </c:pt>
                <c:pt idx="50">
                  <c:v>2026-09-09</c:v>
                </c:pt>
                <c:pt idx="51">
                  <c:v>2026-09-10</c:v>
                </c:pt>
                <c:pt idx="52">
                  <c:v>2026-09-11</c:v>
                </c:pt>
                <c:pt idx="53">
                  <c:v>2026-09-14</c:v>
                </c:pt>
                <c:pt idx="54">
                  <c:v>2026-09-15</c:v>
                </c:pt>
                <c:pt idx="55">
                  <c:v>2026-09-16</c:v>
                </c:pt>
                <c:pt idx="56">
                  <c:v>2026-09-17</c:v>
                </c:pt>
                <c:pt idx="57">
                  <c:v>2026-09-18</c:v>
                </c:pt>
                <c:pt idx="58">
                  <c:v>2026-09-21</c:v>
                </c:pt>
                <c:pt idx="59">
                  <c:v>2026-09-22</c:v>
                </c:pt>
                <c:pt idx="60">
                  <c:v>2026-09-23</c:v>
                </c:pt>
                <c:pt idx="61">
                  <c:v>2026-09-24</c:v>
                </c:pt>
                <c:pt idx="62">
                  <c:v>2026-09-25</c:v>
                </c:pt>
                <c:pt idx="63">
                  <c:v>2026-09-28</c:v>
                </c:pt>
              </c:strCache>
            </c:strRef>
          </c:cat>
          <c:val>
            <c:numRef>
              <c:f>Forward!$D$22:$D$85</c:f>
              <c:numCache>
                <c:formatCode>0.00</c:formatCode>
                <c:ptCount val="64"/>
                <c:pt idx="0">
                  <c:v>49</c:v>
                </c:pt>
                <c:pt idx="1">
                  <c:v>49.75</c:v>
                </c:pt>
                <c:pt idx="2">
                  <c:v>49.75</c:v>
                </c:pt>
                <c:pt idx="3">
                  <c:v>49.75</c:v>
                </c:pt>
                <c:pt idx="4">
                  <c:v>50</c:v>
                </c:pt>
                <c:pt idx="5">
                  <c:v>50</c:v>
                </c:pt>
                <c:pt idx="6">
                  <c:v>50</c:v>
                </c:pt>
                <c:pt idx="7">
                  <c:v>50</c:v>
                </c:pt>
                <c:pt idx="8">
                  <c:v>49.25</c:v>
                </c:pt>
                <c:pt idx="9">
                  <c:v>49.25</c:v>
                </c:pt>
                <c:pt idx="10">
                  <c:v>49.5</c:v>
                </c:pt>
                <c:pt idx="11">
                  <c:v>50</c:v>
                </c:pt>
                <c:pt idx="12">
                  <c:v>50</c:v>
                </c:pt>
                <c:pt idx="13">
                  <c:v>50</c:v>
                </c:pt>
                <c:pt idx="14">
                  <c:v>50</c:v>
                </c:pt>
                <c:pt idx="15">
                  <c:v>50</c:v>
                </c:pt>
                <c:pt idx="16">
                  <c:v>50</c:v>
                </c:pt>
                <c:pt idx="17">
                  <c:v>50</c:v>
                </c:pt>
                <c:pt idx="18">
                  <c:v>49.75</c:v>
                </c:pt>
                <c:pt idx="19">
                  <c:v>49</c:v>
                </c:pt>
                <c:pt idx="20">
                  <c:v>49</c:v>
                </c:pt>
                <c:pt idx="21">
                  <c:v>49</c:v>
                </c:pt>
                <c:pt idx="22">
                  <c:v>49</c:v>
                </c:pt>
                <c:pt idx="23">
                  <c:v>49</c:v>
                </c:pt>
                <c:pt idx="24">
                  <c:v>48.75</c:v>
                </c:pt>
                <c:pt idx="25">
                  <c:v>47.25</c:v>
                </c:pt>
                <c:pt idx="26">
                  <c:v>47.25</c:v>
                </c:pt>
                <c:pt idx="27">
                  <c:v>47.25</c:v>
                </c:pt>
                <c:pt idx="28">
                  <c:v>47.25</c:v>
                </c:pt>
                <c:pt idx="29">
                  <c:v>46.75</c:v>
                </c:pt>
                <c:pt idx="30">
                  <c:v>46.5</c:v>
                </c:pt>
                <c:pt idx="31">
                  <c:v>46.5</c:v>
                </c:pt>
                <c:pt idx="32">
                  <c:v>46.75</c:v>
                </c:pt>
                <c:pt idx="33">
                  <c:v>46.75</c:v>
                </c:pt>
                <c:pt idx="34">
                  <c:v>47.25</c:v>
                </c:pt>
                <c:pt idx="35">
                  <c:v>47.25</c:v>
                </c:pt>
                <c:pt idx="36">
                  <c:v>47.25</c:v>
                </c:pt>
                <c:pt idx="37">
                  <c:v>46.5</c:v>
                </c:pt>
                <c:pt idx="38">
                  <c:v>46.5</c:v>
                </c:pt>
                <c:pt idx="39">
                  <c:v>46.5</c:v>
                </c:pt>
                <c:pt idx="40">
                  <c:v>46.5</c:v>
                </c:pt>
                <c:pt idx="41">
                  <c:v>46.25</c:v>
                </c:pt>
                <c:pt idx="42">
                  <c:v>46.25</c:v>
                </c:pt>
                <c:pt idx="43">
                  <c:v>46.25</c:v>
                </c:pt>
                <c:pt idx="44">
                  <c:v>46.25</c:v>
                </c:pt>
                <c:pt idx="45">
                  <c:v>46.25</c:v>
                </c:pt>
                <c:pt idx="46">
                  <c:v>46</c:v>
                </c:pt>
                <c:pt idx="47">
                  <c:v>46.75</c:v>
                </c:pt>
                <c:pt idx="48">
                  <c:v>46.75</c:v>
                </c:pt>
                <c:pt idx="49">
                  <c:v>46.25</c:v>
                </c:pt>
                <c:pt idx="50">
                  <c:v>46</c:v>
                </c:pt>
                <c:pt idx="51">
                  <c:v>46.25</c:v>
                </c:pt>
                <c:pt idx="52">
                  <c:v>46.25</c:v>
                </c:pt>
                <c:pt idx="53">
                  <c:v>46.25</c:v>
                </c:pt>
                <c:pt idx="54">
                  <c:v>46.25</c:v>
                </c:pt>
                <c:pt idx="55">
                  <c:v>46</c:v>
                </c:pt>
                <c:pt idx="56">
                  <c:v>46</c:v>
                </c:pt>
                <c:pt idx="57">
                  <c:v>46</c:v>
                </c:pt>
                <c:pt idx="58">
                  <c:v>46</c:v>
                </c:pt>
                <c:pt idx="59">
                  <c:v>44.5</c:v>
                </c:pt>
                <c:pt idx="60">
                  <c:v>44.75</c:v>
                </c:pt>
                <c:pt idx="61">
                  <c:v>44.75</c:v>
                </c:pt>
                <c:pt idx="62">
                  <c:v>44.75</c:v>
                </c:pt>
                <c:pt idx="63">
                  <c:v>45.5</c:v>
                </c:pt>
              </c:numCache>
            </c:numRef>
          </c:val>
          <c:smooth val="1"/>
        </c:ser>
        <c:ser>
          <c:idx val="3"/>
          <c:order val="3"/>
          <c:tx>
            <c:strRef>
              <c:f>Forward!E21</c:f>
              <c:strCache>
                <c:ptCount val="1"/>
                <c:pt idx="0">
                  <c:v>2027-01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Forward!$A$22:$A$85</c:f>
              <c:strCache>
                <c:ptCount val="64"/>
                <c:pt idx="0">
                  <c:v>2026-07-01</c:v>
                </c:pt>
                <c:pt idx="1">
                  <c:v>2026-07-02</c:v>
                </c:pt>
                <c:pt idx="2">
                  <c:v>2026-07-03</c:v>
                </c:pt>
                <c:pt idx="3">
                  <c:v>2026-07-06</c:v>
                </c:pt>
                <c:pt idx="4">
                  <c:v>2026-07-07</c:v>
                </c:pt>
                <c:pt idx="5">
                  <c:v>2026-07-08</c:v>
                </c:pt>
                <c:pt idx="6">
                  <c:v>2026-07-09</c:v>
                </c:pt>
                <c:pt idx="7">
                  <c:v>2026-07-10</c:v>
                </c:pt>
                <c:pt idx="8">
                  <c:v>2026-07-13</c:v>
                </c:pt>
                <c:pt idx="9">
                  <c:v>2026-07-14</c:v>
                </c:pt>
                <c:pt idx="10">
                  <c:v>2026-07-15</c:v>
                </c:pt>
                <c:pt idx="11">
                  <c:v>2026-07-16</c:v>
                </c:pt>
                <c:pt idx="12">
                  <c:v>2026-07-17</c:v>
                </c:pt>
                <c:pt idx="13">
                  <c:v>2026-07-20</c:v>
                </c:pt>
                <c:pt idx="14">
                  <c:v>2026-07-21</c:v>
                </c:pt>
                <c:pt idx="15">
                  <c:v>2026-07-22</c:v>
                </c:pt>
                <c:pt idx="16">
                  <c:v>2026-07-23</c:v>
                </c:pt>
                <c:pt idx="17">
                  <c:v>2026-07-24</c:v>
                </c:pt>
                <c:pt idx="18">
                  <c:v>2026-07-27</c:v>
                </c:pt>
                <c:pt idx="19">
                  <c:v>2026-07-28</c:v>
                </c:pt>
                <c:pt idx="20">
                  <c:v>2026-07-29</c:v>
                </c:pt>
                <c:pt idx="21">
                  <c:v>2026-07-30</c:v>
                </c:pt>
                <c:pt idx="22">
                  <c:v>2026-07-31</c:v>
                </c:pt>
                <c:pt idx="23">
                  <c:v>2026-08-03</c:v>
                </c:pt>
                <c:pt idx="24">
                  <c:v>2026-08-04</c:v>
                </c:pt>
                <c:pt idx="25">
                  <c:v>2026-08-05</c:v>
                </c:pt>
                <c:pt idx="26">
                  <c:v>2026-08-06</c:v>
                </c:pt>
                <c:pt idx="27">
                  <c:v>2026-08-07</c:v>
                </c:pt>
                <c:pt idx="28">
                  <c:v>2026-08-10</c:v>
                </c:pt>
                <c:pt idx="29">
                  <c:v>2026-08-11</c:v>
                </c:pt>
                <c:pt idx="30">
                  <c:v>2026-08-12</c:v>
                </c:pt>
                <c:pt idx="31">
                  <c:v>2026-08-13</c:v>
                </c:pt>
                <c:pt idx="32">
                  <c:v>2026-08-14</c:v>
                </c:pt>
                <c:pt idx="33">
                  <c:v>2026-08-17</c:v>
                </c:pt>
                <c:pt idx="34">
                  <c:v>2026-08-18</c:v>
                </c:pt>
                <c:pt idx="35">
                  <c:v>2026-08-19</c:v>
                </c:pt>
                <c:pt idx="36">
                  <c:v>2026-08-20</c:v>
                </c:pt>
                <c:pt idx="37">
                  <c:v>2026-08-21</c:v>
                </c:pt>
                <c:pt idx="38">
                  <c:v>2026-08-24</c:v>
                </c:pt>
                <c:pt idx="39">
                  <c:v>2026-08-25</c:v>
                </c:pt>
                <c:pt idx="40">
                  <c:v>2026-08-26</c:v>
                </c:pt>
                <c:pt idx="41">
                  <c:v>2026-08-27</c:v>
                </c:pt>
                <c:pt idx="42">
                  <c:v>2026-08-28</c:v>
                </c:pt>
                <c:pt idx="43">
                  <c:v>2026-08-31</c:v>
                </c:pt>
                <c:pt idx="44">
                  <c:v>2026-09-01</c:v>
                </c:pt>
                <c:pt idx="45">
                  <c:v>2026-09-02</c:v>
                </c:pt>
                <c:pt idx="46">
                  <c:v>2026-09-03</c:v>
                </c:pt>
                <c:pt idx="47">
                  <c:v>2026-09-04</c:v>
                </c:pt>
                <c:pt idx="48">
                  <c:v>2026-09-07</c:v>
                </c:pt>
                <c:pt idx="49">
                  <c:v>2026-09-08</c:v>
                </c:pt>
                <c:pt idx="50">
                  <c:v>2026-09-09</c:v>
                </c:pt>
                <c:pt idx="51">
                  <c:v>2026-09-10</c:v>
                </c:pt>
                <c:pt idx="52">
                  <c:v>2026-09-11</c:v>
                </c:pt>
                <c:pt idx="53">
                  <c:v>2026-09-14</c:v>
                </c:pt>
                <c:pt idx="54">
                  <c:v>2026-09-15</c:v>
                </c:pt>
                <c:pt idx="55">
                  <c:v>2026-09-16</c:v>
                </c:pt>
                <c:pt idx="56">
                  <c:v>2026-09-17</c:v>
                </c:pt>
                <c:pt idx="57">
                  <c:v>2026-09-18</c:v>
                </c:pt>
                <c:pt idx="58">
                  <c:v>2026-09-21</c:v>
                </c:pt>
                <c:pt idx="59">
                  <c:v>2026-09-22</c:v>
                </c:pt>
                <c:pt idx="60">
                  <c:v>2026-09-23</c:v>
                </c:pt>
                <c:pt idx="61">
                  <c:v>2026-09-24</c:v>
                </c:pt>
                <c:pt idx="62">
                  <c:v>2026-09-25</c:v>
                </c:pt>
                <c:pt idx="63">
                  <c:v>2026-09-28</c:v>
                </c:pt>
              </c:strCache>
            </c:strRef>
          </c:cat>
          <c:val>
            <c:numRef>
              <c:f>Forward!$E$22:$E$85</c:f>
              <c:numCache>
                <c:formatCode>0.00</c:formatCode>
                <c:ptCount val="64"/>
                <c:pt idx="0">
                  <c:v>54.75</c:v>
                </c:pt>
                <c:pt idx="1">
                  <c:v>54.75</c:v>
                </c:pt>
                <c:pt idx="2">
                  <c:v>54.75</c:v>
                </c:pt>
                <c:pt idx="3">
                  <c:v>54.75</c:v>
                </c:pt>
                <c:pt idx="4">
                  <c:v>55.25</c:v>
                </c:pt>
                <c:pt idx="5">
                  <c:v>55.25</c:v>
                </c:pt>
                <c:pt idx="6">
                  <c:v>55.25</c:v>
                </c:pt>
                <c:pt idx="7">
                  <c:v>55.25</c:v>
                </c:pt>
                <c:pt idx="8">
                  <c:v>55.25</c:v>
                </c:pt>
                <c:pt idx="9">
                  <c:v>55.5</c:v>
                </c:pt>
                <c:pt idx="10">
                  <c:v>55.25</c:v>
                </c:pt>
                <c:pt idx="11">
                  <c:v>56.5</c:v>
                </c:pt>
                <c:pt idx="12">
                  <c:v>55.5</c:v>
                </c:pt>
                <c:pt idx="13">
                  <c:v>55.5</c:v>
                </c:pt>
                <c:pt idx="14">
                  <c:v>56</c:v>
                </c:pt>
                <c:pt idx="15">
                  <c:v>56</c:v>
                </c:pt>
                <c:pt idx="16">
                  <c:v>55.75</c:v>
                </c:pt>
                <c:pt idx="17">
                  <c:v>55.75</c:v>
                </c:pt>
                <c:pt idx="18">
                  <c:v>55.75</c:v>
                </c:pt>
                <c:pt idx="19">
                  <c:v>55.25</c:v>
                </c:pt>
                <c:pt idx="20">
                  <c:v>53.75</c:v>
                </c:pt>
                <c:pt idx="21">
                  <c:v>53.75</c:v>
                </c:pt>
                <c:pt idx="22">
                  <c:v>53.75</c:v>
                </c:pt>
                <c:pt idx="23">
                  <c:v>53.75</c:v>
                </c:pt>
                <c:pt idx="24">
                  <c:v>53</c:v>
                </c:pt>
                <c:pt idx="25">
                  <c:v>52</c:v>
                </c:pt>
                <c:pt idx="26">
                  <c:v>52</c:v>
                </c:pt>
                <c:pt idx="27">
                  <c:v>52</c:v>
                </c:pt>
                <c:pt idx="28">
                  <c:v>51.75</c:v>
                </c:pt>
                <c:pt idx="29">
                  <c:v>51.5</c:v>
                </c:pt>
                <c:pt idx="30">
                  <c:v>50.5</c:v>
                </c:pt>
                <c:pt idx="31">
                  <c:v>50.75</c:v>
                </c:pt>
                <c:pt idx="32">
                  <c:v>50.75</c:v>
                </c:pt>
                <c:pt idx="33">
                  <c:v>50.75</c:v>
                </c:pt>
                <c:pt idx="34">
                  <c:v>50.25</c:v>
                </c:pt>
                <c:pt idx="35">
                  <c:v>50.5</c:v>
                </c:pt>
                <c:pt idx="36">
                  <c:v>50.4</c:v>
                </c:pt>
                <c:pt idx="37">
                  <c:v>50.15</c:v>
                </c:pt>
                <c:pt idx="38">
                  <c:v>50</c:v>
                </c:pt>
                <c:pt idx="39">
                  <c:v>50</c:v>
                </c:pt>
                <c:pt idx="40">
                  <c:v>50.2</c:v>
                </c:pt>
                <c:pt idx="41">
                  <c:v>49.75</c:v>
                </c:pt>
                <c:pt idx="42">
                  <c:v>49.25</c:v>
                </c:pt>
                <c:pt idx="43">
                  <c:v>49.25</c:v>
                </c:pt>
                <c:pt idx="44">
                  <c:v>49.25</c:v>
                </c:pt>
                <c:pt idx="45">
                  <c:v>49.5</c:v>
                </c:pt>
                <c:pt idx="46">
                  <c:v>49.75</c:v>
                </c:pt>
                <c:pt idx="47">
                  <c:v>49.75</c:v>
                </c:pt>
                <c:pt idx="48">
                  <c:v>49.75</c:v>
                </c:pt>
                <c:pt idx="49">
                  <c:v>49.5</c:v>
                </c:pt>
                <c:pt idx="50">
                  <c:v>49.5</c:v>
                </c:pt>
                <c:pt idx="51">
                  <c:v>50.5</c:v>
                </c:pt>
                <c:pt idx="52">
                  <c:v>50.75</c:v>
                </c:pt>
                <c:pt idx="53">
                  <c:v>51.55</c:v>
                </c:pt>
                <c:pt idx="54">
                  <c:v>51.55</c:v>
                </c:pt>
                <c:pt idx="55">
                  <c:v>51</c:v>
                </c:pt>
                <c:pt idx="56">
                  <c:v>51</c:v>
                </c:pt>
                <c:pt idx="57">
                  <c:v>51</c:v>
                </c:pt>
                <c:pt idx="58">
                  <c:v>51</c:v>
                </c:pt>
                <c:pt idx="59">
                  <c:v>51</c:v>
                </c:pt>
                <c:pt idx="60">
                  <c:v>50.7</c:v>
                </c:pt>
                <c:pt idx="61">
                  <c:v>50.7</c:v>
                </c:pt>
                <c:pt idx="62">
                  <c:v>50.7</c:v>
                </c:pt>
                <c:pt idx="63">
                  <c:v>50.7</c:v>
                </c:pt>
              </c:numCache>
            </c:numRef>
          </c:val>
          <c:smooth val="1"/>
        </c:ser>
        <c:ser>
          <c:idx val="4"/>
          <c:order val="4"/>
          <c:tx>
            <c:strRef>
              <c:f>Forward!F21</c:f>
              <c:strCache>
                <c:ptCount val="1"/>
                <c:pt idx="0">
                  <c:v>2027-02</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Forward!$A$22:$A$85</c:f>
              <c:strCache>
                <c:ptCount val="64"/>
                <c:pt idx="0">
                  <c:v>2026-07-01</c:v>
                </c:pt>
                <c:pt idx="1">
                  <c:v>2026-07-02</c:v>
                </c:pt>
                <c:pt idx="2">
                  <c:v>2026-07-03</c:v>
                </c:pt>
                <c:pt idx="3">
                  <c:v>2026-07-06</c:v>
                </c:pt>
                <c:pt idx="4">
                  <c:v>2026-07-07</c:v>
                </c:pt>
                <c:pt idx="5">
                  <c:v>2026-07-08</c:v>
                </c:pt>
                <c:pt idx="6">
                  <c:v>2026-07-09</c:v>
                </c:pt>
                <c:pt idx="7">
                  <c:v>2026-07-10</c:v>
                </c:pt>
                <c:pt idx="8">
                  <c:v>2026-07-13</c:v>
                </c:pt>
                <c:pt idx="9">
                  <c:v>2026-07-14</c:v>
                </c:pt>
                <c:pt idx="10">
                  <c:v>2026-07-15</c:v>
                </c:pt>
                <c:pt idx="11">
                  <c:v>2026-07-16</c:v>
                </c:pt>
                <c:pt idx="12">
                  <c:v>2026-07-17</c:v>
                </c:pt>
                <c:pt idx="13">
                  <c:v>2026-07-20</c:v>
                </c:pt>
                <c:pt idx="14">
                  <c:v>2026-07-21</c:v>
                </c:pt>
                <c:pt idx="15">
                  <c:v>2026-07-22</c:v>
                </c:pt>
                <c:pt idx="16">
                  <c:v>2026-07-23</c:v>
                </c:pt>
                <c:pt idx="17">
                  <c:v>2026-07-24</c:v>
                </c:pt>
                <c:pt idx="18">
                  <c:v>2026-07-27</c:v>
                </c:pt>
                <c:pt idx="19">
                  <c:v>2026-07-28</c:v>
                </c:pt>
                <c:pt idx="20">
                  <c:v>2026-07-29</c:v>
                </c:pt>
                <c:pt idx="21">
                  <c:v>2026-07-30</c:v>
                </c:pt>
                <c:pt idx="22">
                  <c:v>2026-07-31</c:v>
                </c:pt>
                <c:pt idx="23">
                  <c:v>2026-08-03</c:v>
                </c:pt>
                <c:pt idx="24">
                  <c:v>2026-08-04</c:v>
                </c:pt>
                <c:pt idx="25">
                  <c:v>2026-08-05</c:v>
                </c:pt>
                <c:pt idx="26">
                  <c:v>2026-08-06</c:v>
                </c:pt>
                <c:pt idx="27">
                  <c:v>2026-08-07</c:v>
                </c:pt>
                <c:pt idx="28">
                  <c:v>2026-08-10</c:v>
                </c:pt>
                <c:pt idx="29">
                  <c:v>2026-08-11</c:v>
                </c:pt>
                <c:pt idx="30">
                  <c:v>2026-08-12</c:v>
                </c:pt>
                <c:pt idx="31">
                  <c:v>2026-08-13</c:v>
                </c:pt>
                <c:pt idx="32">
                  <c:v>2026-08-14</c:v>
                </c:pt>
                <c:pt idx="33">
                  <c:v>2026-08-17</c:v>
                </c:pt>
                <c:pt idx="34">
                  <c:v>2026-08-18</c:v>
                </c:pt>
                <c:pt idx="35">
                  <c:v>2026-08-19</c:v>
                </c:pt>
                <c:pt idx="36">
                  <c:v>2026-08-20</c:v>
                </c:pt>
                <c:pt idx="37">
                  <c:v>2026-08-21</c:v>
                </c:pt>
                <c:pt idx="38">
                  <c:v>2026-08-24</c:v>
                </c:pt>
                <c:pt idx="39">
                  <c:v>2026-08-25</c:v>
                </c:pt>
                <c:pt idx="40">
                  <c:v>2026-08-26</c:v>
                </c:pt>
                <c:pt idx="41">
                  <c:v>2026-08-27</c:v>
                </c:pt>
                <c:pt idx="42">
                  <c:v>2026-08-28</c:v>
                </c:pt>
                <c:pt idx="43">
                  <c:v>2026-08-31</c:v>
                </c:pt>
                <c:pt idx="44">
                  <c:v>2026-09-01</c:v>
                </c:pt>
                <c:pt idx="45">
                  <c:v>2026-09-02</c:v>
                </c:pt>
                <c:pt idx="46">
                  <c:v>2026-09-03</c:v>
                </c:pt>
                <c:pt idx="47">
                  <c:v>2026-09-04</c:v>
                </c:pt>
                <c:pt idx="48">
                  <c:v>2026-09-07</c:v>
                </c:pt>
                <c:pt idx="49">
                  <c:v>2026-09-08</c:v>
                </c:pt>
                <c:pt idx="50">
                  <c:v>2026-09-09</c:v>
                </c:pt>
                <c:pt idx="51">
                  <c:v>2026-09-10</c:v>
                </c:pt>
                <c:pt idx="52">
                  <c:v>2026-09-11</c:v>
                </c:pt>
                <c:pt idx="53">
                  <c:v>2026-09-14</c:v>
                </c:pt>
                <c:pt idx="54">
                  <c:v>2026-09-15</c:v>
                </c:pt>
                <c:pt idx="55">
                  <c:v>2026-09-16</c:v>
                </c:pt>
                <c:pt idx="56">
                  <c:v>2026-09-17</c:v>
                </c:pt>
                <c:pt idx="57">
                  <c:v>2026-09-18</c:v>
                </c:pt>
                <c:pt idx="58">
                  <c:v>2026-09-21</c:v>
                </c:pt>
                <c:pt idx="59">
                  <c:v>2026-09-22</c:v>
                </c:pt>
                <c:pt idx="60">
                  <c:v>2026-09-23</c:v>
                </c:pt>
                <c:pt idx="61">
                  <c:v>2026-09-24</c:v>
                </c:pt>
                <c:pt idx="62">
                  <c:v>2026-09-25</c:v>
                </c:pt>
                <c:pt idx="63">
                  <c:v>2026-09-28</c:v>
                </c:pt>
              </c:strCache>
            </c:strRef>
          </c:cat>
          <c:val>
            <c:numRef>
              <c:f>Forward!$F$22:$F$85</c:f>
              <c:numCache>
                <c:formatCode>0.00</c:formatCode>
                <c:ptCount val="64"/>
                <c:pt idx="0">
                  <c:v>52.5</c:v>
                </c:pt>
                <c:pt idx="1">
                  <c:v>52.5</c:v>
                </c:pt>
                <c:pt idx="2">
                  <c:v>52.5</c:v>
                </c:pt>
                <c:pt idx="3">
                  <c:v>52.5</c:v>
                </c:pt>
                <c:pt idx="4">
                  <c:v>53</c:v>
                </c:pt>
                <c:pt idx="5">
                  <c:v>53</c:v>
                </c:pt>
                <c:pt idx="6">
                  <c:v>53</c:v>
                </c:pt>
                <c:pt idx="7">
                  <c:v>53</c:v>
                </c:pt>
                <c:pt idx="8">
                  <c:v>53</c:v>
                </c:pt>
                <c:pt idx="9">
                  <c:v>53</c:v>
                </c:pt>
                <c:pt idx="10">
                  <c:v>53</c:v>
                </c:pt>
                <c:pt idx="11">
                  <c:v>53</c:v>
                </c:pt>
                <c:pt idx="12">
                  <c:v>53.25</c:v>
                </c:pt>
                <c:pt idx="13">
                  <c:v>53.25</c:v>
                </c:pt>
                <c:pt idx="14">
                  <c:v>53.75</c:v>
                </c:pt>
                <c:pt idx="15">
                  <c:v>53.75</c:v>
                </c:pt>
                <c:pt idx="16">
                  <c:v>53.5</c:v>
                </c:pt>
                <c:pt idx="17">
                  <c:v>53.5</c:v>
                </c:pt>
                <c:pt idx="18">
                  <c:v>53.5</c:v>
                </c:pt>
                <c:pt idx="19">
                  <c:v>53</c:v>
                </c:pt>
                <c:pt idx="20">
                  <c:v>51.75</c:v>
                </c:pt>
                <c:pt idx="21">
                  <c:v>51.75</c:v>
                </c:pt>
                <c:pt idx="22">
                  <c:v>51.75</c:v>
                </c:pt>
                <c:pt idx="23">
                  <c:v>51.75</c:v>
                </c:pt>
                <c:pt idx="24">
                  <c:v>51</c:v>
                </c:pt>
                <c:pt idx="25">
                  <c:v>49.75</c:v>
                </c:pt>
                <c:pt idx="26">
                  <c:v>49.75</c:v>
                </c:pt>
                <c:pt idx="27">
                  <c:v>49.75</c:v>
                </c:pt>
                <c:pt idx="28">
                  <c:v>49.5</c:v>
                </c:pt>
                <c:pt idx="29">
                  <c:v>49.25</c:v>
                </c:pt>
                <c:pt idx="30">
                  <c:v>48.75</c:v>
                </c:pt>
                <c:pt idx="31">
                  <c:v>49</c:v>
                </c:pt>
                <c:pt idx="32">
                  <c:v>49</c:v>
                </c:pt>
                <c:pt idx="33">
                  <c:v>49</c:v>
                </c:pt>
                <c:pt idx="34">
                  <c:v>48.75</c:v>
                </c:pt>
                <c:pt idx="35">
                  <c:v>48.75</c:v>
                </c:pt>
                <c:pt idx="36">
                  <c:v>48.7</c:v>
                </c:pt>
                <c:pt idx="37">
                  <c:v>48.45</c:v>
                </c:pt>
                <c:pt idx="38">
                  <c:v>48.25</c:v>
                </c:pt>
                <c:pt idx="39">
                  <c:v>48.25</c:v>
                </c:pt>
                <c:pt idx="40">
                  <c:v>48.25</c:v>
                </c:pt>
                <c:pt idx="41">
                  <c:v>47.75</c:v>
                </c:pt>
                <c:pt idx="42">
                  <c:v>47.25</c:v>
                </c:pt>
                <c:pt idx="43">
                  <c:v>47.25</c:v>
                </c:pt>
                <c:pt idx="44">
                  <c:v>47.25</c:v>
                </c:pt>
                <c:pt idx="45">
                  <c:v>47.5</c:v>
                </c:pt>
                <c:pt idx="46">
                  <c:v>47.5</c:v>
                </c:pt>
                <c:pt idx="47">
                  <c:v>47.5</c:v>
                </c:pt>
                <c:pt idx="48">
                  <c:v>47.5</c:v>
                </c:pt>
                <c:pt idx="49">
                  <c:v>47.5</c:v>
                </c:pt>
                <c:pt idx="50">
                  <c:v>47.75</c:v>
                </c:pt>
                <c:pt idx="51">
                  <c:v>48.5</c:v>
                </c:pt>
                <c:pt idx="52">
                  <c:v>49</c:v>
                </c:pt>
                <c:pt idx="53">
                  <c:v>49.8</c:v>
                </c:pt>
                <c:pt idx="54">
                  <c:v>49.8</c:v>
                </c:pt>
                <c:pt idx="55">
                  <c:v>49.75</c:v>
                </c:pt>
                <c:pt idx="56">
                  <c:v>49.75</c:v>
                </c:pt>
                <c:pt idx="57">
                  <c:v>49.75</c:v>
                </c:pt>
                <c:pt idx="58">
                  <c:v>49.75</c:v>
                </c:pt>
                <c:pt idx="59">
                  <c:v>49.75</c:v>
                </c:pt>
                <c:pt idx="60">
                  <c:v>49.5</c:v>
                </c:pt>
                <c:pt idx="61">
                  <c:v>49.5</c:v>
                </c:pt>
                <c:pt idx="62">
                  <c:v>49.5</c:v>
                </c:pt>
                <c:pt idx="63">
                  <c:v>49.5</c:v>
                </c:pt>
              </c:numCache>
            </c:numRef>
          </c:val>
          <c:smooth val="1"/>
        </c:ser>
        <c:ser>
          <c:idx val="5"/>
          <c:order val="5"/>
          <c:tx>
            <c:strRef>
              <c:f>Forward!G21</c:f>
              <c:strCache>
                <c:ptCount val="1"/>
                <c:pt idx="0">
                  <c:v>2027-03</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Forward!$A$22:$A$85</c:f>
              <c:strCache>
                <c:ptCount val="64"/>
                <c:pt idx="0">
                  <c:v>2026-07-01</c:v>
                </c:pt>
                <c:pt idx="1">
                  <c:v>2026-07-02</c:v>
                </c:pt>
                <c:pt idx="2">
                  <c:v>2026-07-03</c:v>
                </c:pt>
                <c:pt idx="3">
                  <c:v>2026-07-06</c:v>
                </c:pt>
                <c:pt idx="4">
                  <c:v>2026-07-07</c:v>
                </c:pt>
                <c:pt idx="5">
                  <c:v>2026-07-08</c:v>
                </c:pt>
                <c:pt idx="6">
                  <c:v>2026-07-09</c:v>
                </c:pt>
                <c:pt idx="7">
                  <c:v>2026-07-10</c:v>
                </c:pt>
                <c:pt idx="8">
                  <c:v>2026-07-13</c:v>
                </c:pt>
                <c:pt idx="9">
                  <c:v>2026-07-14</c:v>
                </c:pt>
                <c:pt idx="10">
                  <c:v>2026-07-15</c:v>
                </c:pt>
                <c:pt idx="11">
                  <c:v>2026-07-16</c:v>
                </c:pt>
                <c:pt idx="12">
                  <c:v>2026-07-17</c:v>
                </c:pt>
                <c:pt idx="13">
                  <c:v>2026-07-20</c:v>
                </c:pt>
                <c:pt idx="14">
                  <c:v>2026-07-21</c:v>
                </c:pt>
                <c:pt idx="15">
                  <c:v>2026-07-22</c:v>
                </c:pt>
                <c:pt idx="16">
                  <c:v>2026-07-23</c:v>
                </c:pt>
                <c:pt idx="17">
                  <c:v>2026-07-24</c:v>
                </c:pt>
                <c:pt idx="18">
                  <c:v>2026-07-27</c:v>
                </c:pt>
                <c:pt idx="19">
                  <c:v>2026-07-28</c:v>
                </c:pt>
                <c:pt idx="20">
                  <c:v>2026-07-29</c:v>
                </c:pt>
                <c:pt idx="21">
                  <c:v>2026-07-30</c:v>
                </c:pt>
                <c:pt idx="22">
                  <c:v>2026-07-31</c:v>
                </c:pt>
                <c:pt idx="23">
                  <c:v>2026-08-03</c:v>
                </c:pt>
                <c:pt idx="24">
                  <c:v>2026-08-04</c:v>
                </c:pt>
                <c:pt idx="25">
                  <c:v>2026-08-05</c:v>
                </c:pt>
                <c:pt idx="26">
                  <c:v>2026-08-06</c:v>
                </c:pt>
                <c:pt idx="27">
                  <c:v>2026-08-07</c:v>
                </c:pt>
                <c:pt idx="28">
                  <c:v>2026-08-10</c:v>
                </c:pt>
                <c:pt idx="29">
                  <c:v>2026-08-11</c:v>
                </c:pt>
                <c:pt idx="30">
                  <c:v>2026-08-12</c:v>
                </c:pt>
                <c:pt idx="31">
                  <c:v>2026-08-13</c:v>
                </c:pt>
                <c:pt idx="32">
                  <c:v>2026-08-14</c:v>
                </c:pt>
                <c:pt idx="33">
                  <c:v>2026-08-17</c:v>
                </c:pt>
                <c:pt idx="34">
                  <c:v>2026-08-18</c:v>
                </c:pt>
                <c:pt idx="35">
                  <c:v>2026-08-19</c:v>
                </c:pt>
                <c:pt idx="36">
                  <c:v>2026-08-20</c:v>
                </c:pt>
                <c:pt idx="37">
                  <c:v>2026-08-21</c:v>
                </c:pt>
                <c:pt idx="38">
                  <c:v>2026-08-24</c:v>
                </c:pt>
                <c:pt idx="39">
                  <c:v>2026-08-25</c:v>
                </c:pt>
                <c:pt idx="40">
                  <c:v>2026-08-26</c:v>
                </c:pt>
                <c:pt idx="41">
                  <c:v>2026-08-27</c:v>
                </c:pt>
                <c:pt idx="42">
                  <c:v>2026-08-28</c:v>
                </c:pt>
                <c:pt idx="43">
                  <c:v>2026-08-31</c:v>
                </c:pt>
                <c:pt idx="44">
                  <c:v>2026-09-01</c:v>
                </c:pt>
                <c:pt idx="45">
                  <c:v>2026-09-02</c:v>
                </c:pt>
                <c:pt idx="46">
                  <c:v>2026-09-03</c:v>
                </c:pt>
                <c:pt idx="47">
                  <c:v>2026-09-04</c:v>
                </c:pt>
                <c:pt idx="48">
                  <c:v>2026-09-07</c:v>
                </c:pt>
                <c:pt idx="49">
                  <c:v>2026-09-08</c:v>
                </c:pt>
                <c:pt idx="50">
                  <c:v>2026-09-09</c:v>
                </c:pt>
                <c:pt idx="51">
                  <c:v>2026-09-10</c:v>
                </c:pt>
                <c:pt idx="52">
                  <c:v>2026-09-11</c:v>
                </c:pt>
                <c:pt idx="53">
                  <c:v>2026-09-14</c:v>
                </c:pt>
                <c:pt idx="54">
                  <c:v>2026-09-15</c:v>
                </c:pt>
                <c:pt idx="55">
                  <c:v>2026-09-16</c:v>
                </c:pt>
                <c:pt idx="56">
                  <c:v>2026-09-17</c:v>
                </c:pt>
                <c:pt idx="57">
                  <c:v>2026-09-18</c:v>
                </c:pt>
                <c:pt idx="58">
                  <c:v>2026-09-21</c:v>
                </c:pt>
                <c:pt idx="59">
                  <c:v>2026-09-22</c:v>
                </c:pt>
                <c:pt idx="60">
                  <c:v>2026-09-23</c:v>
                </c:pt>
                <c:pt idx="61">
                  <c:v>2026-09-24</c:v>
                </c:pt>
                <c:pt idx="62">
                  <c:v>2026-09-25</c:v>
                </c:pt>
                <c:pt idx="63">
                  <c:v>2026-09-28</c:v>
                </c:pt>
              </c:strCache>
            </c:strRef>
          </c:cat>
          <c:val>
            <c:numRef>
              <c:f>Forward!$G$22:$G$85</c:f>
              <c:numCache>
                <c:formatCode>0.00</c:formatCode>
                <c:ptCount val="64"/>
                <c:pt idx="0">
                  <c:v>42</c:v>
                </c:pt>
                <c:pt idx="1">
                  <c:v>42</c:v>
                </c:pt>
                <c:pt idx="2">
                  <c:v>42</c:v>
                </c:pt>
                <c:pt idx="3">
                  <c:v>42</c:v>
                </c:pt>
                <c:pt idx="4">
                  <c:v>42.25</c:v>
                </c:pt>
                <c:pt idx="5">
                  <c:v>42.25</c:v>
                </c:pt>
                <c:pt idx="6">
                  <c:v>42.25</c:v>
                </c:pt>
                <c:pt idx="7">
                  <c:v>42.25</c:v>
                </c:pt>
                <c:pt idx="8">
                  <c:v>42.25</c:v>
                </c:pt>
                <c:pt idx="9">
                  <c:v>41.75</c:v>
                </c:pt>
                <c:pt idx="10">
                  <c:v>41.75</c:v>
                </c:pt>
                <c:pt idx="11">
                  <c:v>42.25</c:v>
                </c:pt>
                <c:pt idx="12">
                  <c:v>42.25</c:v>
                </c:pt>
                <c:pt idx="13">
                  <c:v>42</c:v>
                </c:pt>
                <c:pt idx="14">
                  <c:v>41.75</c:v>
                </c:pt>
                <c:pt idx="15">
                  <c:v>41.75</c:v>
                </c:pt>
                <c:pt idx="16">
                  <c:v>41.5</c:v>
                </c:pt>
                <c:pt idx="17">
                  <c:v>41.5</c:v>
                </c:pt>
                <c:pt idx="18">
                  <c:v>41.5</c:v>
                </c:pt>
                <c:pt idx="19">
                  <c:v>41</c:v>
                </c:pt>
                <c:pt idx="20">
                  <c:v>40.5</c:v>
                </c:pt>
                <c:pt idx="21">
                  <c:v>40.5</c:v>
                </c:pt>
                <c:pt idx="22">
                  <c:v>40.5</c:v>
                </c:pt>
                <c:pt idx="23">
                  <c:v>40.5</c:v>
                </c:pt>
                <c:pt idx="24">
                  <c:v>40</c:v>
                </c:pt>
                <c:pt idx="25">
                  <c:v>39</c:v>
                </c:pt>
                <c:pt idx="26">
                  <c:v>39</c:v>
                </c:pt>
                <c:pt idx="27">
                  <c:v>39</c:v>
                </c:pt>
                <c:pt idx="28">
                  <c:v>38.75</c:v>
                </c:pt>
                <c:pt idx="29">
                  <c:v>38.5</c:v>
                </c:pt>
                <c:pt idx="30">
                  <c:v>38</c:v>
                </c:pt>
                <c:pt idx="31">
                  <c:v>38</c:v>
                </c:pt>
                <c:pt idx="32">
                  <c:v>38</c:v>
                </c:pt>
                <c:pt idx="33">
                  <c:v>38</c:v>
                </c:pt>
                <c:pt idx="34">
                  <c:v>37.75</c:v>
                </c:pt>
                <c:pt idx="35">
                  <c:v>37.75</c:v>
                </c:pt>
                <c:pt idx="36">
                  <c:v>37.7</c:v>
                </c:pt>
                <c:pt idx="37">
                  <c:v>37.45</c:v>
                </c:pt>
                <c:pt idx="38">
                  <c:v>37.25</c:v>
                </c:pt>
                <c:pt idx="39">
                  <c:v>37.25</c:v>
                </c:pt>
                <c:pt idx="40">
                  <c:v>37.25</c:v>
                </c:pt>
                <c:pt idx="41">
                  <c:v>36.75</c:v>
                </c:pt>
                <c:pt idx="42">
                  <c:v>36.25</c:v>
                </c:pt>
                <c:pt idx="43">
                  <c:v>36.25</c:v>
                </c:pt>
                <c:pt idx="44">
                  <c:v>36.25</c:v>
                </c:pt>
                <c:pt idx="45">
                  <c:v>36.25</c:v>
                </c:pt>
                <c:pt idx="46">
                  <c:v>36.5</c:v>
                </c:pt>
                <c:pt idx="47">
                  <c:v>36.25</c:v>
                </c:pt>
                <c:pt idx="48">
                  <c:v>36.25</c:v>
                </c:pt>
                <c:pt idx="49">
                  <c:v>36</c:v>
                </c:pt>
                <c:pt idx="50">
                  <c:v>36</c:v>
                </c:pt>
                <c:pt idx="51">
                  <c:v>36.5</c:v>
                </c:pt>
                <c:pt idx="52">
                  <c:v>37</c:v>
                </c:pt>
                <c:pt idx="53">
                  <c:v>37</c:v>
                </c:pt>
                <c:pt idx="54">
                  <c:v>37</c:v>
                </c:pt>
                <c:pt idx="55">
                  <c:v>36.9</c:v>
                </c:pt>
                <c:pt idx="56">
                  <c:v>36.9</c:v>
                </c:pt>
                <c:pt idx="57">
                  <c:v>36.9</c:v>
                </c:pt>
                <c:pt idx="58">
                  <c:v>36.9</c:v>
                </c:pt>
                <c:pt idx="59">
                  <c:v>36.95</c:v>
                </c:pt>
                <c:pt idx="60">
                  <c:v>36.7</c:v>
                </c:pt>
                <c:pt idx="61">
                  <c:v>36.7</c:v>
                </c:pt>
                <c:pt idx="62">
                  <c:v>36.7</c:v>
                </c:pt>
                <c:pt idx="63">
                  <c:v>36.7</c:v>
                </c:pt>
              </c:numCache>
            </c:numRef>
          </c:val>
          <c:smooth val="1"/>
        </c:ser>
        <c:hiLowLines>
          <c:spPr>
            <a:ln w="0">
              <a:noFill/>
            </a:ln>
          </c:spPr>
        </c:hiLowLines>
        <c:marker val="0"/>
        <c:axId val="32126814"/>
        <c:axId val="32338084"/>
      </c:lineChart>
      <c:catAx>
        <c:axId val="32126814"/>
        <c:scaling>
          <c:orientation val="minMax"/>
        </c:scaling>
        <c:delete val="0"/>
        <c:axPos val="b"/>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338084"/>
        <c:crosses val="autoZero"/>
        <c:auto val="1"/>
        <c:lblAlgn val="ctr"/>
        <c:lblOffset val="100"/>
        <c:noMultiLvlLbl val="0"/>
      </c:catAx>
      <c:valAx>
        <c:axId val="32338084"/>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1268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0</xdr:rowOff>
    </xdr:from>
    <xdr:to>
      <xdr:col>9</xdr:col>
      <xdr:colOff>588960</xdr:colOff>
      <xdr:row>45</xdr:row>
      <xdr:rowOff>1080</xdr:rowOff>
    </xdr:to>
    <xdr:graphicFrame>
      <xdr:nvGraphicFramePr>
        <xdr:cNvPr id="0" name="Chart 1"/>
        <xdr:cNvGraphicFramePr/>
      </xdr:nvGraphicFramePr>
      <xdr:xfrm>
        <a:off x="916200" y="571500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0</xdr:rowOff>
    </xdr:from>
    <xdr:to>
      <xdr:col>21</xdr:col>
      <xdr:colOff>581760</xdr:colOff>
      <xdr:row>16</xdr:row>
      <xdr:rowOff>1080</xdr:rowOff>
    </xdr:to>
    <xdr:graphicFrame>
      <xdr:nvGraphicFramePr>
        <xdr:cNvPr id="1" name="Chart 1"/>
        <xdr:cNvGraphicFramePr/>
      </xdr:nvGraphicFramePr>
      <xdr:xfrm>
        <a:off x="9069840" y="19044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row>
    <row r="3" customFormat="false" ht="35.0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35.0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23.85" hidden="false" customHeight="false" outlineLevel="0" collapsed="false">
      <c r="A14" s="2" t="s">
        <v>10</v>
      </c>
    </row>
    <row r="15" customFormat="false" ht="23.85" hidden="false" customHeight="false" outlineLevel="0" collapsed="false">
      <c r="A15" s="2" t="s">
        <v>11</v>
      </c>
    </row>
    <row r="16" customFormat="false" ht="15" hidden="false" customHeight="false" outlineLevel="0" collapsed="false">
      <c r="A16" s="2" t="s">
        <v>12</v>
      </c>
    </row>
    <row r="17" customFormat="false" ht="23.85" hidden="false" customHeight="false" outlineLevel="0" collapsed="false">
      <c r="A17" s="2" t="s">
        <v>13</v>
      </c>
    </row>
    <row r="18" customFormat="false" ht="23.8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4" min="1" style="0" width="13"/>
  </cols>
  <sheetData>
    <row r="1" customFormat="false" ht="45" hidden="false" customHeight="tru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c r="S1" s="4" t="s">
        <v>37</v>
      </c>
      <c r="T1" s="4" t="s">
        <v>38</v>
      </c>
      <c r="U1" s="4" t="s">
        <v>39</v>
      </c>
      <c r="V1" s="4" t="s">
        <v>40</v>
      </c>
      <c r="W1" s="4" t="s">
        <v>41</v>
      </c>
      <c r="X1" s="4" t="s">
        <v>42</v>
      </c>
      <c r="Y1" s="4" t="s">
        <v>43</v>
      </c>
      <c r="Z1" s="4" t="s">
        <v>44</v>
      </c>
      <c r="AA1" s="4" t="s">
        <v>45</v>
      </c>
      <c r="AB1" s="4" t="s">
        <v>46</v>
      </c>
      <c r="AC1" s="4" t="s">
        <v>47</v>
      </c>
      <c r="AD1" s="4" t="s">
        <v>48</v>
      </c>
      <c r="AE1" s="4" t="s">
        <v>49</v>
      </c>
      <c r="AF1" s="4" t="s">
        <v>50</v>
      </c>
      <c r="AG1" s="4" t="s">
        <v>51</v>
      </c>
      <c r="AH1" s="4" t="s">
        <v>52</v>
      </c>
    </row>
    <row r="2" customFormat="false" ht="15" hidden="false" customHeight="false" outlineLevel="0" collapsed="false">
      <c r="A2" s="5" t="s">
        <v>53</v>
      </c>
      <c r="B2" s="5" t="n">
        <v>30</v>
      </c>
      <c r="C2" s="6" t="n">
        <v>42.8</v>
      </c>
      <c r="D2" s="6" t="n">
        <v>56.33</v>
      </c>
      <c r="E2" s="6" t="n">
        <v>966.38</v>
      </c>
      <c r="F2" s="5" t="n">
        <v>8</v>
      </c>
      <c r="G2" s="5" t="n">
        <v>46</v>
      </c>
      <c r="H2" s="6" t="n">
        <v>1059.47</v>
      </c>
      <c r="I2" s="6" t="n">
        <v>2115.9</v>
      </c>
      <c r="J2" s="6" t="n">
        <v>953.8</v>
      </c>
      <c r="K2" s="6" t="n">
        <v>1368.34</v>
      </c>
      <c r="L2" s="6" t="n">
        <v>9434.9</v>
      </c>
      <c r="M2" s="6" t="n">
        <v>8814.81</v>
      </c>
      <c r="N2" s="6" t="n">
        <v>-230.42</v>
      </c>
      <c r="O2" s="6" t="n">
        <v>754.7</v>
      </c>
      <c r="P2" s="6" t="n">
        <v>13.28</v>
      </c>
      <c r="Q2" s="6" t="n">
        <v>8.53</v>
      </c>
      <c r="R2" s="6" t="n">
        <v>0.43</v>
      </c>
      <c r="S2" s="6" t="n">
        <v>54.86</v>
      </c>
      <c r="T2" s="7" t="n">
        <v>0.4</v>
      </c>
      <c r="U2" s="5"/>
      <c r="V2" s="5"/>
      <c r="W2" s="5"/>
      <c r="X2" s="5"/>
      <c r="Y2" s="5" t="n">
        <v>2024</v>
      </c>
      <c r="Z2" s="6" t="n">
        <v>10034.9</v>
      </c>
      <c r="AA2" s="6" t="n">
        <v>1515.9</v>
      </c>
      <c r="AB2" s="6" t="n">
        <v>-6.16</v>
      </c>
      <c r="AC2" s="6" t="n">
        <v>-110.12</v>
      </c>
      <c r="AD2" s="6" t="n">
        <v>-217.38</v>
      </c>
      <c r="AE2" s="6" t="n">
        <v>-0.65</v>
      </c>
      <c r="AF2" s="6" t="n">
        <v>-6.04</v>
      </c>
      <c r="AG2" s="6" t="n">
        <v>-129.14</v>
      </c>
      <c r="AH2" s="5" t="s">
        <v>54</v>
      </c>
    </row>
    <row r="3" customFormat="false" ht="15" hidden="false" customHeight="false" outlineLevel="0" collapsed="false">
      <c r="A3" s="5" t="s">
        <v>55</v>
      </c>
      <c r="B3" s="5" t="n">
        <v>31</v>
      </c>
      <c r="C3" s="6" t="n">
        <v>57.1</v>
      </c>
      <c r="D3" s="6" t="n">
        <v>71.21</v>
      </c>
      <c r="E3" s="6" t="n">
        <v>999.99</v>
      </c>
      <c r="F3" s="5" t="n">
        <v>9</v>
      </c>
      <c r="G3" s="5" t="n">
        <v>73</v>
      </c>
      <c r="H3" s="6" t="n">
        <v>-339.74</v>
      </c>
      <c r="I3" s="6" t="n">
        <v>1492.1</v>
      </c>
      <c r="J3" s="6" t="n">
        <v>-476.25</v>
      </c>
      <c r="K3" s="6" t="n">
        <v>1783.08</v>
      </c>
      <c r="L3" s="6" t="n">
        <v>9863.68</v>
      </c>
      <c r="M3" s="6" t="n">
        <v>8337.59</v>
      </c>
      <c r="N3" s="6" t="n">
        <v>-159.43</v>
      </c>
      <c r="O3" s="6" t="n">
        <v>604.46</v>
      </c>
      <c r="P3" s="6" t="n">
        <v>6.64</v>
      </c>
      <c r="Q3" s="6" t="n">
        <v>2.16</v>
      </c>
      <c r="R3" s="6" t="n">
        <v>1.06</v>
      </c>
      <c r="S3" s="6" t="n">
        <v>52.56</v>
      </c>
      <c r="T3" s="7" t="n">
        <v>0.39</v>
      </c>
      <c r="U3" s="5"/>
      <c r="V3" s="5"/>
      <c r="W3" s="5"/>
      <c r="X3" s="5"/>
      <c r="Y3" s="5" t="n">
        <v>2024</v>
      </c>
      <c r="Z3" s="6" t="n">
        <v>10463.68</v>
      </c>
      <c r="AA3" s="6" t="n">
        <v>892.1</v>
      </c>
      <c r="AB3" s="6" t="n">
        <v>9.98</v>
      </c>
      <c r="AC3" s="6" t="n">
        <v>-76.77</v>
      </c>
      <c r="AD3" s="6" t="n">
        <v>-327.06</v>
      </c>
      <c r="AE3" s="6" t="n">
        <v>0.45</v>
      </c>
      <c r="AF3" s="6" t="n">
        <v>45.75</v>
      </c>
      <c r="AG3" s="6" t="n">
        <v>-227.16</v>
      </c>
      <c r="AH3" s="5" t="s">
        <v>56</v>
      </c>
    </row>
    <row r="4" customFormat="false" ht="15" hidden="false" customHeight="false" outlineLevel="0" collapsed="false">
      <c r="A4" s="5" t="s">
        <v>57</v>
      </c>
      <c r="B4" s="5" t="n">
        <v>28</v>
      </c>
      <c r="C4" s="6" t="n">
        <v>77.26</v>
      </c>
      <c r="D4" s="6" t="n">
        <v>96.56</v>
      </c>
      <c r="E4" s="6" t="n">
        <v>924.78</v>
      </c>
      <c r="F4" s="5" t="n">
        <v>8</v>
      </c>
      <c r="G4" s="5" t="n">
        <v>118</v>
      </c>
      <c r="H4" s="6" t="n">
        <v>79.51</v>
      </c>
      <c r="I4" s="6" t="n">
        <v>1486.94</v>
      </c>
      <c r="J4" s="6" t="n">
        <v>88.51</v>
      </c>
      <c r="K4" s="6" t="n">
        <v>1306.3</v>
      </c>
      <c r="L4" s="6" t="n">
        <v>10549.25</v>
      </c>
      <c r="M4" s="6" t="n">
        <v>9646.5</v>
      </c>
      <c r="N4" s="6" t="n">
        <v>4.67</v>
      </c>
      <c r="O4" s="6" t="n">
        <v>592.88</v>
      </c>
      <c r="P4" s="6" t="n">
        <v>-4.46</v>
      </c>
      <c r="Q4" s="6" t="n">
        <v>-7.2</v>
      </c>
      <c r="R4" s="6" t="n">
        <v>1.38</v>
      </c>
      <c r="S4" s="6" t="n">
        <v>37.41</v>
      </c>
      <c r="T4" s="7" t="n">
        <v>0.33</v>
      </c>
      <c r="U4" s="5"/>
      <c r="V4" s="5"/>
      <c r="W4" s="5"/>
      <c r="X4" s="5"/>
      <c r="Y4" s="5" t="n">
        <v>2024</v>
      </c>
      <c r="Z4" s="6" t="n">
        <v>11149.25</v>
      </c>
      <c r="AA4" s="6" t="n">
        <v>886.94</v>
      </c>
      <c r="AB4" s="6" t="n">
        <v>9.69</v>
      </c>
      <c r="AC4" s="6" t="n">
        <v>-311.49</v>
      </c>
      <c r="AD4" s="6" t="n">
        <v>93.43</v>
      </c>
      <c r="AE4" s="6" t="n">
        <v>-2.09</v>
      </c>
      <c r="AF4" s="6" t="n">
        <v>68.92</v>
      </c>
      <c r="AG4" s="6" t="n">
        <v>-167.06</v>
      </c>
      <c r="AH4" s="5" t="s">
        <v>56</v>
      </c>
    </row>
    <row r="5" customFormat="false" ht="15" hidden="false" customHeight="false" outlineLevel="0" collapsed="false">
      <c r="A5" s="5" t="s">
        <v>58</v>
      </c>
      <c r="B5" s="5" t="n">
        <v>31</v>
      </c>
      <c r="C5" s="6" t="n">
        <v>26.35</v>
      </c>
      <c r="D5" s="6" t="n">
        <v>30.1</v>
      </c>
      <c r="E5" s="6" t="n">
        <v>363.01</v>
      </c>
      <c r="F5" s="5" t="n">
        <v>1</v>
      </c>
      <c r="G5" s="5" t="n">
        <v>7</v>
      </c>
      <c r="H5" s="6" t="n">
        <v>1527.36</v>
      </c>
      <c r="I5" s="6" t="n">
        <v>2468.27</v>
      </c>
      <c r="J5" s="6" t="n">
        <v>1603.92</v>
      </c>
      <c r="K5" s="6" t="n">
        <v>1878.63</v>
      </c>
      <c r="L5" s="6" t="n">
        <v>10866.59</v>
      </c>
      <c r="M5" s="6" t="n">
        <v>10721.03</v>
      </c>
      <c r="N5" s="6" t="n">
        <v>-419.78</v>
      </c>
      <c r="O5" s="6" t="n">
        <v>719.28</v>
      </c>
      <c r="P5" s="6" t="n">
        <v>-4.43</v>
      </c>
      <c r="Q5" s="6" t="n">
        <v>-7.1</v>
      </c>
      <c r="R5" s="6" t="n">
        <v>1.77</v>
      </c>
      <c r="S5" s="6" t="n">
        <v>41.52</v>
      </c>
      <c r="T5" s="7" t="n">
        <v>0.18</v>
      </c>
      <c r="U5" s="5"/>
      <c r="V5" s="5"/>
      <c r="W5" s="5"/>
      <c r="X5" s="5"/>
      <c r="Y5" s="5" t="n">
        <v>2024</v>
      </c>
      <c r="Z5" s="6" t="n">
        <v>11466.59</v>
      </c>
      <c r="AA5" s="6" t="n">
        <v>1868.27</v>
      </c>
      <c r="AB5" s="6" t="n">
        <v>-6.33</v>
      </c>
      <c r="AC5" s="6" t="n">
        <v>-125.13</v>
      </c>
      <c r="AD5" s="6" t="n">
        <v>-211.81</v>
      </c>
      <c r="AE5" s="6" t="n">
        <v>2.35</v>
      </c>
      <c r="AF5" s="6" t="n">
        <v>-171.71</v>
      </c>
      <c r="AG5" s="6" t="n">
        <v>-180.68</v>
      </c>
      <c r="AH5" s="5" t="s">
        <v>54</v>
      </c>
    </row>
    <row r="6" customFormat="false" ht="15" hidden="false" customHeight="false" outlineLevel="0" collapsed="false">
      <c r="A6" s="5" t="s">
        <v>59</v>
      </c>
      <c r="B6" s="5" t="n">
        <v>31</v>
      </c>
      <c r="C6" s="6" t="n">
        <v>30.53</v>
      </c>
      <c r="D6" s="6" t="n">
        <v>33.9</v>
      </c>
      <c r="E6" s="6" t="n">
        <v>469.04</v>
      </c>
      <c r="F6" s="5" t="n">
        <v>3</v>
      </c>
      <c r="G6" s="5" t="n">
        <v>21</v>
      </c>
      <c r="H6" s="6" t="n">
        <v>1949</v>
      </c>
      <c r="I6" s="6" t="n">
        <v>2930.54</v>
      </c>
      <c r="J6" s="6" t="n">
        <v>2045.95</v>
      </c>
      <c r="K6" s="6" t="n">
        <v>2137.85</v>
      </c>
      <c r="L6" s="6" t="n">
        <v>10951.74</v>
      </c>
      <c r="M6" s="6" t="n">
        <v>11164.26</v>
      </c>
      <c r="N6" s="6" t="n">
        <v>-593.53</v>
      </c>
      <c r="O6" s="6" t="n">
        <v>699.33</v>
      </c>
      <c r="P6" s="6" t="n">
        <v>-6.33</v>
      </c>
      <c r="Q6" s="6" t="n">
        <v>-9.42</v>
      </c>
      <c r="R6" s="6" t="n">
        <v>1.78</v>
      </c>
      <c r="S6" s="6" t="n">
        <v>52.73</v>
      </c>
      <c r="T6" s="7" t="n">
        <v>0.26</v>
      </c>
      <c r="U6" s="5"/>
      <c r="V6" s="5"/>
      <c r="W6" s="5"/>
      <c r="X6" s="5"/>
      <c r="Y6" s="5" t="n">
        <v>2025</v>
      </c>
      <c r="Z6" s="6" t="n">
        <v>11251.74</v>
      </c>
      <c r="AA6" s="6" t="n">
        <v>2630.54</v>
      </c>
      <c r="AB6" s="6" t="n">
        <v>-4.46</v>
      </c>
      <c r="AC6" s="6" t="n">
        <v>-39.12</v>
      </c>
      <c r="AD6" s="6" t="n">
        <v>56.58</v>
      </c>
      <c r="AE6" s="6" t="n">
        <v>-0.82</v>
      </c>
      <c r="AF6" s="6" t="n">
        <v>60.08</v>
      </c>
      <c r="AG6" s="6" t="n">
        <v>-179.09</v>
      </c>
      <c r="AH6" s="5" t="s">
        <v>54</v>
      </c>
    </row>
    <row r="7" customFormat="false" ht="15" hidden="false" customHeight="false" outlineLevel="0" collapsed="false">
      <c r="A7" s="5" t="s">
        <v>60</v>
      </c>
      <c r="B7" s="5" t="n">
        <v>28</v>
      </c>
      <c r="C7" s="6" t="n">
        <v>55.84</v>
      </c>
      <c r="D7" s="6" t="n">
        <v>64.17</v>
      </c>
      <c r="E7" s="6" t="n">
        <v>976</v>
      </c>
      <c r="F7" s="5" t="n">
        <v>3</v>
      </c>
      <c r="G7" s="5" t="n">
        <v>35</v>
      </c>
      <c r="H7" s="6" t="n">
        <v>1748.25</v>
      </c>
      <c r="I7" s="6" t="n">
        <v>2523.62</v>
      </c>
      <c r="J7" s="6" t="n">
        <v>1784.7</v>
      </c>
      <c r="K7" s="6" t="n">
        <v>1632.41</v>
      </c>
      <c r="L7" s="6" t="n">
        <v>11107.99</v>
      </c>
      <c r="M7" s="6" t="n">
        <v>11201.88</v>
      </c>
      <c r="N7" s="6" t="n">
        <v>-456.44</v>
      </c>
      <c r="O7" s="6" t="n">
        <v>647.86</v>
      </c>
      <c r="P7" s="6" t="n">
        <v>-13.28</v>
      </c>
      <c r="Q7" s="6" t="n">
        <v>-16.97</v>
      </c>
      <c r="R7" s="6" t="n">
        <v>2.22</v>
      </c>
      <c r="S7" s="6" t="n">
        <v>67.26</v>
      </c>
      <c r="T7" s="7" t="n">
        <v>0.48</v>
      </c>
      <c r="U7" s="5"/>
      <c r="V7" s="5"/>
      <c r="W7" s="5"/>
      <c r="X7" s="5"/>
      <c r="Y7" s="5" t="n">
        <v>2025</v>
      </c>
      <c r="Z7" s="6" t="n">
        <v>11407.99</v>
      </c>
      <c r="AA7" s="6" t="n">
        <v>2223.62</v>
      </c>
      <c r="AB7" s="6" t="n">
        <v>16.73</v>
      </c>
      <c r="AC7" s="6" t="n">
        <v>-265.56</v>
      </c>
      <c r="AD7" s="6" t="n">
        <v>170.25</v>
      </c>
      <c r="AE7" s="6" t="n">
        <v>-4.26</v>
      </c>
      <c r="AF7" s="6" t="n">
        <v>230.87</v>
      </c>
      <c r="AG7" s="6" t="n">
        <v>-428.75</v>
      </c>
      <c r="AH7" s="5" t="s">
        <v>56</v>
      </c>
    </row>
    <row r="8" customFormat="false" ht="15" hidden="false" customHeight="false" outlineLevel="0" collapsed="false">
      <c r="A8" s="5" t="s">
        <v>61</v>
      </c>
      <c r="B8" s="5" t="n">
        <v>31</v>
      </c>
      <c r="C8" s="6" t="n">
        <v>34.66</v>
      </c>
      <c r="D8" s="6" t="n">
        <v>36.88</v>
      </c>
      <c r="E8" s="6" t="n">
        <v>538.42</v>
      </c>
      <c r="F8" s="5" t="n">
        <v>1</v>
      </c>
      <c r="G8" s="5" t="n">
        <v>18</v>
      </c>
      <c r="H8" s="6" t="n">
        <v>1840.26</v>
      </c>
      <c r="I8" s="6" t="n">
        <v>2930.81</v>
      </c>
      <c r="J8" s="6" t="n">
        <v>1869.69</v>
      </c>
      <c r="K8" s="6" t="n">
        <v>1490.35</v>
      </c>
      <c r="L8" s="6" t="n">
        <v>10419.51</v>
      </c>
      <c r="M8" s="6" t="n">
        <v>10814.91</v>
      </c>
      <c r="N8" s="6" t="n">
        <v>-340.02</v>
      </c>
      <c r="O8" s="6" t="n">
        <v>675.58</v>
      </c>
      <c r="P8" s="6" t="n">
        <v>-0.96</v>
      </c>
      <c r="Q8" s="6" t="n">
        <v>-4.59</v>
      </c>
      <c r="R8" s="6" t="n">
        <v>2.2</v>
      </c>
      <c r="S8" s="6" t="n">
        <v>32.87</v>
      </c>
      <c r="T8" s="7" t="n">
        <v>0.19</v>
      </c>
      <c r="U8" s="5"/>
      <c r="V8" s="5"/>
      <c r="W8" s="5"/>
      <c r="X8" s="5"/>
      <c r="Y8" s="5" t="n">
        <v>2025</v>
      </c>
      <c r="Z8" s="6" t="n">
        <v>10719.51</v>
      </c>
      <c r="AA8" s="6" t="n">
        <v>2630.81</v>
      </c>
      <c r="AB8" s="6" t="n">
        <v>0.2</v>
      </c>
      <c r="AC8" s="6" t="n">
        <v>-211.5</v>
      </c>
      <c r="AD8" s="6" t="n">
        <v>233.57</v>
      </c>
      <c r="AE8" s="6" t="n">
        <v>1.01</v>
      </c>
      <c r="AF8" s="6" t="n">
        <v>-70.82</v>
      </c>
      <c r="AG8" s="6" t="n">
        <v>-68.22</v>
      </c>
      <c r="AH8" s="5" t="s">
        <v>62</v>
      </c>
    </row>
    <row r="9" customFormat="false" ht="15" hidden="false" customHeight="false" outlineLevel="0" collapsed="false">
      <c r="A9" s="5" t="s">
        <v>63</v>
      </c>
      <c r="B9" s="5" t="n">
        <v>30</v>
      </c>
      <c r="C9" s="6" t="n">
        <v>32.66</v>
      </c>
      <c r="D9" s="6" t="n">
        <v>32.36</v>
      </c>
      <c r="E9" s="6" t="n">
        <v>426.85</v>
      </c>
      <c r="F9" s="5" t="n">
        <v>1</v>
      </c>
      <c r="G9" s="5" t="n">
        <v>34</v>
      </c>
      <c r="H9" s="6" t="n">
        <v>1907.48</v>
      </c>
      <c r="I9" s="6" t="n">
        <v>2868.89</v>
      </c>
      <c r="J9" s="6" t="n">
        <v>1972.36</v>
      </c>
      <c r="K9" s="6" t="n">
        <v>1730.32</v>
      </c>
      <c r="L9" s="6" t="n">
        <v>9802.86</v>
      </c>
      <c r="M9" s="6" t="n">
        <v>9660.69</v>
      </c>
      <c r="N9" s="6" t="n">
        <v>-229.46</v>
      </c>
      <c r="O9" s="6" t="n">
        <v>704.09</v>
      </c>
      <c r="P9" s="6" t="n">
        <v>5.04</v>
      </c>
      <c r="Q9" s="6" t="n">
        <v>-0.37</v>
      </c>
      <c r="R9" s="6" t="n">
        <v>2.24</v>
      </c>
      <c r="S9" s="6" t="n">
        <v>25.67</v>
      </c>
      <c r="T9" s="7" t="n">
        <v>0.18</v>
      </c>
      <c r="U9" s="5"/>
      <c r="V9" s="5"/>
      <c r="W9" s="5"/>
      <c r="X9" s="5"/>
      <c r="Y9" s="5" t="n">
        <v>2025</v>
      </c>
      <c r="Z9" s="6" t="n">
        <v>10102.86</v>
      </c>
      <c r="AA9" s="6" t="n">
        <v>2568.89</v>
      </c>
      <c r="AB9" s="6" t="n">
        <v>2.13</v>
      </c>
      <c r="AC9" s="6" t="n">
        <v>-21.33</v>
      </c>
      <c r="AD9" s="6" t="n">
        <v>265.49</v>
      </c>
      <c r="AE9" s="6" t="n">
        <v>1.49</v>
      </c>
      <c r="AF9" s="6" t="n">
        <v>-114.51</v>
      </c>
      <c r="AG9" s="6" t="n">
        <v>192.1</v>
      </c>
      <c r="AH9" s="5" t="s">
        <v>62</v>
      </c>
    </row>
    <row r="10" customFormat="false" ht="15" hidden="false" customHeight="false" outlineLevel="0" collapsed="false">
      <c r="A10" s="5" t="s">
        <v>64</v>
      </c>
      <c r="B10" s="5" t="n">
        <v>29</v>
      </c>
      <c r="C10" s="6" t="n">
        <v>42.11</v>
      </c>
      <c r="D10" s="6" t="n">
        <v>51.25</v>
      </c>
      <c r="E10" s="6" t="n">
        <v>950.2</v>
      </c>
      <c r="F10" s="5" t="n">
        <v>4</v>
      </c>
      <c r="G10" s="5" t="n">
        <v>34</v>
      </c>
      <c r="H10" s="6" t="n">
        <v>1645.21</v>
      </c>
      <c r="I10" s="6" t="n">
        <v>2620.44</v>
      </c>
      <c r="J10" s="6" t="n">
        <v>1808.39</v>
      </c>
      <c r="K10" s="6" t="n">
        <v>1642.25</v>
      </c>
      <c r="L10" s="6" t="n">
        <v>9424.63</v>
      </c>
      <c r="M10" s="6" t="n">
        <v>9064.89</v>
      </c>
      <c r="N10" s="6" t="n">
        <v>-185.28</v>
      </c>
      <c r="O10" s="6" t="n">
        <v>735.91</v>
      </c>
      <c r="P10" s="6" t="n">
        <v>12.39</v>
      </c>
      <c r="Q10" s="6" t="n">
        <v>6.16</v>
      </c>
      <c r="R10" s="6" t="n">
        <v>1.81</v>
      </c>
      <c r="S10" s="6" t="n">
        <v>38.16</v>
      </c>
      <c r="T10" s="7" t="n">
        <v>0.38</v>
      </c>
      <c r="U10" s="5"/>
      <c r="V10" s="5"/>
      <c r="W10" s="5"/>
      <c r="X10" s="5"/>
      <c r="Y10" s="5" t="n">
        <v>2025</v>
      </c>
      <c r="Z10" s="6" t="n">
        <v>9724.63</v>
      </c>
      <c r="AA10" s="6" t="n">
        <v>2320.44</v>
      </c>
      <c r="AB10" s="6" t="n">
        <v>-0.44</v>
      </c>
      <c r="AC10" s="6" t="n">
        <v>-27.66</v>
      </c>
      <c r="AD10" s="6" t="n">
        <v>298.73</v>
      </c>
      <c r="AE10" s="6" t="n">
        <v>-0.28</v>
      </c>
      <c r="AF10" s="6" t="n">
        <v>-65.52</v>
      </c>
      <c r="AG10" s="6" t="n">
        <v>134.57</v>
      </c>
      <c r="AH10" s="5" t="s">
        <v>62</v>
      </c>
    </row>
    <row r="11" customFormat="false" ht="15" hidden="false" customHeight="false" outlineLevel="0" collapsed="false">
      <c r="A11" s="5" t="s">
        <v>65</v>
      </c>
      <c r="B11" s="5" t="n">
        <v>28</v>
      </c>
      <c r="C11" s="6" t="n">
        <v>48.84</v>
      </c>
      <c r="D11" s="6" t="n">
        <v>62.73</v>
      </c>
      <c r="E11" s="6" t="n">
        <v>999.99</v>
      </c>
      <c r="F11" s="5" t="n">
        <v>8</v>
      </c>
      <c r="G11" s="5" t="n">
        <v>44</v>
      </c>
      <c r="H11" s="6" t="n">
        <v>1266.25</v>
      </c>
      <c r="I11" s="6" t="n">
        <v>2152.04</v>
      </c>
      <c r="J11" s="6" t="n">
        <v>1567.94</v>
      </c>
      <c r="K11" s="6" t="n">
        <v>1402.43</v>
      </c>
      <c r="L11" s="6" t="n">
        <v>9655.38</v>
      </c>
      <c r="M11" s="6" t="n">
        <v>9198.07</v>
      </c>
      <c r="N11" s="6" t="n">
        <v>-330.46</v>
      </c>
      <c r="O11" s="6" t="n">
        <v>819.84</v>
      </c>
      <c r="P11" s="6" t="n">
        <v>15.65</v>
      </c>
      <c r="Q11" s="6" t="n">
        <v>10.13</v>
      </c>
      <c r="R11" s="6" t="n">
        <v>0.72</v>
      </c>
      <c r="S11" s="6" t="n">
        <v>42.79</v>
      </c>
      <c r="T11" s="7" t="n">
        <v>0.38</v>
      </c>
      <c r="U11" s="5"/>
      <c r="V11" s="5"/>
      <c r="W11" s="6" t="n">
        <v>40.35</v>
      </c>
      <c r="X11" s="5"/>
      <c r="Y11" s="5" t="n">
        <v>2025</v>
      </c>
      <c r="Z11" s="6" t="n">
        <v>9955.38</v>
      </c>
      <c r="AA11" s="6" t="n">
        <v>1852.04</v>
      </c>
      <c r="AB11" s="6" t="n">
        <v>15.74</v>
      </c>
      <c r="AC11" s="6" t="n">
        <v>-239.26</v>
      </c>
      <c r="AD11" s="6" t="n">
        <v>119.6</v>
      </c>
      <c r="AE11" s="6" t="n">
        <v>1.13</v>
      </c>
      <c r="AF11" s="6" t="n">
        <v>-5.56</v>
      </c>
      <c r="AG11" s="6" t="n">
        <v>-358.63</v>
      </c>
      <c r="AH11" s="5" t="s">
        <v>56</v>
      </c>
    </row>
    <row r="12" customFormat="false" ht="15" hidden="false" customHeight="false" outlineLevel="0" collapsed="false">
      <c r="A12" s="5" t="s">
        <v>66</v>
      </c>
      <c r="B12" s="5" t="n">
        <v>31</v>
      </c>
      <c r="C12" s="6" t="n">
        <v>32.04</v>
      </c>
      <c r="D12" s="6" t="n">
        <v>36.75</v>
      </c>
      <c r="E12" s="6" t="n">
        <v>999.99</v>
      </c>
      <c r="F12" s="5" t="n">
        <v>5</v>
      </c>
      <c r="G12" s="5" t="n">
        <v>18</v>
      </c>
      <c r="H12" s="6" t="n">
        <v>1277.77</v>
      </c>
      <c r="I12" s="6" t="n">
        <v>2125.5</v>
      </c>
      <c r="J12" s="6" t="n">
        <v>1599.73</v>
      </c>
      <c r="K12" s="6" t="n">
        <v>1112.28</v>
      </c>
      <c r="L12" s="6" t="n">
        <v>10005.31</v>
      </c>
      <c r="M12" s="6" t="n">
        <v>10019.1</v>
      </c>
      <c r="N12" s="6" t="n">
        <v>-498.66</v>
      </c>
      <c r="O12" s="6" t="n">
        <v>810.78</v>
      </c>
      <c r="P12" s="6" t="n">
        <v>16.9</v>
      </c>
      <c r="Q12" s="6" t="n">
        <v>12.05</v>
      </c>
      <c r="R12" s="6" t="n">
        <v>0.78</v>
      </c>
      <c r="S12" s="6" t="n">
        <v>50.34</v>
      </c>
      <c r="T12" s="7" t="n">
        <v>0.31</v>
      </c>
      <c r="U12" s="5"/>
      <c r="V12" s="6" t="n">
        <v>54.07</v>
      </c>
      <c r="W12" s="6" t="n">
        <v>58.39</v>
      </c>
      <c r="X12" s="6" t="n">
        <v>-22.02</v>
      </c>
      <c r="Y12" s="5" t="n">
        <v>2025</v>
      </c>
      <c r="Z12" s="6" t="n">
        <v>10305.31</v>
      </c>
      <c r="AA12" s="6" t="n">
        <v>1825.5</v>
      </c>
      <c r="AB12" s="6" t="n">
        <v>0.39</v>
      </c>
      <c r="AC12" s="6" t="n">
        <v>-92.19</v>
      </c>
      <c r="AD12" s="6" t="n">
        <v>15.27</v>
      </c>
      <c r="AE12" s="6" t="n">
        <v>-1.48</v>
      </c>
      <c r="AF12" s="6" t="n">
        <v>-202.82</v>
      </c>
      <c r="AG12" s="6" t="n">
        <v>-235.52</v>
      </c>
      <c r="AH12" s="5" t="s">
        <v>62</v>
      </c>
    </row>
    <row r="13" customFormat="false" ht="15" hidden="false" customHeight="false" outlineLevel="0" collapsed="false">
      <c r="A13" s="5" t="s">
        <v>67</v>
      </c>
      <c r="B13" s="5" t="n">
        <v>31</v>
      </c>
      <c r="C13" s="6" t="n">
        <v>50.49</v>
      </c>
      <c r="D13" s="6" t="n">
        <v>65.23</v>
      </c>
      <c r="E13" s="6" t="n">
        <v>912.56</v>
      </c>
      <c r="F13" s="5" t="n">
        <v>11</v>
      </c>
      <c r="G13" s="5" t="n">
        <v>56</v>
      </c>
      <c r="H13" s="6" t="n">
        <v>1131.18</v>
      </c>
      <c r="I13" s="6" t="n">
        <v>1954.07</v>
      </c>
      <c r="J13" s="6" t="n">
        <v>1277.45</v>
      </c>
      <c r="K13" s="6" t="n">
        <v>1093.98</v>
      </c>
      <c r="L13" s="6" t="n">
        <v>10187.1</v>
      </c>
      <c r="M13" s="6" t="n">
        <v>9896.14</v>
      </c>
      <c r="N13" s="6" t="n">
        <v>-365.71</v>
      </c>
      <c r="O13" s="6" t="n">
        <v>612.92</v>
      </c>
      <c r="P13" s="6" t="n">
        <v>17.93</v>
      </c>
      <c r="Q13" s="6" t="n">
        <v>11.88</v>
      </c>
      <c r="R13" s="6" t="n">
        <v>0.8</v>
      </c>
      <c r="S13" s="6" t="n">
        <v>49.19</v>
      </c>
      <c r="T13" s="7" t="n">
        <v>0.29</v>
      </c>
      <c r="U13" s="6" t="n">
        <v>57.18</v>
      </c>
      <c r="V13" s="6" t="n">
        <v>55.64</v>
      </c>
      <c r="W13" s="6" t="n">
        <v>47.08</v>
      </c>
      <c r="X13" s="6" t="n">
        <v>-5.15</v>
      </c>
      <c r="Y13" s="5" t="n">
        <v>2025</v>
      </c>
      <c r="Z13" s="6" t="n">
        <v>10487.1</v>
      </c>
      <c r="AA13" s="6" t="n">
        <v>1654.07</v>
      </c>
      <c r="AB13" s="6" t="n">
        <v>2.39</v>
      </c>
      <c r="AC13" s="6" t="n">
        <v>-53.99</v>
      </c>
      <c r="AD13" s="6" t="n">
        <v>192.15</v>
      </c>
      <c r="AE13" s="6" t="n">
        <v>0.32</v>
      </c>
      <c r="AF13" s="6" t="n">
        <v>111.64</v>
      </c>
      <c r="AG13" s="6" t="n">
        <v>-98.21</v>
      </c>
      <c r="AH13" s="5" t="s">
        <v>62</v>
      </c>
    </row>
    <row r="14" customFormat="false" ht="15" hidden="false" customHeight="false" outlineLevel="0" collapsed="false">
      <c r="A14" s="5" t="s">
        <v>68</v>
      </c>
      <c r="B14" s="5" t="n">
        <v>30</v>
      </c>
      <c r="C14" s="6" t="n">
        <v>75.57</v>
      </c>
      <c r="D14" s="6" t="n">
        <v>99.44</v>
      </c>
      <c r="E14" s="6" t="n">
        <v>999.99</v>
      </c>
      <c r="F14" s="5" t="n">
        <v>11</v>
      </c>
      <c r="G14" s="5" t="n">
        <v>70</v>
      </c>
      <c r="H14" s="6" t="n">
        <v>742.63</v>
      </c>
      <c r="I14" s="6" t="n">
        <v>1646.12</v>
      </c>
      <c r="J14" s="6" t="n">
        <v>1007.81</v>
      </c>
      <c r="K14" s="6" t="n">
        <v>1338.57</v>
      </c>
      <c r="L14" s="6" t="n">
        <v>9974.34</v>
      </c>
      <c r="M14" s="6" t="n">
        <v>9193.64</v>
      </c>
      <c r="N14" s="6" t="n">
        <v>-178.44</v>
      </c>
      <c r="O14" s="6" t="n">
        <v>650.86</v>
      </c>
      <c r="P14" s="6" t="n">
        <v>16.31</v>
      </c>
      <c r="Q14" s="6" t="n">
        <v>9.64</v>
      </c>
      <c r="R14" s="6" t="n">
        <v>0.2</v>
      </c>
      <c r="S14" s="6" t="n">
        <v>52.78</v>
      </c>
      <c r="T14" s="7" t="n">
        <v>0.38</v>
      </c>
      <c r="U14" s="6" t="n">
        <v>46.71</v>
      </c>
      <c r="V14" s="6" t="n">
        <v>43</v>
      </c>
      <c r="W14" s="6" t="n">
        <v>43.9</v>
      </c>
      <c r="X14" s="6" t="n">
        <v>32.57</v>
      </c>
      <c r="Y14" s="5" t="n">
        <v>2025</v>
      </c>
      <c r="Z14" s="6" t="n">
        <v>10274.34</v>
      </c>
      <c r="AA14" s="6" t="n">
        <v>1346.12</v>
      </c>
      <c r="AB14" s="6" t="n">
        <v>26.61</v>
      </c>
      <c r="AC14" s="6" t="n">
        <v>-139.9</v>
      </c>
      <c r="AD14" s="6" t="n">
        <v>161.46</v>
      </c>
      <c r="AE14" s="6" t="n">
        <v>2.38</v>
      </c>
      <c r="AF14" s="6" t="n">
        <v>233.4</v>
      </c>
      <c r="AG14" s="6" t="n">
        <v>-298.92</v>
      </c>
      <c r="AH14" s="5" t="s">
        <v>56</v>
      </c>
    </row>
    <row r="15" customFormat="false" ht="15" hidden="false" customHeight="false" outlineLevel="0" collapsed="false">
      <c r="A15" s="5" t="s">
        <v>69</v>
      </c>
      <c r="B15" s="5" t="n">
        <v>27</v>
      </c>
      <c r="C15" s="6" t="n">
        <v>37.13</v>
      </c>
      <c r="D15" s="6" t="n">
        <v>46.31</v>
      </c>
      <c r="E15" s="6" t="n">
        <v>946.14</v>
      </c>
      <c r="F15" s="5" t="n">
        <v>7</v>
      </c>
      <c r="G15" s="5" t="n">
        <v>35</v>
      </c>
      <c r="H15" s="6" t="n">
        <v>-393.19</v>
      </c>
      <c r="I15" s="6" t="n">
        <v>1646.43</v>
      </c>
      <c r="J15" s="6" t="n">
        <v>-234.81</v>
      </c>
      <c r="K15" s="6" t="n">
        <v>1936.62</v>
      </c>
      <c r="L15" s="6" t="n">
        <v>10072.18</v>
      </c>
      <c r="M15" s="6" t="n">
        <v>8991.71</v>
      </c>
      <c r="N15" s="6" t="n">
        <v>-398.04</v>
      </c>
      <c r="O15" s="6" t="n">
        <v>634.15</v>
      </c>
      <c r="P15" s="6" t="n">
        <v>5.73</v>
      </c>
      <c r="Q15" s="6" t="n">
        <v>1.38</v>
      </c>
      <c r="R15" s="6" t="n">
        <v>1.32</v>
      </c>
      <c r="S15" s="6" t="n">
        <v>45.01</v>
      </c>
      <c r="T15" s="7" t="n">
        <v>0.31</v>
      </c>
      <c r="U15" s="6" t="n">
        <v>42.83</v>
      </c>
      <c r="V15" s="6" t="n">
        <v>42.38</v>
      </c>
      <c r="W15" s="6" t="n">
        <v>49.83</v>
      </c>
      <c r="X15" s="6" t="n">
        <v>-5.25</v>
      </c>
      <c r="Y15" s="5" t="n">
        <v>2025</v>
      </c>
      <c r="Z15" s="6" t="n">
        <v>10372.18</v>
      </c>
      <c r="AA15" s="6" t="n">
        <v>1346.43</v>
      </c>
      <c r="AB15" s="6" t="n">
        <v>-9.98</v>
      </c>
      <c r="AC15" s="6" t="n">
        <v>76.77</v>
      </c>
      <c r="AD15" s="6" t="n">
        <v>327.06</v>
      </c>
      <c r="AE15" s="6" t="n">
        <v>-0.45</v>
      </c>
      <c r="AF15" s="6" t="n">
        <v>-45.75</v>
      </c>
      <c r="AG15" s="6" t="n">
        <v>227.16</v>
      </c>
      <c r="AH15" s="5" t="s">
        <v>54</v>
      </c>
    </row>
    <row r="16" customFormat="false" ht="15" hidden="false" customHeight="false" outlineLevel="0" collapsed="false">
      <c r="A16" s="5" t="s">
        <v>70</v>
      </c>
      <c r="B16" s="5" t="n">
        <v>30</v>
      </c>
      <c r="C16" s="6" t="n">
        <v>57.89</v>
      </c>
      <c r="D16" s="6" t="n">
        <v>67.69</v>
      </c>
      <c r="E16" s="6" t="n">
        <v>992.85</v>
      </c>
      <c r="F16" s="5" t="n">
        <v>7</v>
      </c>
      <c r="G16" s="5" t="n">
        <v>60</v>
      </c>
      <c r="H16" s="6" t="n">
        <v>174.07</v>
      </c>
      <c r="I16" s="6" t="n">
        <v>1521.05</v>
      </c>
      <c r="J16" s="6" t="n">
        <v>377.39</v>
      </c>
      <c r="K16" s="6" t="n">
        <v>1929.28</v>
      </c>
      <c r="L16" s="6" t="n">
        <v>10711.4</v>
      </c>
      <c r="M16" s="6" t="n">
        <v>9459.65</v>
      </c>
      <c r="N16" s="6" t="n">
        <v>-250.79</v>
      </c>
      <c r="O16" s="6" t="n">
        <v>741.52</v>
      </c>
      <c r="P16" s="6" t="n">
        <v>-0.28</v>
      </c>
      <c r="Q16" s="6" t="n">
        <v>-3.57</v>
      </c>
      <c r="R16" s="6" t="n">
        <v>2.19</v>
      </c>
      <c r="S16" s="6" t="n">
        <v>43.18</v>
      </c>
      <c r="T16" s="7" t="n">
        <v>0.34</v>
      </c>
      <c r="U16" s="6" t="n">
        <v>47.72</v>
      </c>
      <c r="V16" s="6" t="n">
        <v>47.89</v>
      </c>
      <c r="W16" s="6" t="n">
        <v>50.12</v>
      </c>
      <c r="X16" s="6" t="n">
        <v>9.99</v>
      </c>
      <c r="Y16" s="5" t="n">
        <v>2025</v>
      </c>
      <c r="Z16" s="6" t="n">
        <v>11011.4</v>
      </c>
      <c r="AA16" s="6" t="n">
        <v>1221.05</v>
      </c>
      <c r="AB16" s="6" t="n">
        <v>-9.69</v>
      </c>
      <c r="AC16" s="6" t="n">
        <v>311.49</v>
      </c>
      <c r="AD16" s="6" t="n">
        <v>-93.43</v>
      </c>
      <c r="AE16" s="6" t="n">
        <v>2.09</v>
      </c>
      <c r="AF16" s="6" t="n">
        <v>-68.92</v>
      </c>
      <c r="AG16" s="6" t="n">
        <v>167.06</v>
      </c>
      <c r="AH16" s="5" t="s">
        <v>54</v>
      </c>
    </row>
    <row r="17" customFormat="false" ht="15" hidden="false" customHeight="false" outlineLevel="0" collapsed="false">
      <c r="A17" s="5" t="s">
        <v>71</v>
      </c>
      <c r="B17" s="5" t="n">
        <v>31</v>
      </c>
      <c r="C17" s="6" t="n">
        <v>39</v>
      </c>
      <c r="D17" s="6" t="n">
        <v>43.54</v>
      </c>
      <c r="E17" s="6" t="n">
        <v>973.67</v>
      </c>
      <c r="F17" s="5" t="n">
        <v>2</v>
      </c>
      <c r="G17" s="5" t="n">
        <v>20</v>
      </c>
      <c r="H17" s="6" t="n">
        <v>1469.7</v>
      </c>
      <c r="I17" s="6" t="n">
        <v>2529.62</v>
      </c>
      <c r="J17" s="6" t="n">
        <v>1726.85</v>
      </c>
      <c r="K17" s="6" t="n">
        <v>2128.9</v>
      </c>
      <c r="L17" s="6" t="n">
        <v>11510.02</v>
      </c>
      <c r="M17" s="6" t="n">
        <v>11144.66</v>
      </c>
      <c r="N17" s="6" t="n">
        <v>-259.18</v>
      </c>
      <c r="O17" s="6" t="n">
        <v>757.23</v>
      </c>
      <c r="P17" s="6" t="n">
        <v>-9.12</v>
      </c>
      <c r="Q17" s="6" t="n">
        <v>-13.77</v>
      </c>
      <c r="R17" s="6" t="n">
        <v>2.93</v>
      </c>
      <c r="S17" s="6" t="n">
        <v>28.07</v>
      </c>
      <c r="T17" s="7" t="n">
        <v>0.26</v>
      </c>
      <c r="U17" s="6" t="n">
        <v>62.58</v>
      </c>
      <c r="V17" s="6" t="n">
        <v>64.93</v>
      </c>
      <c r="W17" s="6" t="n">
        <v>69.15</v>
      </c>
      <c r="X17" s="6" t="n">
        <v>-25.93</v>
      </c>
      <c r="Y17" s="5" t="n">
        <v>2025</v>
      </c>
      <c r="Z17" s="6" t="n">
        <v>11810.02</v>
      </c>
      <c r="AA17" s="6" t="n">
        <v>2229.62</v>
      </c>
      <c r="AB17" s="6" t="n">
        <v>6.33</v>
      </c>
      <c r="AC17" s="6" t="n">
        <v>125.13</v>
      </c>
      <c r="AD17" s="6" t="n">
        <v>211.81</v>
      </c>
      <c r="AE17" s="6" t="n">
        <v>-2.35</v>
      </c>
      <c r="AF17" s="6" t="n">
        <v>171.71</v>
      </c>
      <c r="AG17" s="6" t="n">
        <v>180.68</v>
      </c>
      <c r="AH17" s="5" t="s">
        <v>56</v>
      </c>
    </row>
    <row r="18" customFormat="false" ht="15" hidden="false" customHeight="false" outlineLevel="0" collapsed="false">
      <c r="A18" s="5" t="s">
        <v>72</v>
      </c>
      <c r="B18" s="5" t="n">
        <v>31</v>
      </c>
      <c r="C18" s="6" t="n">
        <v>39.44</v>
      </c>
      <c r="D18" s="6" t="n">
        <v>48.86</v>
      </c>
      <c r="E18" s="6" t="n">
        <v>858.44</v>
      </c>
      <c r="F18" s="5" t="n">
        <v>1</v>
      </c>
      <c r="G18" s="5" t="n">
        <v>36</v>
      </c>
      <c r="H18" s="6" t="n">
        <v>1882.61</v>
      </c>
      <c r="I18" s="6" t="n">
        <v>2988.73</v>
      </c>
      <c r="J18" s="6" t="n">
        <v>2082.12</v>
      </c>
      <c r="K18" s="6" t="n">
        <v>2216.09</v>
      </c>
      <c r="L18" s="6" t="n">
        <v>11131.58</v>
      </c>
      <c r="M18" s="6" t="n">
        <v>11051.1</v>
      </c>
      <c r="N18" s="6" t="n">
        <v>-268.1</v>
      </c>
      <c r="O18" s="6" t="n">
        <v>735.31</v>
      </c>
      <c r="P18" s="6" t="n">
        <v>-4.7</v>
      </c>
      <c r="Q18" s="6" t="n">
        <v>-8.22</v>
      </c>
      <c r="R18" s="6" t="n">
        <v>2.3</v>
      </c>
      <c r="S18" s="6" t="n">
        <v>27.59</v>
      </c>
      <c r="T18" s="7" t="n">
        <v>0.43</v>
      </c>
      <c r="U18" s="6" t="n">
        <v>66.82</v>
      </c>
      <c r="V18" s="6" t="n">
        <v>60.98</v>
      </c>
      <c r="W18" s="6" t="n">
        <v>51.5</v>
      </c>
      <c r="X18" s="6" t="n">
        <v>-21.54</v>
      </c>
      <c r="Y18" s="5" t="n">
        <v>2026</v>
      </c>
      <c r="Z18" s="6" t="n">
        <v>11131.58</v>
      </c>
      <c r="AA18" s="6" t="n">
        <v>2988.73</v>
      </c>
      <c r="AB18" s="6" t="n">
        <v>4.46</v>
      </c>
      <c r="AC18" s="6" t="n">
        <v>39.12</v>
      </c>
      <c r="AD18" s="6" t="n">
        <v>-56.58</v>
      </c>
      <c r="AE18" s="6" t="n">
        <v>0.82</v>
      </c>
      <c r="AF18" s="6" t="n">
        <v>-60.08</v>
      </c>
      <c r="AG18" s="6" t="n">
        <v>179.09</v>
      </c>
      <c r="AH18" s="5" t="s">
        <v>56</v>
      </c>
    </row>
    <row r="19" customFormat="false" ht="15" hidden="false" customHeight="false" outlineLevel="0" collapsed="false">
      <c r="A19" s="5" t="s">
        <v>73</v>
      </c>
      <c r="B19" s="5" t="n">
        <v>28</v>
      </c>
      <c r="C19" s="6" t="n">
        <v>22.39</v>
      </c>
      <c r="D19" s="6" t="n">
        <v>24.26</v>
      </c>
      <c r="E19" s="6" t="n">
        <v>827.67</v>
      </c>
      <c r="F19" s="5" t="n">
        <v>2</v>
      </c>
      <c r="G19" s="5" t="n">
        <v>10</v>
      </c>
      <c r="H19" s="6" t="n">
        <v>2051.45</v>
      </c>
      <c r="I19" s="6" t="n">
        <v>3081.11</v>
      </c>
      <c r="J19" s="6" t="n">
        <v>2222.13</v>
      </c>
      <c r="K19" s="6" t="n">
        <v>2163.53</v>
      </c>
      <c r="L19" s="6" t="n">
        <v>10946.24</v>
      </c>
      <c r="M19" s="6" t="n">
        <v>10861.39</v>
      </c>
      <c r="N19" s="6" t="n">
        <v>-300.73</v>
      </c>
      <c r="O19" s="6" t="n">
        <v>740.32</v>
      </c>
      <c r="P19" s="6" t="n">
        <v>-4.77</v>
      </c>
      <c r="Q19" s="6" t="n">
        <v>-8.47</v>
      </c>
      <c r="R19" s="6" t="n">
        <v>1.72</v>
      </c>
      <c r="S19" s="6" t="n">
        <v>24.09</v>
      </c>
      <c r="T19" s="7" t="n">
        <v>0.31</v>
      </c>
      <c r="U19" s="6" t="n">
        <v>60.27</v>
      </c>
      <c r="V19" s="6" t="n">
        <v>52.31</v>
      </c>
      <c r="W19" s="6" t="n">
        <v>41.52</v>
      </c>
      <c r="X19" s="6" t="n">
        <v>-29.92</v>
      </c>
      <c r="Y19" s="5" t="n">
        <v>2026</v>
      </c>
      <c r="Z19" s="6" t="n">
        <v>10946.24</v>
      </c>
      <c r="AA19" s="6" t="n">
        <v>3081.11</v>
      </c>
      <c r="AB19" s="6" t="n">
        <v>-16.73</v>
      </c>
      <c r="AC19" s="6" t="n">
        <v>265.56</v>
      </c>
      <c r="AD19" s="6" t="n">
        <v>-170.25</v>
      </c>
      <c r="AE19" s="6" t="n">
        <v>4.26</v>
      </c>
      <c r="AF19" s="6" t="n">
        <v>-230.87</v>
      </c>
      <c r="AG19" s="6" t="n">
        <v>428.75</v>
      </c>
      <c r="AH19" s="5" t="s">
        <v>54</v>
      </c>
    </row>
    <row r="20" customFormat="false" ht="15" hidden="false" customHeight="false" outlineLevel="0" collapsed="false">
      <c r="A20" s="5" t="s">
        <v>74</v>
      </c>
      <c r="B20" s="5" t="n">
        <v>31</v>
      </c>
      <c r="C20" s="6" t="n">
        <v>34.26</v>
      </c>
      <c r="D20" s="6" t="n">
        <v>38.78</v>
      </c>
      <c r="E20" s="6" t="n">
        <v>948.63</v>
      </c>
      <c r="F20" s="5" t="n">
        <v>6</v>
      </c>
      <c r="G20" s="5" t="n">
        <v>33</v>
      </c>
      <c r="H20" s="6" t="n">
        <v>1340.83</v>
      </c>
      <c r="I20" s="6" t="n">
        <v>2767.25</v>
      </c>
      <c r="J20" s="6" t="n">
        <v>1516.73</v>
      </c>
      <c r="K20" s="6" t="n">
        <v>1913.36</v>
      </c>
      <c r="L20" s="6" t="n">
        <v>10861.16</v>
      </c>
      <c r="M20" s="6" t="n">
        <v>10347.76</v>
      </c>
      <c r="N20" s="6" t="n">
        <v>26.79</v>
      </c>
      <c r="O20" s="6" t="n">
        <v>734.22</v>
      </c>
      <c r="P20" s="6" t="n">
        <v>-2.97</v>
      </c>
      <c r="Q20" s="6" t="n">
        <v>-7.65</v>
      </c>
      <c r="R20" s="6" t="n">
        <v>1.77</v>
      </c>
      <c r="S20" s="6" t="n">
        <v>11.7</v>
      </c>
      <c r="T20" s="7" t="n">
        <v>0.3</v>
      </c>
      <c r="U20" s="6" t="n">
        <v>43</v>
      </c>
      <c r="V20" s="6" t="n">
        <v>37.28</v>
      </c>
      <c r="W20" s="6" t="n">
        <v>33</v>
      </c>
      <c r="X20" s="6" t="n">
        <v>-3.02</v>
      </c>
      <c r="Y20" s="5" t="n">
        <v>2026</v>
      </c>
      <c r="Z20" s="6" t="n">
        <v>10861.16</v>
      </c>
      <c r="AA20" s="6" t="n">
        <v>2767.25</v>
      </c>
      <c r="AB20" s="6" t="n">
        <v>-0.2</v>
      </c>
      <c r="AC20" s="6" t="n">
        <v>211.5</v>
      </c>
      <c r="AD20" s="6" t="n">
        <v>-233.57</v>
      </c>
      <c r="AE20" s="6" t="n">
        <v>-1.01</v>
      </c>
      <c r="AF20" s="6" t="n">
        <v>70.82</v>
      </c>
      <c r="AG20" s="6" t="n">
        <v>68.22</v>
      </c>
      <c r="AH20" s="5" t="s">
        <v>62</v>
      </c>
    </row>
    <row r="21" customFormat="false" ht="15" hidden="false" customHeight="false" outlineLevel="0" collapsed="false">
      <c r="A21" s="5" t="s">
        <v>75</v>
      </c>
      <c r="B21" s="5" t="n">
        <v>28</v>
      </c>
      <c r="C21" s="6" t="n">
        <v>28.39</v>
      </c>
      <c r="D21" s="6" t="n">
        <v>31.48</v>
      </c>
      <c r="E21" s="6" t="n">
        <v>833.51</v>
      </c>
      <c r="F21" s="5" t="n">
        <v>5</v>
      </c>
      <c r="G21" s="5" t="n">
        <v>24</v>
      </c>
      <c r="H21" s="6" t="n">
        <v>994.21</v>
      </c>
      <c r="I21" s="6" t="n">
        <v>2184.69</v>
      </c>
      <c r="J21" s="6" t="n">
        <v>1101.84</v>
      </c>
      <c r="K21" s="6" t="n">
        <v>1772.98</v>
      </c>
      <c r="L21" s="6" t="n">
        <v>10331.88</v>
      </c>
      <c r="M21" s="6" t="n">
        <v>9129.71</v>
      </c>
      <c r="N21" s="6" t="n">
        <v>154.25</v>
      </c>
      <c r="O21" s="6" t="n">
        <v>675.45</v>
      </c>
      <c r="P21" s="6" t="n">
        <v>2.07</v>
      </c>
      <c r="Q21" s="6" t="n">
        <v>-2.48</v>
      </c>
      <c r="R21" s="6" t="n">
        <v>1.32</v>
      </c>
      <c r="S21" s="6" t="n">
        <v>10.84</v>
      </c>
      <c r="T21" s="7" t="n">
        <v>0.39</v>
      </c>
      <c r="U21" s="6" t="n">
        <v>43.74</v>
      </c>
      <c r="V21" s="6" t="n">
        <v>42.32</v>
      </c>
      <c r="W21" s="6" t="n">
        <v>42.12</v>
      </c>
      <c r="X21" s="6" t="n">
        <v>-13.93</v>
      </c>
      <c r="Y21" s="5" t="n">
        <v>2026</v>
      </c>
      <c r="Z21" s="6" t="n">
        <v>10331.88</v>
      </c>
      <c r="AA21" s="6" t="n">
        <v>2184.69</v>
      </c>
      <c r="AB21" s="6" t="n">
        <v>-2.13</v>
      </c>
      <c r="AC21" s="6" t="n">
        <v>21.33</v>
      </c>
      <c r="AD21" s="6" t="n">
        <v>-265.49</v>
      </c>
      <c r="AE21" s="6" t="n">
        <v>-1.49</v>
      </c>
      <c r="AF21" s="6" t="n">
        <v>114.51</v>
      </c>
      <c r="AG21" s="6" t="n">
        <v>-192.1</v>
      </c>
      <c r="AH21" s="5" t="s">
        <v>62</v>
      </c>
    </row>
    <row r="22" customFormat="false" ht="15" hidden="false" customHeight="false" outlineLevel="0" collapsed="false">
      <c r="A22" s="5" t="s">
        <v>76</v>
      </c>
      <c r="B22" s="5" t="n">
        <v>31</v>
      </c>
      <c r="C22" s="6" t="n">
        <v>42.99</v>
      </c>
      <c r="D22" s="6" t="n">
        <v>55.11</v>
      </c>
      <c r="E22" s="6" t="n">
        <v>999.99</v>
      </c>
      <c r="F22" s="5" t="n">
        <v>4</v>
      </c>
      <c r="G22" s="5" t="n">
        <v>33</v>
      </c>
      <c r="H22" s="6" t="n">
        <v>1018.87</v>
      </c>
      <c r="I22" s="6" t="n">
        <v>2051.3</v>
      </c>
      <c r="J22" s="6" t="n">
        <v>1241.51</v>
      </c>
      <c r="K22" s="6" t="n">
        <v>1697.57</v>
      </c>
      <c r="L22" s="6" t="n">
        <v>9855.66</v>
      </c>
      <c r="M22" s="6" t="n">
        <v>8467.43</v>
      </c>
      <c r="N22" s="6" t="n">
        <v>247.03</v>
      </c>
      <c r="O22" s="6" t="n">
        <v>798.46</v>
      </c>
      <c r="P22" s="6" t="n">
        <v>12.95</v>
      </c>
      <c r="Q22" s="6" t="n">
        <v>6.95</v>
      </c>
      <c r="R22" s="6" t="n">
        <v>1.64</v>
      </c>
      <c r="S22" s="6" t="n">
        <v>14.41</v>
      </c>
      <c r="T22" s="7" t="n">
        <v>0.6</v>
      </c>
      <c r="U22" s="6" t="n">
        <v>34.41</v>
      </c>
      <c r="V22" s="6" t="n">
        <v>32.22</v>
      </c>
      <c r="W22" s="6" t="n">
        <v>30.75</v>
      </c>
      <c r="X22" s="6" t="n">
        <v>10.77</v>
      </c>
      <c r="Y22" s="5" t="n">
        <v>2026</v>
      </c>
      <c r="Z22" s="6" t="n">
        <v>9855.66</v>
      </c>
      <c r="AA22" s="6" t="n">
        <v>2051.3</v>
      </c>
      <c r="AB22" s="6" t="n">
        <v>0.44</v>
      </c>
      <c r="AC22" s="6" t="n">
        <v>27.66</v>
      </c>
      <c r="AD22" s="6" t="n">
        <v>-298.73</v>
      </c>
      <c r="AE22" s="6" t="n">
        <v>0.28</v>
      </c>
      <c r="AF22" s="6" t="n">
        <v>65.52</v>
      </c>
      <c r="AG22" s="6" t="n">
        <v>-134.57</v>
      </c>
      <c r="AH22" s="5" t="s">
        <v>62</v>
      </c>
    </row>
    <row r="23" customFormat="false" ht="15" hidden="false" customHeight="false" outlineLevel="0" collapsed="false">
      <c r="A23" s="5" t="s">
        <v>77</v>
      </c>
      <c r="B23" s="5" t="n">
        <v>30</v>
      </c>
      <c r="C23" s="6" t="n">
        <v>17.36</v>
      </c>
      <c r="D23" s="6" t="n">
        <v>19.38</v>
      </c>
      <c r="E23" s="6" t="n">
        <v>738.33</v>
      </c>
      <c r="F23" s="5" t="n">
        <v>1</v>
      </c>
      <c r="G23" s="5" t="n">
        <v>8</v>
      </c>
      <c r="H23" s="6" t="n">
        <v>1524.24</v>
      </c>
      <c r="I23" s="6" t="n">
        <v>2569.31</v>
      </c>
      <c r="J23" s="6" t="n">
        <v>1702.73</v>
      </c>
      <c r="K23" s="6" t="n">
        <v>1880.94</v>
      </c>
      <c r="L23" s="6" t="n">
        <v>9966.5</v>
      </c>
      <c r="M23" s="6" t="n">
        <v>8958.88</v>
      </c>
      <c r="N23" s="6" t="n">
        <v>176.69</v>
      </c>
      <c r="O23" s="6" t="n">
        <v>710.27</v>
      </c>
      <c r="P23" s="6" t="n">
        <v>13.4</v>
      </c>
      <c r="Q23" s="6" t="n">
        <v>8.99</v>
      </c>
      <c r="R23" s="6" t="n">
        <v>1.74</v>
      </c>
      <c r="S23" s="6" t="n">
        <v>11.87</v>
      </c>
      <c r="T23" s="7" t="n">
        <v>0.33</v>
      </c>
      <c r="U23" s="6" t="n">
        <v>35.05</v>
      </c>
      <c r="V23" s="6" t="n">
        <v>35.55</v>
      </c>
      <c r="W23" s="6" t="n">
        <v>38.15</v>
      </c>
      <c r="X23" s="6" t="n">
        <v>-18.19</v>
      </c>
      <c r="Y23" s="5" t="n">
        <v>2026</v>
      </c>
      <c r="Z23" s="6" t="n">
        <v>9966.5</v>
      </c>
      <c r="AA23" s="6" t="n">
        <v>2569.31</v>
      </c>
      <c r="AB23" s="6" t="n">
        <v>-15.74</v>
      </c>
      <c r="AC23" s="6" t="n">
        <v>239.26</v>
      </c>
      <c r="AD23" s="6" t="n">
        <v>-119.6</v>
      </c>
      <c r="AE23" s="6" t="n">
        <v>-1.13</v>
      </c>
      <c r="AF23" s="6" t="n">
        <v>5.56</v>
      </c>
      <c r="AG23" s="6" t="n">
        <v>358.63</v>
      </c>
      <c r="AH23" s="5" t="s">
        <v>54</v>
      </c>
    </row>
    <row r="24" customFormat="false" ht="15" hidden="false" customHeight="false" outlineLevel="0" collapsed="false">
      <c r="A24" s="5" t="s">
        <v>78</v>
      </c>
      <c r="B24" s="5" t="n">
        <v>31</v>
      </c>
      <c r="C24" s="6" t="n">
        <v>31.26</v>
      </c>
      <c r="D24" s="6" t="n">
        <v>39.88</v>
      </c>
      <c r="E24" s="6" t="n">
        <v>967.02</v>
      </c>
      <c r="F24" s="5" t="n">
        <v>3</v>
      </c>
      <c r="G24" s="5" t="n">
        <v>24</v>
      </c>
      <c r="H24" s="6" t="n">
        <v>1127.26</v>
      </c>
      <c r="I24" s="6" t="n">
        <v>2296.54</v>
      </c>
      <c r="J24" s="6" t="n">
        <v>1343.36</v>
      </c>
      <c r="K24" s="6" t="n">
        <v>1296.66</v>
      </c>
      <c r="L24" s="6" t="n">
        <v>10710.95</v>
      </c>
      <c r="M24" s="6" t="n">
        <v>9988.57</v>
      </c>
      <c r="N24" s="6" t="n">
        <v>-6.88</v>
      </c>
      <c r="O24" s="6" t="n">
        <v>765.8</v>
      </c>
      <c r="P24" s="6" t="n">
        <v>19.87</v>
      </c>
      <c r="Q24" s="6" t="n">
        <v>13.39</v>
      </c>
      <c r="R24" s="6" t="n">
        <v>1.58</v>
      </c>
      <c r="S24" s="6" t="n">
        <v>47.06</v>
      </c>
      <c r="T24" s="7" t="n">
        <v>0.4</v>
      </c>
      <c r="U24" s="6" t="n">
        <v>41.61</v>
      </c>
      <c r="V24" s="6" t="n">
        <v>45.73</v>
      </c>
      <c r="W24" s="6" t="n">
        <v>40.12</v>
      </c>
      <c r="X24" s="6" t="n">
        <v>-14.47</v>
      </c>
      <c r="Y24" s="5" t="n">
        <v>2026</v>
      </c>
      <c r="Z24" s="6" t="n">
        <v>10710.95</v>
      </c>
      <c r="AA24" s="6" t="n">
        <v>2296.54</v>
      </c>
      <c r="AB24" s="6" t="n">
        <v>-0.39</v>
      </c>
      <c r="AC24" s="6" t="n">
        <v>92.19</v>
      </c>
      <c r="AD24" s="6" t="n">
        <v>-15.27</v>
      </c>
      <c r="AE24" s="6" t="n">
        <v>1.48</v>
      </c>
      <c r="AF24" s="6" t="n">
        <v>202.82</v>
      </c>
      <c r="AG24" s="6" t="n">
        <v>235.52</v>
      </c>
      <c r="AH24" s="5" t="s">
        <v>62</v>
      </c>
    </row>
    <row r="25" customFormat="false" ht="15" hidden="false" customHeight="false" outlineLevel="0" collapsed="false">
      <c r="A25" s="5" t="s">
        <v>79</v>
      </c>
      <c r="B25" s="5" t="n">
        <v>31</v>
      </c>
      <c r="C25" s="6" t="n">
        <v>45.71</v>
      </c>
      <c r="D25" s="6" t="n">
        <v>56.12</v>
      </c>
      <c r="E25" s="6" t="n">
        <v>972.61</v>
      </c>
      <c r="F25" s="5" t="n">
        <v>6</v>
      </c>
      <c r="G25" s="5" t="n">
        <v>45</v>
      </c>
      <c r="H25" s="6" t="n">
        <v>717.15</v>
      </c>
      <c r="I25" s="6" t="n">
        <v>1850.49</v>
      </c>
      <c r="J25" s="6" t="n">
        <v>970.58</v>
      </c>
      <c r="K25" s="6" t="n">
        <v>1201.96</v>
      </c>
      <c r="L25" s="6" t="n">
        <v>10263.82</v>
      </c>
      <c r="M25" s="6" t="n">
        <v>9511.85</v>
      </c>
      <c r="N25" s="6" t="n">
        <v>-185.81</v>
      </c>
      <c r="O25" s="6" t="n">
        <v>823.01</v>
      </c>
      <c r="P25" s="6" t="n">
        <v>17.28</v>
      </c>
      <c r="Q25" s="6" t="n">
        <v>11.55</v>
      </c>
      <c r="R25" s="6" t="n">
        <v>1.35</v>
      </c>
      <c r="S25" s="6" t="n">
        <v>62.03</v>
      </c>
      <c r="T25" s="7" t="n">
        <v>0.28</v>
      </c>
      <c r="U25" s="6" t="n">
        <v>49.82</v>
      </c>
      <c r="V25" s="6" t="n">
        <v>47.05</v>
      </c>
      <c r="W25" s="6" t="n">
        <v>42.29</v>
      </c>
      <c r="X25" s="6" t="n">
        <v>-1.34</v>
      </c>
      <c r="Y25" s="5" t="n">
        <v>2026</v>
      </c>
      <c r="Z25" s="6" t="n">
        <v>10263.82</v>
      </c>
      <c r="AA25" s="6" t="n">
        <v>1850.49</v>
      </c>
      <c r="AB25" s="6" t="n">
        <v>-2.39</v>
      </c>
      <c r="AC25" s="6" t="n">
        <v>53.99</v>
      </c>
      <c r="AD25" s="6" t="n">
        <v>-192.15</v>
      </c>
      <c r="AE25" s="6" t="n">
        <v>-0.32</v>
      </c>
      <c r="AF25" s="6" t="n">
        <v>-111.64</v>
      </c>
      <c r="AG25" s="6" t="n">
        <v>98.21</v>
      </c>
      <c r="AH25" s="5" t="s">
        <v>62</v>
      </c>
    </row>
    <row r="26" customFormat="false" ht="15" hidden="false" customHeight="false" outlineLevel="0" collapsed="false">
      <c r="A26" s="5" t="s">
        <v>80</v>
      </c>
      <c r="B26" s="5" t="n">
        <v>29</v>
      </c>
      <c r="C26" s="6" t="n">
        <v>28.52</v>
      </c>
      <c r="D26" s="6" t="n">
        <v>33.9</v>
      </c>
      <c r="E26" s="6" t="n">
        <v>874.93</v>
      </c>
      <c r="F26" s="5" t="n">
        <v>2</v>
      </c>
      <c r="G26" s="5" t="n">
        <v>10</v>
      </c>
      <c r="H26" s="6" t="n">
        <v>992.75</v>
      </c>
      <c r="I26" s="6" t="n">
        <v>2073.1</v>
      </c>
      <c r="J26" s="6" t="n">
        <v>1288.17</v>
      </c>
      <c r="K26" s="6" t="n">
        <v>1728.48</v>
      </c>
      <c r="L26" s="6" t="n">
        <v>9813.57</v>
      </c>
      <c r="M26" s="6" t="n">
        <v>9088.11</v>
      </c>
      <c r="N26" s="6" t="n">
        <v>-271.95</v>
      </c>
      <c r="O26" s="6" t="n">
        <v>779.17</v>
      </c>
      <c r="P26" s="6" t="n">
        <v>12.21</v>
      </c>
      <c r="Q26" s="6" t="n">
        <v>7.37</v>
      </c>
      <c r="R26" s="6" t="n">
        <v>1.49</v>
      </c>
      <c r="S26" s="6" t="n">
        <v>47.82</v>
      </c>
      <c r="T26" s="7" t="n">
        <v>0.3</v>
      </c>
      <c r="U26" s="6" t="n">
        <v>43.64</v>
      </c>
      <c r="V26" s="6" t="n">
        <v>42.23</v>
      </c>
      <c r="W26" s="6" t="n">
        <v>39.08</v>
      </c>
      <c r="X26" s="6" t="n">
        <v>-13.71</v>
      </c>
      <c r="Y26" s="5" t="n">
        <v>2026</v>
      </c>
      <c r="Z26" s="6" t="n">
        <v>9813.57</v>
      </c>
      <c r="AA26" s="6" t="n">
        <v>2073.1</v>
      </c>
      <c r="AB26" s="6" t="n">
        <v>-20.44</v>
      </c>
      <c r="AC26" s="6" t="n">
        <v>250.02</v>
      </c>
      <c r="AD26" s="6" t="n">
        <v>55.92</v>
      </c>
      <c r="AE26" s="6" t="n">
        <v>-1.73</v>
      </c>
      <c r="AF26" s="6" t="n">
        <v>-227.37</v>
      </c>
      <c r="AG26" s="6" t="n">
        <v>428.06</v>
      </c>
      <c r="AH26" s="5"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8" min="1" style="0" width="13"/>
  </cols>
  <sheetData>
    <row r="1" customFormat="false" ht="45" hidden="false" customHeight="true" outlineLevel="0" collapsed="false">
      <c r="A1" s="4" t="s">
        <v>81</v>
      </c>
      <c r="B1" s="4" t="s">
        <v>21</v>
      </c>
      <c r="C1" s="4" t="s">
        <v>22</v>
      </c>
      <c r="D1" s="4" t="s">
        <v>24</v>
      </c>
      <c r="E1" s="4" t="s">
        <v>25</v>
      </c>
      <c r="F1" s="4" t="s">
        <v>26</v>
      </c>
      <c r="G1" s="4" t="s">
        <v>27</v>
      </c>
      <c r="H1" s="4" t="s">
        <v>28</v>
      </c>
      <c r="I1" s="4" t="s">
        <v>29</v>
      </c>
      <c r="J1" s="4" t="s">
        <v>30</v>
      </c>
      <c r="K1" s="4" t="s">
        <v>31</v>
      </c>
      <c r="L1" s="4" t="s">
        <v>32</v>
      </c>
      <c r="M1" s="4" t="s">
        <v>33</v>
      </c>
      <c r="N1" s="4" t="s">
        <v>34</v>
      </c>
      <c r="O1" s="4" t="s">
        <v>35</v>
      </c>
      <c r="P1" s="4" t="s">
        <v>36</v>
      </c>
      <c r="Q1" s="4" t="s">
        <v>37</v>
      </c>
      <c r="R1" s="4" t="s">
        <v>82</v>
      </c>
    </row>
    <row r="2" customFormat="false" ht="15" hidden="false" customHeight="false" outlineLevel="0" collapsed="false">
      <c r="A2" s="5" t="s">
        <v>83</v>
      </c>
      <c r="B2" s="6" t="n">
        <v>35</v>
      </c>
      <c r="C2" s="6" t="n">
        <v>41.4</v>
      </c>
      <c r="D2" s="6" t="n">
        <v>2</v>
      </c>
      <c r="E2" s="6" t="n">
        <v>28.5</v>
      </c>
      <c r="F2" s="6" t="n">
        <v>1915.8</v>
      </c>
      <c r="G2" s="6" t="n">
        <v>2810</v>
      </c>
      <c r="H2" s="6" t="n">
        <v>2064</v>
      </c>
      <c r="I2" s="6" t="n">
        <v>2177</v>
      </c>
      <c r="J2" s="6" t="n">
        <v>11192</v>
      </c>
      <c r="K2" s="6" t="n">
        <v>11107.7</v>
      </c>
      <c r="L2" s="6" t="n">
        <v>-430.8</v>
      </c>
      <c r="M2" s="6" t="n">
        <v>717.3</v>
      </c>
      <c r="N2" s="6" t="n">
        <v>-5.5</v>
      </c>
      <c r="O2" s="6" t="n">
        <v>-8.8</v>
      </c>
      <c r="P2" s="6" t="n">
        <v>2</v>
      </c>
      <c r="Q2" s="6" t="n">
        <v>40.2</v>
      </c>
      <c r="R2" s="6" t="n">
        <v>2</v>
      </c>
    </row>
    <row r="3" customFormat="false" ht="15" hidden="false" customHeight="false" outlineLevel="0" collapsed="false">
      <c r="A3" s="5" t="s">
        <v>84</v>
      </c>
      <c r="B3" s="6" t="n">
        <v>39.1</v>
      </c>
      <c r="C3" s="6" t="n">
        <v>44.2</v>
      </c>
      <c r="D3" s="6" t="n">
        <v>2.5</v>
      </c>
      <c r="E3" s="6" t="n">
        <v>22.5</v>
      </c>
      <c r="F3" s="6" t="n">
        <v>1899.9</v>
      </c>
      <c r="G3" s="6" t="n">
        <v>2652</v>
      </c>
      <c r="H3" s="6" t="n">
        <v>2003.4</v>
      </c>
      <c r="I3" s="6" t="n">
        <v>1898</v>
      </c>
      <c r="J3" s="6" t="n">
        <v>11177</v>
      </c>
      <c r="K3" s="6" t="n">
        <v>11031.6</v>
      </c>
      <c r="L3" s="6" t="n">
        <v>-378.6</v>
      </c>
      <c r="M3" s="6" t="n">
        <v>694.1</v>
      </c>
      <c r="N3" s="6" t="n">
        <v>-9</v>
      </c>
      <c r="O3" s="6" t="n">
        <v>-12.7</v>
      </c>
      <c r="P3" s="6" t="n">
        <v>2</v>
      </c>
      <c r="Q3" s="6" t="n">
        <v>45.7</v>
      </c>
      <c r="R3" s="6" t="n">
        <v>2</v>
      </c>
    </row>
    <row r="4" customFormat="false" ht="15" hidden="false" customHeight="false" outlineLevel="0" collapsed="false">
      <c r="A4" s="5" t="s">
        <v>85</v>
      </c>
      <c r="B4" s="6" t="n">
        <v>34.5</v>
      </c>
      <c r="C4" s="6" t="n">
        <v>37.8</v>
      </c>
      <c r="D4" s="6" t="n">
        <v>3.5</v>
      </c>
      <c r="E4" s="6" t="n">
        <v>25.5</v>
      </c>
      <c r="F4" s="6" t="n">
        <v>1590.5</v>
      </c>
      <c r="G4" s="6" t="n">
        <v>2699</v>
      </c>
      <c r="H4" s="6" t="n">
        <v>1693.2</v>
      </c>
      <c r="I4" s="6" t="n">
        <v>1701.9</v>
      </c>
      <c r="J4" s="6" t="n">
        <v>10790</v>
      </c>
      <c r="K4" s="6" t="n">
        <v>10581.3</v>
      </c>
      <c r="L4" s="6" t="n">
        <v>-156.6</v>
      </c>
      <c r="M4" s="6" t="n">
        <v>704.9</v>
      </c>
      <c r="N4" s="6" t="n">
        <v>-2</v>
      </c>
      <c r="O4" s="6" t="n">
        <v>-6.1</v>
      </c>
      <c r="P4" s="6" t="n">
        <v>2</v>
      </c>
      <c r="Q4" s="6" t="n">
        <v>22.3</v>
      </c>
      <c r="R4" s="6" t="n">
        <v>2</v>
      </c>
    </row>
    <row r="5" customFormat="false" ht="15" hidden="false" customHeight="false" outlineLevel="0" collapsed="false">
      <c r="A5" s="5" t="s">
        <v>86</v>
      </c>
      <c r="B5" s="6" t="n">
        <v>30.5</v>
      </c>
      <c r="C5" s="6" t="n">
        <v>31.9</v>
      </c>
      <c r="D5" s="6" t="n">
        <v>3</v>
      </c>
      <c r="E5" s="6" t="n">
        <v>29</v>
      </c>
      <c r="F5" s="6" t="n">
        <v>1450.8</v>
      </c>
      <c r="G5" s="6" t="n">
        <v>2377</v>
      </c>
      <c r="H5" s="6" t="n">
        <v>1537.1</v>
      </c>
      <c r="I5" s="6" t="n">
        <v>1751.7</v>
      </c>
      <c r="J5" s="6" t="n">
        <v>10217</v>
      </c>
      <c r="K5" s="6" t="n">
        <v>9395.2</v>
      </c>
      <c r="L5" s="6" t="n">
        <v>-37.6</v>
      </c>
      <c r="M5" s="6" t="n">
        <v>689.8</v>
      </c>
      <c r="N5" s="6" t="n">
        <v>3.6</v>
      </c>
      <c r="O5" s="6" t="n">
        <v>-1.4</v>
      </c>
      <c r="P5" s="6" t="n">
        <v>1.8</v>
      </c>
      <c r="Q5" s="6" t="n">
        <v>18.3</v>
      </c>
      <c r="R5" s="6" t="n">
        <v>2</v>
      </c>
    </row>
    <row r="6" customFormat="false" ht="15" hidden="false" customHeight="false" outlineLevel="0" collapsed="false">
      <c r="A6" s="5" t="s">
        <v>87</v>
      </c>
      <c r="B6" s="6" t="n">
        <v>42.5</v>
      </c>
      <c r="C6" s="6" t="n">
        <v>53.2</v>
      </c>
      <c r="D6" s="6" t="n">
        <v>4</v>
      </c>
      <c r="E6" s="6" t="n">
        <v>33.5</v>
      </c>
      <c r="F6" s="6" t="n">
        <v>1332</v>
      </c>
      <c r="G6" s="6" t="n">
        <v>2186</v>
      </c>
      <c r="H6" s="6" t="n">
        <v>1525</v>
      </c>
      <c r="I6" s="6" t="n">
        <v>1669.9</v>
      </c>
      <c r="J6" s="6" t="n">
        <v>9790</v>
      </c>
      <c r="K6" s="6" t="n">
        <v>8766.2</v>
      </c>
      <c r="L6" s="6" t="n">
        <v>30.9</v>
      </c>
      <c r="M6" s="6" t="n">
        <v>767.2</v>
      </c>
      <c r="N6" s="6" t="n">
        <v>12.7</v>
      </c>
      <c r="O6" s="6" t="n">
        <v>6.6</v>
      </c>
      <c r="P6" s="6" t="n">
        <v>1.7</v>
      </c>
      <c r="Q6" s="6" t="n">
        <v>26.3</v>
      </c>
      <c r="R6" s="6" t="n">
        <v>2</v>
      </c>
    </row>
    <row r="7" customFormat="false" ht="15" hidden="false" customHeight="false" outlineLevel="0" collapsed="false">
      <c r="A7" s="5" t="s">
        <v>88</v>
      </c>
      <c r="B7" s="6" t="n">
        <v>33.1</v>
      </c>
      <c r="C7" s="6" t="n">
        <v>41.1</v>
      </c>
      <c r="D7" s="6" t="n">
        <v>4.5</v>
      </c>
      <c r="E7" s="6" t="n">
        <v>26</v>
      </c>
      <c r="F7" s="6" t="n">
        <v>1395.2</v>
      </c>
      <c r="G7" s="6" t="n">
        <v>2211</v>
      </c>
      <c r="H7" s="6" t="n">
        <v>1635.3</v>
      </c>
      <c r="I7" s="6" t="n">
        <v>1641.7</v>
      </c>
      <c r="J7" s="6" t="n">
        <v>9961</v>
      </c>
      <c r="K7" s="6" t="n">
        <v>9078.5</v>
      </c>
      <c r="L7" s="6" t="n">
        <v>-76.9</v>
      </c>
      <c r="M7" s="6" t="n">
        <v>765.1</v>
      </c>
      <c r="N7" s="6" t="n">
        <v>14.5</v>
      </c>
      <c r="O7" s="6" t="n">
        <v>9.6</v>
      </c>
      <c r="P7" s="6" t="n">
        <v>1.2</v>
      </c>
      <c r="Q7" s="6" t="n">
        <v>27.3</v>
      </c>
      <c r="R7" s="6" t="n">
        <v>2</v>
      </c>
    </row>
    <row r="8" customFormat="false" ht="15" hidden="false" customHeight="false" outlineLevel="0" collapsed="false">
      <c r="A8" s="5" t="s">
        <v>89</v>
      </c>
      <c r="B8" s="6" t="n">
        <v>31.7</v>
      </c>
      <c r="C8" s="6" t="n">
        <v>38.3</v>
      </c>
      <c r="D8" s="6" t="n">
        <v>4</v>
      </c>
      <c r="E8" s="6" t="n">
        <v>21</v>
      </c>
      <c r="F8" s="6" t="n">
        <v>1202.5</v>
      </c>
      <c r="G8" s="6" t="n">
        <v>2061</v>
      </c>
      <c r="H8" s="6" t="n">
        <v>1471.5</v>
      </c>
      <c r="I8" s="6" t="n">
        <v>1204.5</v>
      </c>
      <c r="J8" s="6" t="n">
        <v>10508</v>
      </c>
      <c r="K8" s="6" t="n">
        <v>10003.8</v>
      </c>
      <c r="L8" s="6" t="n">
        <v>-252.8</v>
      </c>
      <c r="M8" s="6" t="n">
        <v>788.3</v>
      </c>
      <c r="N8" s="6" t="n">
        <v>18.4</v>
      </c>
      <c r="O8" s="6" t="n">
        <v>12.7</v>
      </c>
      <c r="P8" s="6" t="n">
        <v>1.2</v>
      </c>
      <c r="Q8" s="6" t="n">
        <v>48.7</v>
      </c>
      <c r="R8" s="6" t="n">
        <v>2</v>
      </c>
    </row>
    <row r="9" customFormat="false" ht="15" hidden="false" customHeight="false" outlineLevel="0" collapsed="false">
      <c r="A9" s="5" t="s">
        <v>90</v>
      </c>
      <c r="B9" s="6" t="n">
        <v>48.1</v>
      </c>
      <c r="C9" s="6" t="n">
        <v>60.7</v>
      </c>
      <c r="D9" s="6" t="n">
        <v>8.5</v>
      </c>
      <c r="E9" s="6" t="n">
        <v>50.5</v>
      </c>
      <c r="F9" s="6" t="n">
        <v>924.2</v>
      </c>
      <c r="G9" s="6" t="n">
        <v>1752</v>
      </c>
      <c r="H9" s="6" t="n">
        <v>1124</v>
      </c>
      <c r="I9" s="6" t="n">
        <v>1148</v>
      </c>
      <c r="J9" s="6" t="n">
        <v>10375</v>
      </c>
      <c r="K9" s="6" t="n">
        <v>9704</v>
      </c>
      <c r="L9" s="6" t="n">
        <v>-275.8</v>
      </c>
      <c r="M9" s="6" t="n">
        <v>718</v>
      </c>
      <c r="N9" s="6" t="n">
        <v>17.6</v>
      </c>
      <c r="O9" s="6" t="n">
        <v>11.7</v>
      </c>
      <c r="P9" s="6" t="n">
        <v>1.1</v>
      </c>
      <c r="Q9" s="6" t="n">
        <v>55.6</v>
      </c>
      <c r="R9" s="6" t="n">
        <v>2</v>
      </c>
    </row>
    <row r="10" customFormat="false" ht="15" hidden="false" customHeight="false" outlineLevel="0" collapsed="false">
      <c r="A10" s="5" t="s">
        <v>91</v>
      </c>
      <c r="B10" s="6" t="n">
        <v>49</v>
      </c>
      <c r="C10" s="6" t="n">
        <v>63.2</v>
      </c>
      <c r="D10" s="6" t="n">
        <v>7</v>
      </c>
      <c r="E10" s="6" t="n">
        <v>42</v>
      </c>
      <c r="F10" s="6" t="n">
        <v>931.6</v>
      </c>
      <c r="G10" s="6" t="n">
        <v>1645</v>
      </c>
      <c r="H10" s="6" t="n">
        <v>1083.3</v>
      </c>
      <c r="I10" s="6" t="n">
        <v>1478.5</v>
      </c>
      <c r="J10" s="6" t="n">
        <v>10041</v>
      </c>
      <c r="K10" s="6" t="n">
        <v>9032.2</v>
      </c>
      <c r="L10" s="6" t="n">
        <v>-226.9</v>
      </c>
      <c r="M10" s="6" t="n">
        <v>728.2</v>
      </c>
      <c r="N10" s="6" t="n">
        <v>13.9</v>
      </c>
      <c r="O10" s="6" t="n">
        <v>8.5</v>
      </c>
      <c r="P10" s="6" t="n">
        <v>0.7</v>
      </c>
      <c r="Q10" s="6" t="n">
        <v>51.8</v>
      </c>
      <c r="R10" s="6" t="n">
        <v>3</v>
      </c>
    </row>
    <row r="11" customFormat="false" ht="15" hidden="false" customHeight="false" outlineLevel="0" collapsed="false">
      <c r="A11" s="5" t="s">
        <v>92</v>
      </c>
      <c r="B11" s="6" t="n">
        <v>47.1</v>
      </c>
      <c r="C11" s="6" t="n">
        <v>58.8</v>
      </c>
      <c r="D11" s="6" t="n">
        <v>8</v>
      </c>
      <c r="E11" s="6" t="n">
        <v>54</v>
      </c>
      <c r="F11" s="6" t="n">
        <v>-366.5</v>
      </c>
      <c r="G11" s="6" t="n">
        <v>1119</v>
      </c>
      <c r="H11" s="6" t="n">
        <v>-355.5</v>
      </c>
      <c r="I11" s="6" t="n">
        <v>1859.9</v>
      </c>
      <c r="J11" s="6" t="n">
        <v>10418</v>
      </c>
      <c r="K11" s="6" t="n">
        <v>8664.6</v>
      </c>
      <c r="L11" s="6" t="n">
        <v>-278.7</v>
      </c>
      <c r="M11" s="6" t="n">
        <v>619.3</v>
      </c>
      <c r="N11" s="6" t="n">
        <v>6.2</v>
      </c>
      <c r="O11" s="6" t="n">
        <v>1.8</v>
      </c>
      <c r="P11" s="6" t="n">
        <v>1.2</v>
      </c>
      <c r="Q11" s="6" t="n">
        <v>48.8</v>
      </c>
      <c r="R11" s="6" t="n">
        <v>2</v>
      </c>
    </row>
    <row r="12" customFormat="false" ht="15" hidden="false" customHeight="false" outlineLevel="0" collapsed="false">
      <c r="A12" s="5" t="s">
        <v>93</v>
      </c>
      <c r="B12" s="6" t="n">
        <v>67.6</v>
      </c>
      <c r="C12" s="6" t="n">
        <v>82.1</v>
      </c>
      <c r="D12" s="6" t="n">
        <v>7.5</v>
      </c>
      <c r="E12" s="6" t="n">
        <v>89</v>
      </c>
      <c r="F12" s="6" t="n">
        <v>126.8</v>
      </c>
      <c r="G12" s="6" t="n">
        <v>1054</v>
      </c>
      <c r="H12" s="6" t="n">
        <v>233</v>
      </c>
      <c r="I12" s="6" t="n">
        <v>1617.8</v>
      </c>
      <c r="J12" s="6" t="n">
        <v>11080</v>
      </c>
      <c r="K12" s="6" t="n">
        <v>9553.1</v>
      </c>
      <c r="L12" s="6" t="n">
        <v>-123.1</v>
      </c>
      <c r="M12" s="6" t="n">
        <v>667.2</v>
      </c>
      <c r="N12" s="6" t="n">
        <v>-2.4</v>
      </c>
      <c r="O12" s="6" t="n">
        <v>-5.4</v>
      </c>
      <c r="P12" s="6" t="n">
        <v>1.8</v>
      </c>
      <c r="Q12" s="6" t="n">
        <v>40.3</v>
      </c>
      <c r="R12" s="6" t="n">
        <v>2</v>
      </c>
    </row>
    <row r="13" customFormat="false" ht="15" hidden="false" customHeight="false" outlineLevel="0" collapsed="false">
      <c r="A13" s="5" t="s">
        <v>94</v>
      </c>
      <c r="B13" s="6" t="n">
        <v>32.7</v>
      </c>
      <c r="C13" s="6" t="n">
        <v>36.8</v>
      </c>
      <c r="D13" s="6" t="n">
        <v>1.5</v>
      </c>
      <c r="E13" s="6" t="n">
        <v>13.5</v>
      </c>
      <c r="F13" s="6" t="n">
        <v>1498.5</v>
      </c>
      <c r="G13" s="6" t="n">
        <v>2049</v>
      </c>
      <c r="H13" s="6" t="n">
        <v>1665.4</v>
      </c>
      <c r="I13" s="6" t="n">
        <v>2003.8</v>
      </c>
      <c r="J13" s="6" t="n">
        <v>11638</v>
      </c>
      <c r="K13" s="6" t="n">
        <v>10932.8</v>
      </c>
      <c r="L13" s="6" t="n">
        <v>-339.5</v>
      </c>
      <c r="M13" s="6" t="n">
        <v>738.3</v>
      </c>
      <c r="N13" s="6" t="n">
        <v>-6.8</v>
      </c>
      <c r="O13" s="6" t="n">
        <v>-10.4</v>
      </c>
      <c r="P13" s="6" t="n">
        <v>2.4</v>
      </c>
      <c r="Q13" s="6" t="n">
        <v>34.8</v>
      </c>
      <c r="R13" s="6" t="n">
        <v>2</v>
      </c>
    </row>
    <row r="15" customFormat="false" ht="15" hidden="false" customHeight="false" outlineLevel="0" collapsed="false">
      <c r="A15" s="0"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9" min="1" style="0" width="13"/>
  </cols>
  <sheetData>
    <row r="1" customFormat="false" ht="45" hidden="false" customHeight="true" outlineLevel="0" collapsed="false">
      <c r="A1" s="4" t="s">
        <v>96</v>
      </c>
      <c r="B1" s="4" t="s">
        <v>97</v>
      </c>
      <c r="C1" s="4" t="s">
        <v>98</v>
      </c>
      <c r="D1" s="4" t="s">
        <v>99</v>
      </c>
      <c r="E1" s="4" t="s">
        <v>100</v>
      </c>
      <c r="F1" s="4" t="s">
        <v>101</v>
      </c>
      <c r="G1" s="4" t="s">
        <v>102</v>
      </c>
      <c r="H1" s="4" t="s">
        <v>23</v>
      </c>
      <c r="I1" s="4" t="s">
        <v>103</v>
      </c>
    </row>
    <row r="2" customFormat="false" ht="15" hidden="false" customHeight="false" outlineLevel="0" collapsed="false">
      <c r="A2" s="5" t="s">
        <v>104</v>
      </c>
      <c r="B2" s="6" t="n">
        <v>16</v>
      </c>
      <c r="C2" s="6" t="n">
        <v>0.44</v>
      </c>
      <c r="D2" s="6" t="n">
        <v>-5.38</v>
      </c>
      <c r="E2" s="6" t="n">
        <v>-9.71</v>
      </c>
      <c r="F2" s="6" t="n">
        <v>-23.57</v>
      </c>
      <c r="G2" s="6" t="n">
        <v>10.36</v>
      </c>
      <c r="H2" s="6" t="n">
        <v>-30.14</v>
      </c>
      <c r="I2" s="6" t="n">
        <v>31.67</v>
      </c>
    </row>
    <row r="3" customFormat="false" ht="15" hidden="false" customHeight="false" outlineLevel="0" collapsed="false">
      <c r="A3" s="5" t="s">
        <v>105</v>
      </c>
      <c r="B3" s="6" t="n">
        <v>16</v>
      </c>
      <c r="C3" s="6" t="n">
        <v>0.38</v>
      </c>
      <c r="D3" s="6" t="n">
        <v>-6.81</v>
      </c>
      <c r="E3" s="6" t="n">
        <v>-11.16</v>
      </c>
      <c r="F3" s="6" t="n">
        <v>-23.75</v>
      </c>
      <c r="G3" s="6" t="n">
        <v>11.27</v>
      </c>
      <c r="H3" s="6" t="n">
        <v>-34.08</v>
      </c>
      <c r="I3" s="6" t="n">
        <v>32.54</v>
      </c>
    </row>
    <row r="4" customFormat="false" ht="15" hidden="false" customHeight="false" outlineLevel="0" collapsed="false">
      <c r="A4" s="5" t="s">
        <v>106</v>
      </c>
      <c r="B4" s="6" t="n">
        <v>15</v>
      </c>
      <c r="C4" s="6" t="n">
        <v>0.2</v>
      </c>
      <c r="D4" s="6" t="n">
        <v>-8.08</v>
      </c>
      <c r="E4" s="6" t="n">
        <v>-13.71</v>
      </c>
      <c r="F4" s="6" t="n">
        <v>-24.37</v>
      </c>
      <c r="G4" s="6" t="n">
        <v>10.46</v>
      </c>
      <c r="H4" s="6" t="n">
        <v>-29.92</v>
      </c>
      <c r="I4" s="6" t="n">
        <v>32.57</v>
      </c>
    </row>
    <row r="5" customFormat="false" ht="15" hidden="false" customHeight="false" outlineLevel="0" collapsed="false">
      <c r="A5" s="5" t="s">
        <v>107</v>
      </c>
      <c r="B5" s="6" t="n">
        <v>15</v>
      </c>
      <c r="C5" s="6" t="n">
        <v>0.2</v>
      </c>
      <c r="D5" s="6" t="n">
        <v>-9.32</v>
      </c>
      <c r="E5" s="6" t="n">
        <v>-10.85</v>
      </c>
      <c r="F5" s="6" t="n">
        <v>-26.21</v>
      </c>
      <c r="G5" s="6" t="n">
        <v>9.64</v>
      </c>
      <c r="H5" s="6" t="n">
        <v>-36.1</v>
      </c>
      <c r="I5" s="6" t="n">
        <v>30.29</v>
      </c>
    </row>
    <row r="6" customFormat="false" ht="15" hidden="false" customHeight="false" outlineLevel="0" collapsed="false">
      <c r="A6" s="5" t="s">
        <v>108</v>
      </c>
      <c r="B6" s="6" t="n">
        <v>14</v>
      </c>
      <c r="C6" s="6" t="n">
        <v>0.21</v>
      </c>
      <c r="D6" s="6" t="n">
        <v>-10.45</v>
      </c>
      <c r="E6" s="6" t="n">
        <v>-11.09</v>
      </c>
      <c r="F6" s="6" t="n">
        <v>-25.64</v>
      </c>
      <c r="G6" s="6" t="n">
        <v>8.42</v>
      </c>
      <c r="H6" s="6" t="n">
        <v>-42.34</v>
      </c>
      <c r="I6" s="6" t="n">
        <v>24.76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5"/>
  </cols>
  <sheetData>
    <row r="1" customFormat="false" ht="15" hidden="false" customHeight="false" outlineLevel="0" collapsed="false">
      <c r="A1" s="8" t="s">
        <v>109</v>
      </c>
    </row>
    <row r="2" customFormat="false" ht="45" hidden="false" customHeight="true" outlineLevel="0" collapsed="false">
      <c r="A2" s="9" t="s">
        <v>110</v>
      </c>
      <c r="B2" s="9" t="s">
        <v>111</v>
      </c>
      <c r="C2" s="9" t="s">
        <v>112</v>
      </c>
      <c r="D2" s="9" t="s">
        <v>113</v>
      </c>
      <c r="E2" s="9" t="s">
        <v>114</v>
      </c>
      <c r="F2" s="9" t="s">
        <v>115</v>
      </c>
      <c r="G2" s="9" t="s">
        <v>116</v>
      </c>
      <c r="H2" s="9" t="s">
        <v>117</v>
      </c>
    </row>
    <row r="3" customFormat="false" ht="15" hidden="false" customHeight="false" outlineLevel="0" collapsed="false">
      <c r="A3" s="0" t="s">
        <v>118</v>
      </c>
      <c r="B3" s="10" t="n">
        <v>34</v>
      </c>
      <c r="C3" s="10" t="n">
        <v>34.25</v>
      </c>
      <c r="D3" s="10" t="n">
        <v>35.5</v>
      </c>
      <c r="E3" s="10" t="n">
        <v>36</v>
      </c>
      <c r="F3" s="10" t="n">
        <v>47.1</v>
      </c>
      <c r="G3" s="10" t="n">
        <f aca="false">B3-F3</f>
        <v>-13.1</v>
      </c>
      <c r="H3" s="11" t="n">
        <v>8</v>
      </c>
    </row>
    <row r="4" customFormat="false" ht="15" hidden="false" customHeight="false" outlineLevel="0" collapsed="false">
      <c r="A4" s="0" t="s">
        <v>119</v>
      </c>
      <c r="B4" s="10" t="n">
        <v>38</v>
      </c>
      <c r="C4" s="10" t="n">
        <v>38</v>
      </c>
      <c r="D4" s="10" t="n">
        <v>41</v>
      </c>
      <c r="E4" s="10" t="n">
        <v>43</v>
      </c>
      <c r="F4" s="10" t="n">
        <v>67.6</v>
      </c>
      <c r="G4" s="10" t="n">
        <f aca="false">B4-F4</f>
        <v>-29.6</v>
      </c>
      <c r="H4" s="11" t="n">
        <v>7.5</v>
      </c>
    </row>
    <row r="5" customFormat="false" ht="15" hidden="false" customHeight="false" outlineLevel="0" collapsed="false">
      <c r="A5" s="0" t="s">
        <v>120</v>
      </c>
      <c r="B5" s="10" t="n">
        <v>45.5</v>
      </c>
      <c r="C5" s="10" t="n">
        <v>46.25</v>
      </c>
      <c r="D5" s="10" t="n">
        <v>49</v>
      </c>
      <c r="E5" s="10" t="n">
        <v>49</v>
      </c>
      <c r="F5" s="10" t="n">
        <v>32.7</v>
      </c>
      <c r="G5" s="10" t="n">
        <f aca="false">B5-F5</f>
        <v>12.8</v>
      </c>
      <c r="H5" s="11" t="n">
        <v>1.5</v>
      </c>
    </row>
    <row r="6" customFormat="false" ht="15" hidden="false" customHeight="false" outlineLevel="0" collapsed="false">
      <c r="A6" s="0" t="s">
        <v>121</v>
      </c>
      <c r="B6" s="10" t="n">
        <v>50.7</v>
      </c>
      <c r="C6" s="10" t="n">
        <v>49.25</v>
      </c>
      <c r="D6" s="10" t="n">
        <v>53.75</v>
      </c>
      <c r="E6" s="10" t="n">
        <v>54.75</v>
      </c>
      <c r="F6" s="10" t="n">
        <v>35</v>
      </c>
      <c r="G6" s="10" t="n">
        <f aca="false">B6-F6</f>
        <v>15.7</v>
      </c>
      <c r="H6" s="11" t="n">
        <v>2</v>
      </c>
    </row>
    <row r="7" customFormat="false" ht="15" hidden="false" customHeight="false" outlineLevel="0" collapsed="false">
      <c r="A7" s="0" t="s">
        <v>122</v>
      </c>
      <c r="B7" s="10" t="n">
        <v>49.5</v>
      </c>
      <c r="C7" s="10" t="n">
        <v>47.25</v>
      </c>
      <c r="D7" s="10" t="n">
        <v>51.75</v>
      </c>
      <c r="E7" s="10" t="n">
        <v>52.5</v>
      </c>
      <c r="F7" s="10" t="n">
        <v>39.1</v>
      </c>
      <c r="G7" s="10" t="n">
        <f aca="false">B7-F7</f>
        <v>10.4</v>
      </c>
      <c r="H7" s="11" t="n">
        <v>2.5</v>
      </c>
    </row>
    <row r="8" customFormat="false" ht="15" hidden="false" customHeight="false" outlineLevel="0" collapsed="false">
      <c r="A8" s="0" t="s">
        <v>123</v>
      </c>
      <c r="B8" s="10" t="n">
        <v>36.7</v>
      </c>
      <c r="C8" s="10" t="n">
        <v>36.25</v>
      </c>
      <c r="D8" s="10" t="n">
        <v>40.5</v>
      </c>
      <c r="E8" s="10" t="n">
        <v>42</v>
      </c>
      <c r="F8" s="10" t="n">
        <v>34.5</v>
      </c>
      <c r="G8" s="10" t="n">
        <f aca="false">B8-F8</f>
        <v>2.2</v>
      </c>
      <c r="H8" s="11" t="n">
        <v>3.5</v>
      </c>
    </row>
    <row r="9" customFormat="false" ht="15" hidden="false" customHeight="false" outlineLevel="0" collapsed="false">
      <c r="A9" s="0" t="s">
        <v>124</v>
      </c>
      <c r="B9" s="10" t="n">
        <v>41.2</v>
      </c>
      <c r="C9" s="10" t="n">
        <v>38.5</v>
      </c>
      <c r="D9" s="10" t="n">
        <v>41.25</v>
      </c>
      <c r="E9" s="10" t="n">
        <v>40.25</v>
      </c>
      <c r="F9" s="10" t="n">
        <v>30.5</v>
      </c>
      <c r="G9" s="10" t="n">
        <f aca="false">B9-F9</f>
        <v>10.7</v>
      </c>
      <c r="H9" s="11" t="n">
        <v>3</v>
      </c>
    </row>
    <row r="10" customFormat="false" ht="15" hidden="false" customHeight="false" outlineLevel="0" collapsed="false">
      <c r="A10" s="0" t="s">
        <v>125</v>
      </c>
      <c r="B10" s="10" t="n">
        <v>40.2</v>
      </c>
      <c r="C10" s="10" t="n">
        <v>37.5</v>
      </c>
      <c r="D10" s="10" t="n">
        <v>40.25</v>
      </c>
      <c r="E10" s="10" t="n">
        <v>38.75</v>
      </c>
      <c r="F10" s="10" t="n">
        <v>42.5</v>
      </c>
      <c r="G10" s="10" t="n">
        <f aca="false">B10-F10</f>
        <v>-2.3</v>
      </c>
      <c r="H10" s="11" t="n">
        <v>4</v>
      </c>
    </row>
    <row r="11" customFormat="false" ht="15" hidden="false" customHeight="false" outlineLevel="0" collapsed="false">
      <c r="A11" s="0" t="s">
        <v>126</v>
      </c>
      <c r="B11" s="10" t="n">
        <v>36.2</v>
      </c>
      <c r="C11" s="10" t="n">
        <v>35</v>
      </c>
      <c r="D11" s="10" t="n">
        <v>39.5</v>
      </c>
      <c r="E11" s="10" t="n">
        <v>37</v>
      </c>
      <c r="F11" s="10" t="n">
        <v>33.1</v>
      </c>
      <c r="G11" s="10" t="n">
        <f aca="false">B11-F11</f>
        <v>3.1</v>
      </c>
      <c r="H11" s="11" t="n">
        <v>4.5</v>
      </c>
    </row>
    <row r="12" customFormat="false" ht="15" hidden="false" customHeight="false" outlineLevel="0" collapsed="false">
      <c r="A12" s="0" t="s">
        <v>127</v>
      </c>
      <c r="B12" s="10" t="n">
        <v>44.7</v>
      </c>
      <c r="C12" s="10" t="n">
        <v>41</v>
      </c>
      <c r="D12" s="10" t="n">
        <v>47</v>
      </c>
      <c r="E12" s="10" t="n">
        <v>49</v>
      </c>
      <c r="F12" s="10" t="n">
        <v>31.7</v>
      </c>
      <c r="G12" s="10" t="n">
        <f aca="false">B12-F12</f>
        <v>13</v>
      </c>
      <c r="H12" s="11" t="n">
        <v>4</v>
      </c>
    </row>
    <row r="13" customFormat="false" ht="15" hidden="false" customHeight="false" outlineLevel="0" collapsed="false">
      <c r="A13" s="0" t="s">
        <v>128</v>
      </c>
      <c r="B13" s="10" t="n">
        <v>46.45</v>
      </c>
      <c r="C13" s="10" t="n">
        <v>42.75</v>
      </c>
      <c r="D13" s="10" t="n">
        <v>49</v>
      </c>
      <c r="E13" s="10" t="n">
        <v>51</v>
      </c>
      <c r="F13" s="10" t="n">
        <v>48.1</v>
      </c>
      <c r="G13" s="10" t="n">
        <f aca="false">B13-F13</f>
        <v>-1.65</v>
      </c>
      <c r="H13" s="11" t="n">
        <v>8.5</v>
      </c>
    </row>
    <row r="14" customFormat="false" ht="15" hidden="false" customHeight="false" outlineLevel="0" collapsed="false">
      <c r="A14" s="0" t="s">
        <v>129</v>
      </c>
      <c r="B14" s="10" t="n">
        <v>43.7</v>
      </c>
      <c r="C14" s="10" t="n">
        <v>40</v>
      </c>
      <c r="D14" s="10" t="n">
        <v>45</v>
      </c>
      <c r="E14" s="10" t="n">
        <v>46.75</v>
      </c>
      <c r="F14" s="10" t="n">
        <v>49</v>
      </c>
      <c r="G14" s="10" t="n">
        <f aca="false">B14-F14</f>
        <v>-5.3</v>
      </c>
      <c r="H14" s="11" t="n">
        <v>7</v>
      </c>
    </row>
    <row r="15" customFormat="false" ht="15" hidden="false" customHeight="false" outlineLevel="0" collapsed="false">
      <c r="A15" s="0" t="s">
        <v>130</v>
      </c>
      <c r="B15" s="10" t="n">
        <v>37.75</v>
      </c>
      <c r="C15" s="10" t="n">
        <v>34.25</v>
      </c>
      <c r="D15" s="10" t="n">
        <v>39.5</v>
      </c>
      <c r="E15" s="10" t="n">
        <v>41.5</v>
      </c>
      <c r="F15" s="10" t="n">
        <v>47.1</v>
      </c>
      <c r="G15" s="10" t="n">
        <f aca="false">B15-F15</f>
        <v>-9.35</v>
      </c>
      <c r="H15" s="11" t="n">
        <v>8</v>
      </c>
    </row>
    <row r="16" customFormat="false" ht="15" hidden="false" customHeight="false" outlineLevel="0" collapsed="false">
      <c r="A16" s="0" t="s">
        <v>131</v>
      </c>
      <c r="B16" s="10" t="n">
        <v>44.75</v>
      </c>
      <c r="C16" s="10" t="n">
        <v>39.75</v>
      </c>
      <c r="D16" s="10" t="n">
        <v>45.5</v>
      </c>
      <c r="E16" s="10" t="n">
        <v>48.25</v>
      </c>
      <c r="F16" s="10" t="n">
        <v>67.6</v>
      </c>
      <c r="G16" s="10" t="n">
        <f aca="false">B16-F16</f>
        <v>-22.85</v>
      </c>
      <c r="H16" s="11" t="n">
        <v>7.5</v>
      </c>
    </row>
    <row r="17" customFormat="false" ht="15" hidden="false" customHeight="false" outlineLevel="0" collapsed="false">
      <c r="A17" s="0" t="s">
        <v>132</v>
      </c>
      <c r="B17" s="10" t="n">
        <v>53.2</v>
      </c>
      <c r="C17" s="10" t="n">
        <v>47.5</v>
      </c>
      <c r="D17" s="10" t="n">
        <v>54.5</v>
      </c>
      <c r="E17" s="10" t="n">
        <v>57</v>
      </c>
      <c r="F17" s="10" t="n">
        <v>32.7</v>
      </c>
      <c r="G17" s="10" t="n">
        <f aca="false">B17-F17</f>
        <v>20.5</v>
      </c>
      <c r="H17" s="11" t="n">
        <v>1.5</v>
      </c>
    </row>
    <row r="20" customFormat="false" ht="15" hidden="false" customHeight="false" outlineLevel="0" collapsed="false">
      <c r="A20" s="8" t="s">
        <v>133</v>
      </c>
    </row>
    <row r="21" customFormat="false" ht="15" hidden="false" customHeight="false" outlineLevel="0" collapsed="false">
      <c r="B21" s="8" t="s">
        <v>118</v>
      </c>
      <c r="C21" s="8" t="s">
        <v>119</v>
      </c>
      <c r="D21" s="8" t="s">
        <v>120</v>
      </c>
      <c r="E21" s="8" t="s">
        <v>121</v>
      </c>
      <c r="F21" s="8" t="s">
        <v>122</v>
      </c>
      <c r="G21" s="8" t="s">
        <v>123</v>
      </c>
      <c r="H21" s="8" t="s">
        <v>124</v>
      </c>
      <c r="I21" s="8" t="s">
        <v>125</v>
      </c>
      <c r="J21" s="8" t="s">
        <v>126</v>
      </c>
      <c r="K21" s="8" t="s">
        <v>127</v>
      </c>
      <c r="L21" s="8" t="s">
        <v>128</v>
      </c>
      <c r="M21" s="8" t="s">
        <v>129</v>
      </c>
      <c r="N21" s="8" t="s">
        <v>130</v>
      </c>
      <c r="O21" s="8" t="s">
        <v>131</v>
      </c>
      <c r="P21" s="8" t="s">
        <v>132</v>
      </c>
    </row>
    <row r="22" customFormat="false" ht="15" hidden="false" customHeight="false" outlineLevel="0" collapsed="false">
      <c r="A22" s="12" t="n">
        <v>46204</v>
      </c>
      <c r="B22" s="10" t="n">
        <v>36</v>
      </c>
      <c r="C22" s="10" t="n">
        <v>43</v>
      </c>
      <c r="D22" s="10" t="n">
        <v>49</v>
      </c>
      <c r="E22" s="10" t="n">
        <v>54.75</v>
      </c>
      <c r="F22" s="10" t="n">
        <v>52.5</v>
      </c>
      <c r="G22" s="10" t="n">
        <v>42</v>
      </c>
      <c r="H22" s="10" t="n">
        <v>40.25</v>
      </c>
      <c r="I22" s="10" t="n">
        <v>38.75</v>
      </c>
      <c r="J22" s="10" t="n">
        <v>37</v>
      </c>
      <c r="K22" s="10" t="n">
        <v>49</v>
      </c>
      <c r="L22" s="10" t="n">
        <v>51</v>
      </c>
      <c r="M22" s="10" t="n">
        <v>46.75</v>
      </c>
      <c r="N22" s="10" t="n">
        <v>41.5</v>
      </c>
      <c r="O22" s="10" t="n">
        <v>48.25</v>
      </c>
      <c r="P22" s="10" t="n">
        <v>57</v>
      </c>
    </row>
    <row r="23" customFormat="false" ht="15" hidden="false" customHeight="false" outlineLevel="0" collapsed="false">
      <c r="A23" s="12" t="n">
        <v>46205</v>
      </c>
      <c r="B23" s="10" t="n">
        <v>36</v>
      </c>
      <c r="C23" s="10" t="n">
        <v>43</v>
      </c>
      <c r="D23" s="10" t="n">
        <v>49.75</v>
      </c>
      <c r="E23" s="10" t="n">
        <v>54.75</v>
      </c>
      <c r="F23" s="10" t="n">
        <v>52.5</v>
      </c>
      <c r="G23" s="10" t="n">
        <v>42</v>
      </c>
      <c r="H23" s="10" t="n">
        <v>40.25</v>
      </c>
      <c r="I23" s="10" t="n">
        <v>38.75</v>
      </c>
      <c r="J23" s="10" t="n">
        <v>37</v>
      </c>
      <c r="K23" s="10" t="n">
        <v>49</v>
      </c>
      <c r="L23" s="10" t="n">
        <v>51</v>
      </c>
      <c r="M23" s="10" t="n">
        <v>46.75</v>
      </c>
      <c r="N23" s="10" t="n">
        <v>41.5</v>
      </c>
      <c r="O23" s="10" t="n">
        <v>48.25</v>
      </c>
      <c r="P23" s="10" t="n">
        <v>57</v>
      </c>
    </row>
    <row r="24" customFormat="false" ht="15" hidden="false" customHeight="false" outlineLevel="0" collapsed="false">
      <c r="A24" s="12" t="n">
        <v>46206</v>
      </c>
      <c r="B24" s="10" t="n">
        <v>36</v>
      </c>
      <c r="C24" s="10" t="n">
        <v>43</v>
      </c>
      <c r="D24" s="10" t="n">
        <v>49.75</v>
      </c>
      <c r="E24" s="10" t="n">
        <v>54.75</v>
      </c>
      <c r="F24" s="10" t="n">
        <v>52.5</v>
      </c>
      <c r="G24" s="10" t="n">
        <v>42</v>
      </c>
      <c r="H24" s="10" t="n">
        <v>40.25</v>
      </c>
      <c r="I24" s="10" t="n">
        <v>38.75</v>
      </c>
      <c r="J24" s="10" t="n">
        <v>37</v>
      </c>
      <c r="K24" s="10" t="n">
        <v>49</v>
      </c>
      <c r="L24" s="10" t="n">
        <v>51</v>
      </c>
      <c r="M24" s="10" t="n">
        <v>46.75</v>
      </c>
      <c r="N24" s="10" t="n">
        <v>41.5</v>
      </c>
      <c r="O24" s="10" t="n">
        <v>48.25</v>
      </c>
      <c r="P24" s="10" t="n">
        <v>57</v>
      </c>
    </row>
    <row r="25" customFormat="false" ht="15" hidden="false" customHeight="false" outlineLevel="0" collapsed="false">
      <c r="A25" s="12" t="n">
        <v>46209</v>
      </c>
      <c r="B25" s="10" t="n">
        <v>36</v>
      </c>
      <c r="C25" s="10" t="n">
        <v>43</v>
      </c>
      <c r="D25" s="10" t="n">
        <v>49.75</v>
      </c>
      <c r="E25" s="10" t="n">
        <v>54.75</v>
      </c>
      <c r="F25" s="10" t="n">
        <v>52.5</v>
      </c>
      <c r="G25" s="10" t="n">
        <v>42</v>
      </c>
      <c r="H25" s="10" t="n">
        <v>40.25</v>
      </c>
      <c r="I25" s="10" t="n">
        <v>38.75</v>
      </c>
      <c r="J25" s="10" t="n">
        <v>37</v>
      </c>
      <c r="K25" s="10" t="n">
        <v>49</v>
      </c>
      <c r="L25" s="10" t="n">
        <v>51</v>
      </c>
      <c r="M25" s="10" t="n">
        <v>46.75</v>
      </c>
      <c r="N25" s="10" t="n">
        <v>41.5</v>
      </c>
      <c r="O25" s="10" t="n">
        <v>48.25</v>
      </c>
      <c r="P25" s="10" t="n">
        <v>57</v>
      </c>
    </row>
    <row r="26" customFormat="false" ht="15" hidden="false" customHeight="false" outlineLevel="0" collapsed="false">
      <c r="A26" s="12" t="n">
        <v>46210</v>
      </c>
      <c r="B26" s="10" t="n">
        <v>36</v>
      </c>
      <c r="C26" s="10" t="n">
        <v>43</v>
      </c>
      <c r="D26" s="10" t="n">
        <v>50</v>
      </c>
      <c r="E26" s="10" t="n">
        <v>55.25</v>
      </c>
      <c r="F26" s="10" t="n">
        <v>53</v>
      </c>
      <c r="G26" s="10" t="n">
        <v>42.25</v>
      </c>
      <c r="H26" s="10" t="n">
        <v>40.5</v>
      </c>
      <c r="I26" s="10" t="n">
        <v>39</v>
      </c>
      <c r="J26" s="10" t="n">
        <v>37.25</v>
      </c>
      <c r="K26" s="10" t="n">
        <v>49</v>
      </c>
      <c r="L26" s="10" t="n">
        <v>51</v>
      </c>
      <c r="M26" s="10" t="n">
        <v>46.75</v>
      </c>
      <c r="N26" s="10" t="n">
        <v>42</v>
      </c>
      <c r="O26" s="10" t="n">
        <v>48.75</v>
      </c>
      <c r="P26" s="10" t="n">
        <v>57.5</v>
      </c>
    </row>
    <row r="27" customFormat="false" ht="15" hidden="false" customHeight="false" outlineLevel="0" collapsed="false">
      <c r="A27" s="12" t="n">
        <v>46211</v>
      </c>
      <c r="B27" s="10" t="n">
        <v>36</v>
      </c>
      <c r="C27" s="10" t="n">
        <v>43</v>
      </c>
      <c r="D27" s="10" t="n">
        <v>50</v>
      </c>
      <c r="E27" s="10" t="n">
        <v>55.25</v>
      </c>
      <c r="F27" s="10" t="n">
        <v>53</v>
      </c>
      <c r="G27" s="10" t="n">
        <v>42.25</v>
      </c>
      <c r="H27" s="10" t="n">
        <v>40.5</v>
      </c>
      <c r="I27" s="10" t="n">
        <v>39</v>
      </c>
      <c r="J27" s="10" t="n">
        <v>38</v>
      </c>
      <c r="K27" s="10" t="n">
        <v>49</v>
      </c>
      <c r="L27" s="10" t="n">
        <v>51</v>
      </c>
      <c r="M27" s="10" t="n">
        <v>46.75</v>
      </c>
      <c r="N27" s="10" t="n">
        <v>42</v>
      </c>
      <c r="O27" s="10" t="n">
        <v>48.75</v>
      </c>
      <c r="P27" s="10" t="n">
        <v>57.5</v>
      </c>
    </row>
    <row r="28" customFormat="false" ht="15" hidden="false" customHeight="false" outlineLevel="0" collapsed="false">
      <c r="A28" s="12" t="n">
        <v>46212</v>
      </c>
      <c r="B28" s="10" t="n">
        <v>36</v>
      </c>
      <c r="C28" s="10" t="n">
        <v>42.95</v>
      </c>
      <c r="D28" s="10" t="n">
        <v>50</v>
      </c>
      <c r="E28" s="10" t="n">
        <v>55.25</v>
      </c>
      <c r="F28" s="10" t="n">
        <v>53</v>
      </c>
      <c r="G28" s="10" t="n">
        <v>42.25</v>
      </c>
      <c r="H28" s="10" t="n">
        <v>40.5</v>
      </c>
      <c r="I28" s="10" t="n">
        <v>39</v>
      </c>
      <c r="J28" s="10" t="n">
        <v>38</v>
      </c>
      <c r="K28" s="10" t="n">
        <v>48.55</v>
      </c>
      <c r="L28" s="10" t="n">
        <v>50.55</v>
      </c>
      <c r="M28" s="10" t="n">
        <v>46.3</v>
      </c>
      <c r="N28" s="10" t="n">
        <v>42</v>
      </c>
      <c r="O28" s="10" t="n">
        <v>48.75</v>
      </c>
      <c r="P28" s="10" t="n">
        <v>57.5</v>
      </c>
    </row>
    <row r="29" customFormat="false" ht="15" hidden="false" customHeight="false" outlineLevel="0" collapsed="false">
      <c r="A29" s="12" t="n">
        <v>46213</v>
      </c>
      <c r="B29" s="10" t="n">
        <v>36</v>
      </c>
      <c r="C29" s="10" t="n">
        <v>42.95</v>
      </c>
      <c r="D29" s="10" t="n">
        <v>50</v>
      </c>
      <c r="E29" s="10" t="n">
        <v>55.25</v>
      </c>
      <c r="F29" s="10" t="n">
        <v>53</v>
      </c>
      <c r="G29" s="10" t="n">
        <v>42.25</v>
      </c>
      <c r="H29" s="10" t="n">
        <v>40.5</v>
      </c>
      <c r="I29" s="10" t="n">
        <v>39</v>
      </c>
      <c r="J29" s="10" t="n">
        <v>38</v>
      </c>
      <c r="K29" s="10" t="n">
        <v>48.55</v>
      </c>
      <c r="L29" s="10" t="n">
        <v>50.55</v>
      </c>
      <c r="M29" s="10" t="n">
        <v>46.3</v>
      </c>
      <c r="N29" s="10" t="n">
        <v>42</v>
      </c>
      <c r="O29" s="10" t="n">
        <v>48.75</v>
      </c>
      <c r="P29" s="10" t="n">
        <v>57.5</v>
      </c>
    </row>
    <row r="30" customFormat="false" ht="15" hidden="false" customHeight="false" outlineLevel="0" collapsed="false">
      <c r="A30" s="12" t="n">
        <v>46216</v>
      </c>
      <c r="B30" s="10" t="n">
        <v>35.5</v>
      </c>
      <c r="C30" s="10" t="n">
        <v>42</v>
      </c>
      <c r="D30" s="10" t="n">
        <v>49.25</v>
      </c>
      <c r="E30" s="10" t="n">
        <v>55.25</v>
      </c>
      <c r="F30" s="10" t="n">
        <v>53</v>
      </c>
      <c r="G30" s="10" t="n">
        <v>42.25</v>
      </c>
      <c r="H30" s="10" t="n">
        <v>40.5</v>
      </c>
      <c r="I30" s="10" t="n">
        <v>39</v>
      </c>
      <c r="J30" s="10" t="n">
        <v>38</v>
      </c>
      <c r="K30" s="10" t="n">
        <v>48.3</v>
      </c>
      <c r="L30" s="10" t="n">
        <v>50.3</v>
      </c>
      <c r="M30" s="10" t="n">
        <v>46.05</v>
      </c>
      <c r="N30" s="10" t="n">
        <v>42</v>
      </c>
      <c r="O30" s="10" t="n">
        <v>48.75</v>
      </c>
      <c r="P30" s="10" t="n">
        <v>57.5</v>
      </c>
    </row>
    <row r="31" customFormat="false" ht="15" hidden="false" customHeight="false" outlineLevel="0" collapsed="false">
      <c r="A31" s="12" t="n">
        <v>46217</v>
      </c>
      <c r="B31" s="10" t="n">
        <v>35.5</v>
      </c>
      <c r="C31" s="10" t="n">
        <v>42</v>
      </c>
      <c r="D31" s="10" t="n">
        <v>49.25</v>
      </c>
      <c r="E31" s="10" t="n">
        <v>55.5</v>
      </c>
      <c r="F31" s="10" t="n">
        <v>53</v>
      </c>
      <c r="G31" s="10" t="n">
        <v>41.75</v>
      </c>
      <c r="H31" s="10" t="n">
        <v>41</v>
      </c>
      <c r="I31" s="10" t="n">
        <v>39.5</v>
      </c>
      <c r="J31" s="10" t="n">
        <v>38</v>
      </c>
      <c r="K31" s="10" t="n">
        <v>48</v>
      </c>
      <c r="L31" s="10" t="n">
        <v>50</v>
      </c>
      <c r="M31" s="10" t="n">
        <v>45.75</v>
      </c>
      <c r="N31" s="10" t="n">
        <v>41.6</v>
      </c>
      <c r="O31" s="10" t="n">
        <v>48.35</v>
      </c>
      <c r="P31" s="10" t="n">
        <v>57</v>
      </c>
    </row>
    <row r="32" customFormat="false" ht="15" hidden="false" customHeight="false" outlineLevel="0" collapsed="false">
      <c r="A32" s="12" t="n">
        <v>46218</v>
      </c>
      <c r="B32" s="10" t="n">
        <v>35.5</v>
      </c>
      <c r="C32" s="10" t="n">
        <v>42</v>
      </c>
      <c r="D32" s="10" t="n">
        <v>49.5</v>
      </c>
      <c r="E32" s="10" t="n">
        <v>55.25</v>
      </c>
      <c r="F32" s="10" t="n">
        <v>53</v>
      </c>
      <c r="G32" s="10" t="n">
        <v>41.75</v>
      </c>
      <c r="H32" s="10" t="n">
        <v>41</v>
      </c>
      <c r="I32" s="10" t="n">
        <v>39.5</v>
      </c>
      <c r="J32" s="10" t="n">
        <v>38</v>
      </c>
      <c r="K32" s="10" t="n">
        <v>48</v>
      </c>
      <c r="L32" s="10" t="n">
        <v>50</v>
      </c>
      <c r="M32" s="10" t="n">
        <v>45.75</v>
      </c>
      <c r="N32" s="10" t="n">
        <v>41.6</v>
      </c>
      <c r="O32" s="10" t="n">
        <v>48.35</v>
      </c>
      <c r="P32" s="10" t="n">
        <v>57</v>
      </c>
    </row>
    <row r="33" customFormat="false" ht="15" hidden="false" customHeight="false" outlineLevel="0" collapsed="false">
      <c r="A33" s="12" t="n">
        <v>46219</v>
      </c>
      <c r="B33" s="10" t="n">
        <v>35.5</v>
      </c>
      <c r="C33" s="10" t="n">
        <v>42</v>
      </c>
      <c r="D33" s="10" t="n">
        <v>50</v>
      </c>
      <c r="E33" s="10" t="n">
        <v>56.5</v>
      </c>
      <c r="F33" s="10" t="n">
        <v>53</v>
      </c>
      <c r="G33" s="10" t="n">
        <v>42.25</v>
      </c>
      <c r="H33" s="10" t="n">
        <v>41.5</v>
      </c>
      <c r="I33" s="10" t="n">
        <v>39.75</v>
      </c>
      <c r="J33" s="10" t="n">
        <v>38</v>
      </c>
      <c r="K33" s="10" t="n">
        <v>48</v>
      </c>
      <c r="L33" s="10" t="n">
        <v>50</v>
      </c>
      <c r="M33" s="10" t="n">
        <v>45.75</v>
      </c>
      <c r="N33" s="10" t="n">
        <v>41.6</v>
      </c>
      <c r="O33" s="10" t="n">
        <v>48.35</v>
      </c>
      <c r="P33" s="10" t="n">
        <v>57</v>
      </c>
    </row>
    <row r="34" customFormat="false" ht="15" hidden="false" customHeight="false" outlineLevel="0" collapsed="false">
      <c r="A34" s="12" t="n">
        <v>46220</v>
      </c>
      <c r="B34" s="10" t="n">
        <v>36.5</v>
      </c>
      <c r="C34" s="10" t="n">
        <v>42.25</v>
      </c>
      <c r="D34" s="10" t="n">
        <v>50</v>
      </c>
      <c r="E34" s="10" t="n">
        <v>55.5</v>
      </c>
      <c r="F34" s="10" t="n">
        <v>53.25</v>
      </c>
      <c r="G34" s="10" t="n">
        <v>42.25</v>
      </c>
      <c r="H34" s="10" t="n">
        <v>42</v>
      </c>
      <c r="I34" s="10" t="n">
        <v>40</v>
      </c>
      <c r="J34" s="10" t="n">
        <v>38</v>
      </c>
      <c r="K34" s="10" t="n">
        <v>48</v>
      </c>
      <c r="L34" s="10" t="n">
        <v>50</v>
      </c>
      <c r="M34" s="10" t="n">
        <v>45.75</v>
      </c>
      <c r="N34" s="10" t="n">
        <v>41.6</v>
      </c>
      <c r="O34" s="10" t="n">
        <v>48.35</v>
      </c>
      <c r="P34" s="10" t="n">
        <v>57</v>
      </c>
    </row>
    <row r="35" customFormat="false" ht="15" hidden="false" customHeight="false" outlineLevel="0" collapsed="false">
      <c r="A35" s="12" t="n">
        <v>46223</v>
      </c>
      <c r="B35" s="10" t="n">
        <v>36.5</v>
      </c>
      <c r="C35" s="10" t="n">
        <v>42.5</v>
      </c>
      <c r="D35" s="10" t="n">
        <v>50</v>
      </c>
      <c r="E35" s="10" t="n">
        <v>55.5</v>
      </c>
      <c r="F35" s="10" t="n">
        <v>53.25</v>
      </c>
      <c r="G35" s="10" t="n">
        <v>42</v>
      </c>
      <c r="H35" s="10" t="n">
        <v>45</v>
      </c>
      <c r="I35" s="10" t="n">
        <v>42.75</v>
      </c>
      <c r="J35" s="10" t="n">
        <v>40.5</v>
      </c>
      <c r="K35" s="10" t="n">
        <v>48.25</v>
      </c>
      <c r="L35" s="10" t="n">
        <v>50.25</v>
      </c>
      <c r="M35" s="10" t="n">
        <v>46</v>
      </c>
      <c r="N35" s="10" t="n">
        <v>41.6</v>
      </c>
      <c r="O35" s="10" t="n">
        <v>48.35</v>
      </c>
      <c r="P35" s="10" t="n">
        <v>57</v>
      </c>
    </row>
    <row r="36" customFormat="false" ht="15" hidden="false" customHeight="false" outlineLevel="0" collapsed="false">
      <c r="A36" s="12" t="n">
        <v>46224</v>
      </c>
      <c r="B36" s="10" t="n">
        <v>36.5</v>
      </c>
      <c r="C36" s="10" t="n">
        <v>42.5</v>
      </c>
      <c r="D36" s="10" t="n">
        <v>50</v>
      </c>
      <c r="E36" s="10" t="n">
        <v>56</v>
      </c>
      <c r="F36" s="10" t="n">
        <v>53.75</v>
      </c>
      <c r="G36" s="10" t="n">
        <v>41.75</v>
      </c>
      <c r="H36" s="10" t="n">
        <v>44.5</v>
      </c>
      <c r="I36" s="10" t="n">
        <v>42.25</v>
      </c>
      <c r="J36" s="10" t="n">
        <v>40</v>
      </c>
      <c r="K36" s="10" t="n">
        <v>47.75</v>
      </c>
      <c r="L36" s="10" t="n">
        <v>49.75</v>
      </c>
      <c r="M36" s="10" t="n">
        <v>45.5</v>
      </c>
      <c r="N36" s="10" t="n">
        <v>41</v>
      </c>
      <c r="O36" s="10" t="n">
        <v>47.75</v>
      </c>
      <c r="P36" s="10" t="n">
        <v>56.5</v>
      </c>
    </row>
    <row r="37" customFormat="false" ht="15" hidden="false" customHeight="false" outlineLevel="0" collapsed="false">
      <c r="A37" s="12" t="n">
        <v>46225</v>
      </c>
      <c r="B37" s="10" t="n">
        <v>36.5</v>
      </c>
      <c r="C37" s="10" t="n">
        <v>42.5</v>
      </c>
      <c r="D37" s="10" t="n">
        <v>50</v>
      </c>
      <c r="E37" s="10" t="n">
        <v>56</v>
      </c>
      <c r="F37" s="10" t="n">
        <v>53.75</v>
      </c>
      <c r="G37" s="10" t="n">
        <v>41.75</v>
      </c>
      <c r="H37" s="10" t="n">
        <v>44</v>
      </c>
      <c r="I37" s="10" t="n">
        <v>41.75</v>
      </c>
      <c r="J37" s="10" t="n">
        <v>39.5</v>
      </c>
      <c r="K37" s="10" t="n">
        <v>47.75</v>
      </c>
      <c r="L37" s="10" t="n">
        <v>49.75</v>
      </c>
      <c r="M37" s="10" t="n">
        <v>45.5</v>
      </c>
      <c r="N37" s="10" t="n">
        <v>41</v>
      </c>
      <c r="O37" s="10" t="n">
        <v>47.75</v>
      </c>
      <c r="P37" s="10" t="n">
        <v>56.5</v>
      </c>
    </row>
    <row r="38" customFormat="false" ht="15" hidden="false" customHeight="false" outlineLevel="0" collapsed="false">
      <c r="A38" s="12" t="n">
        <v>46226</v>
      </c>
      <c r="B38" s="10" t="n">
        <v>36.25</v>
      </c>
      <c r="C38" s="10" t="n">
        <v>42.5</v>
      </c>
      <c r="D38" s="10" t="n">
        <v>50</v>
      </c>
      <c r="E38" s="10" t="n">
        <v>55.75</v>
      </c>
      <c r="F38" s="10" t="n">
        <v>53.5</v>
      </c>
      <c r="G38" s="10" t="n">
        <v>41.5</v>
      </c>
      <c r="H38" s="10" t="n">
        <v>43.75</v>
      </c>
      <c r="I38" s="10" t="n">
        <v>41.5</v>
      </c>
      <c r="J38" s="10" t="n">
        <v>39.25</v>
      </c>
      <c r="K38" s="10" t="n">
        <v>47.25</v>
      </c>
      <c r="L38" s="10" t="n">
        <v>49.25</v>
      </c>
      <c r="M38" s="10" t="n">
        <v>45.25</v>
      </c>
      <c r="N38" s="10" t="n">
        <v>40.75</v>
      </c>
      <c r="O38" s="10" t="n">
        <v>47.25</v>
      </c>
      <c r="P38" s="10" t="n">
        <v>56</v>
      </c>
    </row>
    <row r="39" customFormat="false" ht="15" hidden="false" customHeight="false" outlineLevel="0" collapsed="false">
      <c r="A39" s="12" t="n">
        <v>46227</v>
      </c>
      <c r="B39" s="10" t="n">
        <v>36.25</v>
      </c>
      <c r="C39" s="10" t="n">
        <v>42.2</v>
      </c>
      <c r="D39" s="10" t="n">
        <v>50</v>
      </c>
      <c r="E39" s="10" t="n">
        <v>55.75</v>
      </c>
      <c r="F39" s="10" t="n">
        <v>53.5</v>
      </c>
      <c r="G39" s="10" t="n">
        <v>41.5</v>
      </c>
      <c r="H39" s="10" t="n">
        <v>43.75</v>
      </c>
      <c r="I39" s="10" t="n">
        <v>41.5</v>
      </c>
      <c r="J39" s="10" t="n">
        <v>39.25</v>
      </c>
      <c r="K39" s="10" t="n">
        <v>47.25</v>
      </c>
      <c r="L39" s="10" t="n">
        <v>49.25</v>
      </c>
      <c r="M39" s="10" t="n">
        <v>45.25</v>
      </c>
      <c r="N39" s="10" t="n">
        <v>40.75</v>
      </c>
      <c r="O39" s="10" t="n">
        <v>47.25</v>
      </c>
      <c r="P39" s="10" t="n">
        <v>56</v>
      </c>
    </row>
    <row r="40" customFormat="false" ht="15" hidden="false" customHeight="false" outlineLevel="0" collapsed="false">
      <c r="A40" s="12" t="n">
        <v>46230</v>
      </c>
      <c r="B40" s="10" t="n">
        <v>35.75</v>
      </c>
      <c r="C40" s="10" t="n">
        <v>41.75</v>
      </c>
      <c r="D40" s="10" t="n">
        <v>49.75</v>
      </c>
      <c r="E40" s="10" t="n">
        <v>55.75</v>
      </c>
      <c r="F40" s="10" t="n">
        <v>53.5</v>
      </c>
      <c r="G40" s="10" t="n">
        <v>41.5</v>
      </c>
      <c r="H40" s="10" t="n">
        <v>43.75</v>
      </c>
      <c r="I40" s="10" t="n">
        <v>41.5</v>
      </c>
      <c r="J40" s="10" t="n">
        <v>39.25</v>
      </c>
      <c r="K40" s="10" t="n">
        <v>47.25</v>
      </c>
      <c r="L40" s="10" t="n">
        <v>49.25</v>
      </c>
      <c r="M40" s="10" t="n">
        <v>45.25</v>
      </c>
      <c r="N40" s="10" t="n">
        <v>40.75</v>
      </c>
      <c r="O40" s="10" t="n">
        <v>47.25</v>
      </c>
      <c r="P40" s="10" t="n">
        <v>56</v>
      </c>
    </row>
    <row r="41" customFormat="false" ht="15" hidden="false" customHeight="false" outlineLevel="0" collapsed="false">
      <c r="A41" s="12" t="n">
        <v>46231</v>
      </c>
      <c r="B41" s="10" t="n">
        <v>35.5</v>
      </c>
      <c r="C41" s="10" t="n">
        <v>41</v>
      </c>
      <c r="D41" s="10" t="n">
        <v>49</v>
      </c>
      <c r="E41" s="10" t="n">
        <v>55.25</v>
      </c>
      <c r="F41" s="10" t="n">
        <v>53</v>
      </c>
      <c r="G41" s="10" t="n">
        <v>41</v>
      </c>
      <c r="H41" s="10" t="n">
        <v>43.75</v>
      </c>
      <c r="I41" s="10" t="n">
        <v>41.5</v>
      </c>
      <c r="J41" s="10" t="n">
        <v>39.25</v>
      </c>
      <c r="K41" s="10" t="n">
        <v>47</v>
      </c>
      <c r="L41" s="10" t="n">
        <v>49</v>
      </c>
      <c r="M41" s="10" t="n">
        <v>45</v>
      </c>
      <c r="N41" s="10" t="n">
        <v>40.75</v>
      </c>
      <c r="O41" s="10" t="n">
        <v>47.25</v>
      </c>
      <c r="P41" s="10" t="n">
        <v>56</v>
      </c>
    </row>
    <row r="42" customFormat="false" ht="15" hidden="false" customHeight="false" outlineLevel="0" collapsed="false">
      <c r="A42" s="12" t="n">
        <v>46232</v>
      </c>
      <c r="B42" s="10" t="n">
        <v>35.5</v>
      </c>
      <c r="C42" s="10" t="n">
        <v>41</v>
      </c>
      <c r="D42" s="10" t="n">
        <v>49</v>
      </c>
      <c r="E42" s="10" t="n">
        <v>53.75</v>
      </c>
      <c r="F42" s="10" t="n">
        <v>51.75</v>
      </c>
      <c r="G42" s="10" t="n">
        <v>40.5</v>
      </c>
      <c r="H42" s="10" t="n">
        <v>40.75</v>
      </c>
      <c r="I42" s="10" t="n">
        <v>39.75</v>
      </c>
      <c r="J42" s="10" t="n">
        <v>39.25</v>
      </c>
      <c r="K42" s="10" t="n">
        <v>47</v>
      </c>
      <c r="L42" s="10" t="n">
        <v>49</v>
      </c>
      <c r="M42" s="10" t="n">
        <v>45</v>
      </c>
      <c r="N42" s="10" t="n">
        <v>39.5</v>
      </c>
      <c r="O42" s="10" t="n">
        <v>45.5</v>
      </c>
      <c r="P42" s="10" t="n">
        <v>54.5</v>
      </c>
    </row>
    <row r="43" customFormat="false" ht="15" hidden="false" customHeight="false" outlineLevel="0" collapsed="false">
      <c r="A43" s="12" t="n">
        <v>46233</v>
      </c>
      <c r="B43" s="10" t="n">
        <v>35.5</v>
      </c>
      <c r="C43" s="10" t="n">
        <v>41</v>
      </c>
      <c r="D43" s="10" t="n">
        <v>49</v>
      </c>
      <c r="E43" s="10" t="n">
        <v>53.75</v>
      </c>
      <c r="F43" s="10" t="n">
        <v>51.75</v>
      </c>
      <c r="G43" s="10" t="n">
        <v>40.5</v>
      </c>
      <c r="H43" s="10" t="n">
        <v>40.75</v>
      </c>
      <c r="I43" s="10" t="n">
        <v>39.75</v>
      </c>
      <c r="J43" s="10" t="n">
        <v>39.25</v>
      </c>
      <c r="K43" s="10" t="n">
        <v>47</v>
      </c>
      <c r="L43" s="10" t="n">
        <v>49</v>
      </c>
      <c r="M43" s="10" t="n">
        <v>45</v>
      </c>
      <c r="N43" s="10" t="n">
        <v>39.5</v>
      </c>
      <c r="O43" s="10" t="n">
        <v>45.5</v>
      </c>
      <c r="P43" s="10" t="n">
        <v>54.5</v>
      </c>
    </row>
    <row r="44" customFormat="false" ht="15" hidden="false" customHeight="false" outlineLevel="0" collapsed="false">
      <c r="A44" s="12" t="n">
        <v>46234</v>
      </c>
      <c r="B44" s="10" t="n">
        <v>35.5</v>
      </c>
      <c r="C44" s="10" t="n">
        <v>41</v>
      </c>
      <c r="D44" s="10" t="n">
        <v>49</v>
      </c>
      <c r="E44" s="10" t="n">
        <v>53.75</v>
      </c>
      <c r="F44" s="10" t="n">
        <v>51.75</v>
      </c>
      <c r="G44" s="10" t="n">
        <v>40.5</v>
      </c>
      <c r="H44" s="10" t="n">
        <v>41.25</v>
      </c>
      <c r="I44" s="10" t="n">
        <v>40.25</v>
      </c>
      <c r="J44" s="10" t="n">
        <v>39.5</v>
      </c>
      <c r="K44" s="10" t="n">
        <v>47</v>
      </c>
      <c r="L44" s="10" t="n">
        <v>49</v>
      </c>
      <c r="M44" s="10" t="n">
        <v>45</v>
      </c>
      <c r="N44" s="10" t="n">
        <v>39.5</v>
      </c>
      <c r="O44" s="10" t="n">
        <v>45.5</v>
      </c>
      <c r="P44" s="10" t="n">
        <v>54.5</v>
      </c>
    </row>
    <row r="45" customFormat="false" ht="15" hidden="false" customHeight="false" outlineLevel="0" collapsed="false">
      <c r="A45" s="12" t="n">
        <v>46237</v>
      </c>
      <c r="B45" s="10" t="n">
        <v>35.5</v>
      </c>
      <c r="C45" s="10" t="n">
        <v>41</v>
      </c>
      <c r="D45" s="10" t="n">
        <v>49</v>
      </c>
      <c r="E45" s="10" t="n">
        <v>53.75</v>
      </c>
      <c r="F45" s="10" t="n">
        <v>51.75</v>
      </c>
      <c r="G45" s="10" t="n">
        <v>40.5</v>
      </c>
      <c r="H45" s="10" t="n">
        <v>41.25</v>
      </c>
      <c r="I45" s="10" t="n">
        <v>40.25</v>
      </c>
      <c r="J45" s="10" t="n">
        <v>39.5</v>
      </c>
      <c r="K45" s="10" t="n">
        <v>47</v>
      </c>
      <c r="L45" s="10" t="n">
        <v>49</v>
      </c>
      <c r="M45" s="10" t="n">
        <v>45</v>
      </c>
      <c r="N45" s="10" t="n">
        <v>39.5</v>
      </c>
      <c r="O45" s="10" t="n">
        <v>45.5</v>
      </c>
      <c r="P45" s="10" t="n">
        <v>54.5</v>
      </c>
    </row>
    <row r="46" customFormat="false" ht="15" hidden="false" customHeight="false" outlineLevel="0" collapsed="false">
      <c r="A46" s="12" t="n">
        <v>46238</v>
      </c>
      <c r="B46" s="10" t="n">
        <v>35</v>
      </c>
      <c r="C46" s="10" t="n">
        <v>40</v>
      </c>
      <c r="D46" s="10" t="n">
        <v>48.75</v>
      </c>
      <c r="E46" s="10" t="n">
        <v>53</v>
      </c>
      <c r="F46" s="10" t="n">
        <v>51</v>
      </c>
      <c r="G46" s="10" t="n">
        <v>40</v>
      </c>
      <c r="H46" s="10" t="n">
        <v>40.5</v>
      </c>
      <c r="I46" s="10" t="n">
        <v>39.5</v>
      </c>
      <c r="J46" s="10" t="n">
        <v>39</v>
      </c>
      <c r="K46" s="10" t="n">
        <v>46.5</v>
      </c>
      <c r="L46" s="10" t="n">
        <v>48.5</v>
      </c>
      <c r="M46" s="10" t="n">
        <v>44.5</v>
      </c>
      <c r="N46" s="10" t="n">
        <v>39</v>
      </c>
      <c r="O46" s="10" t="n">
        <v>45</v>
      </c>
      <c r="P46" s="10" t="n">
        <v>54</v>
      </c>
    </row>
    <row r="47" customFormat="false" ht="15" hidden="false" customHeight="false" outlineLevel="0" collapsed="false">
      <c r="A47" s="12" t="n">
        <v>46239</v>
      </c>
      <c r="B47" s="10" t="n">
        <v>34.25</v>
      </c>
      <c r="C47" s="10" t="n">
        <v>38.75</v>
      </c>
      <c r="D47" s="10" t="n">
        <v>47.25</v>
      </c>
      <c r="E47" s="10" t="n">
        <v>52</v>
      </c>
      <c r="F47" s="10" t="n">
        <v>49.75</v>
      </c>
      <c r="G47" s="10" t="n">
        <v>39</v>
      </c>
      <c r="H47" s="10" t="n">
        <v>38.5</v>
      </c>
      <c r="I47" s="10" t="n">
        <v>37.5</v>
      </c>
      <c r="J47" s="10" t="n">
        <v>37</v>
      </c>
      <c r="K47" s="10" t="n">
        <v>46</v>
      </c>
      <c r="L47" s="10" t="n">
        <v>48</v>
      </c>
      <c r="M47" s="10" t="n">
        <v>44</v>
      </c>
      <c r="N47" s="10" t="n">
        <v>38.5</v>
      </c>
      <c r="O47" s="10" t="n">
        <v>44.5</v>
      </c>
      <c r="P47" s="10" t="n">
        <v>53.5</v>
      </c>
    </row>
    <row r="48" customFormat="false" ht="15" hidden="false" customHeight="false" outlineLevel="0" collapsed="false">
      <c r="A48" s="12" t="n">
        <v>46240</v>
      </c>
      <c r="B48" s="10" t="n">
        <v>34.25</v>
      </c>
      <c r="C48" s="10" t="n">
        <v>38.75</v>
      </c>
      <c r="D48" s="10" t="n">
        <v>47.25</v>
      </c>
      <c r="E48" s="10" t="n">
        <v>52</v>
      </c>
      <c r="F48" s="10" t="n">
        <v>49.75</v>
      </c>
      <c r="G48" s="10" t="n">
        <v>39</v>
      </c>
      <c r="H48" s="10" t="n">
        <v>38.5</v>
      </c>
      <c r="I48" s="10" t="n">
        <v>37.5</v>
      </c>
      <c r="J48" s="10" t="n">
        <v>37</v>
      </c>
      <c r="K48" s="10" t="n">
        <v>46</v>
      </c>
      <c r="L48" s="10" t="n">
        <v>48</v>
      </c>
      <c r="M48" s="10" t="n">
        <v>44</v>
      </c>
      <c r="N48" s="10" t="n">
        <v>38.5</v>
      </c>
      <c r="O48" s="10" t="n">
        <v>44.5</v>
      </c>
      <c r="P48" s="10" t="n">
        <v>53.25</v>
      </c>
    </row>
    <row r="49" customFormat="false" ht="15" hidden="false" customHeight="false" outlineLevel="0" collapsed="false">
      <c r="A49" s="12" t="n">
        <v>46241</v>
      </c>
      <c r="B49" s="10" t="n">
        <v>34.25</v>
      </c>
      <c r="C49" s="10" t="n">
        <v>38.75</v>
      </c>
      <c r="D49" s="10" t="n">
        <v>47.25</v>
      </c>
      <c r="E49" s="10" t="n">
        <v>52</v>
      </c>
      <c r="F49" s="10" t="n">
        <v>49.75</v>
      </c>
      <c r="G49" s="10" t="n">
        <v>39</v>
      </c>
      <c r="H49" s="10" t="n">
        <v>38.5</v>
      </c>
      <c r="I49" s="10" t="n">
        <v>37.5</v>
      </c>
      <c r="J49" s="10" t="n">
        <v>37</v>
      </c>
      <c r="K49" s="10" t="n">
        <v>46</v>
      </c>
      <c r="L49" s="10" t="n">
        <v>48</v>
      </c>
      <c r="M49" s="10" t="n">
        <v>44</v>
      </c>
      <c r="N49" s="10" t="n">
        <v>38.5</v>
      </c>
      <c r="O49" s="10" t="n">
        <v>44.5</v>
      </c>
      <c r="P49" s="10" t="n">
        <v>53.25</v>
      </c>
    </row>
    <row r="50" customFormat="false" ht="15" hidden="false" customHeight="false" outlineLevel="0" collapsed="false">
      <c r="A50" s="12" t="n">
        <v>46244</v>
      </c>
      <c r="B50" s="10" t="n">
        <v>33.75</v>
      </c>
      <c r="C50" s="10" t="n">
        <v>38.75</v>
      </c>
      <c r="D50" s="10" t="n">
        <v>47.25</v>
      </c>
      <c r="E50" s="10" t="n">
        <v>51.75</v>
      </c>
      <c r="F50" s="10" t="n">
        <v>49.5</v>
      </c>
      <c r="G50" s="10" t="n">
        <v>38.75</v>
      </c>
      <c r="H50" s="10" t="n">
        <v>39.25</v>
      </c>
      <c r="I50" s="10" t="n">
        <v>38.25</v>
      </c>
      <c r="J50" s="10" t="n">
        <v>37</v>
      </c>
      <c r="K50" s="10" t="n">
        <v>45.25</v>
      </c>
      <c r="L50" s="10" t="n">
        <v>47.25</v>
      </c>
      <c r="M50" s="10" t="n">
        <v>43.5</v>
      </c>
      <c r="N50" s="10" t="n">
        <v>38</v>
      </c>
      <c r="O50" s="10" t="n">
        <v>44</v>
      </c>
      <c r="P50" s="10" t="n">
        <v>52.75</v>
      </c>
    </row>
    <row r="51" customFormat="false" ht="15" hidden="false" customHeight="false" outlineLevel="0" collapsed="false">
      <c r="A51" s="12" t="n">
        <v>46245</v>
      </c>
      <c r="B51" s="10" t="n">
        <v>33.5</v>
      </c>
      <c r="C51" s="10" t="n">
        <v>38.25</v>
      </c>
      <c r="D51" s="10" t="n">
        <v>46.75</v>
      </c>
      <c r="E51" s="10" t="n">
        <v>51.5</v>
      </c>
      <c r="F51" s="10" t="n">
        <v>49.25</v>
      </c>
      <c r="G51" s="10" t="n">
        <v>38.5</v>
      </c>
      <c r="H51" s="10" t="n">
        <v>39.8</v>
      </c>
      <c r="I51" s="10" t="n">
        <v>38.8</v>
      </c>
      <c r="J51" s="10" t="n">
        <v>36.1</v>
      </c>
      <c r="K51" s="10" t="n">
        <v>45</v>
      </c>
      <c r="L51" s="10" t="n">
        <v>47</v>
      </c>
      <c r="M51" s="10" t="n">
        <v>43.25</v>
      </c>
      <c r="N51" s="10" t="n">
        <v>37.75</v>
      </c>
      <c r="O51" s="10" t="n">
        <v>43.75</v>
      </c>
      <c r="P51" s="10" t="n">
        <v>52.5</v>
      </c>
    </row>
    <row r="52" customFormat="false" ht="15" hidden="false" customHeight="false" outlineLevel="0" collapsed="false">
      <c r="A52" s="12" t="n">
        <v>46246</v>
      </c>
      <c r="B52" s="10" t="n">
        <v>33.5</v>
      </c>
      <c r="C52" s="10" t="n">
        <v>37.8</v>
      </c>
      <c r="D52" s="10" t="n">
        <v>46.5</v>
      </c>
      <c r="E52" s="10" t="n">
        <v>50.5</v>
      </c>
      <c r="F52" s="10" t="n">
        <v>48.75</v>
      </c>
      <c r="G52" s="10" t="n">
        <v>38</v>
      </c>
      <c r="H52" s="10" t="n">
        <v>39.5</v>
      </c>
      <c r="I52" s="10" t="n">
        <v>38.5</v>
      </c>
      <c r="J52" s="10" t="n">
        <v>35.5</v>
      </c>
      <c r="K52" s="10" t="n">
        <v>44.5</v>
      </c>
      <c r="L52" s="10" t="n">
        <v>46.5</v>
      </c>
      <c r="M52" s="10" t="n">
        <v>43</v>
      </c>
      <c r="N52" s="10" t="n">
        <v>37</v>
      </c>
      <c r="O52" s="10" t="n">
        <v>43</v>
      </c>
      <c r="P52" s="10" t="n">
        <v>51.5</v>
      </c>
    </row>
    <row r="53" customFormat="false" ht="15" hidden="false" customHeight="false" outlineLevel="0" collapsed="false">
      <c r="A53" s="12" t="n">
        <v>46247</v>
      </c>
      <c r="B53" s="10" t="n">
        <v>33.5</v>
      </c>
      <c r="C53" s="10" t="n">
        <v>37.8</v>
      </c>
      <c r="D53" s="10" t="n">
        <v>46.5</v>
      </c>
      <c r="E53" s="10" t="n">
        <v>50.75</v>
      </c>
      <c r="F53" s="10" t="n">
        <v>49</v>
      </c>
      <c r="G53" s="10" t="n">
        <v>38</v>
      </c>
      <c r="H53" s="10" t="n">
        <v>39.5</v>
      </c>
      <c r="I53" s="10" t="n">
        <v>38.5</v>
      </c>
      <c r="J53" s="10" t="n">
        <v>35.25</v>
      </c>
      <c r="K53" s="10" t="n">
        <v>44.25</v>
      </c>
      <c r="L53" s="10" t="n">
        <v>46.25</v>
      </c>
      <c r="M53" s="10" t="n">
        <v>43</v>
      </c>
      <c r="N53" s="10" t="n">
        <v>37</v>
      </c>
      <c r="O53" s="10" t="n">
        <v>43</v>
      </c>
      <c r="P53" s="10" t="n">
        <v>51.25</v>
      </c>
    </row>
    <row r="54" customFormat="false" ht="15" hidden="false" customHeight="false" outlineLevel="0" collapsed="false">
      <c r="A54" s="12" t="n">
        <v>46248</v>
      </c>
      <c r="B54" s="10" t="n">
        <v>34</v>
      </c>
      <c r="C54" s="10" t="n">
        <v>38</v>
      </c>
      <c r="D54" s="10" t="n">
        <v>46.75</v>
      </c>
      <c r="E54" s="10" t="n">
        <v>50.75</v>
      </c>
      <c r="F54" s="10" t="n">
        <v>49</v>
      </c>
      <c r="G54" s="10" t="n">
        <v>38</v>
      </c>
      <c r="H54" s="10" t="n">
        <v>39.5</v>
      </c>
      <c r="I54" s="10" t="n">
        <v>38.5</v>
      </c>
      <c r="J54" s="10" t="n">
        <v>35.25</v>
      </c>
      <c r="K54" s="10" t="n">
        <v>44.25</v>
      </c>
      <c r="L54" s="10" t="n">
        <v>46.25</v>
      </c>
      <c r="M54" s="10" t="n">
        <v>43</v>
      </c>
      <c r="N54" s="10" t="n">
        <v>37</v>
      </c>
      <c r="O54" s="10" t="n">
        <v>43</v>
      </c>
      <c r="P54" s="10" t="n">
        <v>51.25</v>
      </c>
    </row>
    <row r="55" customFormat="false" ht="15" hidden="false" customHeight="false" outlineLevel="0" collapsed="false">
      <c r="A55" s="12" t="n">
        <v>46251</v>
      </c>
      <c r="B55" s="10" t="n">
        <v>34.05</v>
      </c>
      <c r="C55" s="10" t="n">
        <v>38</v>
      </c>
      <c r="D55" s="10" t="n">
        <v>46.75</v>
      </c>
      <c r="E55" s="10" t="n">
        <v>50.75</v>
      </c>
      <c r="F55" s="10" t="n">
        <v>49</v>
      </c>
      <c r="G55" s="10" t="n">
        <v>38</v>
      </c>
      <c r="H55" s="10" t="n">
        <v>39.5</v>
      </c>
      <c r="I55" s="10" t="n">
        <v>38.5</v>
      </c>
      <c r="J55" s="10" t="n">
        <v>35.25</v>
      </c>
      <c r="K55" s="10" t="n">
        <v>44.25</v>
      </c>
      <c r="L55" s="10" t="n">
        <v>46.25</v>
      </c>
      <c r="M55" s="10" t="n">
        <v>43</v>
      </c>
      <c r="N55" s="10" t="n">
        <v>37</v>
      </c>
      <c r="O55" s="10" t="n">
        <v>43</v>
      </c>
      <c r="P55" s="10" t="n">
        <v>51.25</v>
      </c>
    </row>
    <row r="56" customFormat="false" ht="15" hidden="false" customHeight="false" outlineLevel="0" collapsed="false">
      <c r="A56" s="12" t="n">
        <v>46252</v>
      </c>
      <c r="B56" s="10" t="n">
        <v>34.75</v>
      </c>
      <c r="C56" s="10" t="n">
        <v>38.5</v>
      </c>
      <c r="D56" s="10" t="n">
        <v>47.25</v>
      </c>
      <c r="E56" s="10" t="n">
        <v>50.25</v>
      </c>
      <c r="F56" s="10" t="n">
        <v>48.75</v>
      </c>
      <c r="G56" s="10" t="n">
        <v>37.75</v>
      </c>
      <c r="H56" s="10" t="n">
        <v>39.5</v>
      </c>
      <c r="I56" s="10" t="n">
        <v>38.5</v>
      </c>
      <c r="J56" s="10" t="n">
        <v>35.25</v>
      </c>
      <c r="K56" s="10" t="n">
        <v>44</v>
      </c>
      <c r="L56" s="10" t="n">
        <v>46</v>
      </c>
      <c r="M56" s="10" t="n">
        <v>42.75</v>
      </c>
      <c r="N56" s="10" t="n">
        <v>36.75</v>
      </c>
      <c r="O56" s="10" t="n">
        <v>42.75</v>
      </c>
      <c r="P56" s="10" t="n">
        <v>51</v>
      </c>
    </row>
    <row r="57" customFormat="false" ht="15" hidden="false" customHeight="false" outlineLevel="0" collapsed="false">
      <c r="A57" s="12" t="n">
        <v>46253</v>
      </c>
      <c r="B57" s="10" t="n">
        <v>35</v>
      </c>
      <c r="C57" s="10" t="n">
        <v>38.75</v>
      </c>
      <c r="D57" s="10" t="n">
        <v>47.25</v>
      </c>
      <c r="E57" s="10" t="n">
        <v>50.5</v>
      </c>
      <c r="F57" s="10" t="n">
        <v>48.75</v>
      </c>
      <c r="G57" s="10" t="n">
        <v>37.75</v>
      </c>
      <c r="H57" s="10" t="n">
        <v>39.5</v>
      </c>
      <c r="I57" s="10" t="n">
        <v>38.75</v>
      </c>
      <c r="J57" s="10" t="n">
        <v>36</v>
      </c>
      <c r="K57" s="10" t="n">
        <v>44</v>
      </c>
      <c r="L57" s="10" t="n">
        <v>46</v>
      </c>
      <c r="M57" s="10" t="n">
        <v>42.75</v>
      </c>
      <c r="N57" s="10" t="n">
        <v>36.75</v>
      </c>
      <c r="O57" s="10" t="n">
        <v>42.75</v>
      </c>
      <c r="P57" s="10" t="n">
        <v>51</v>
      </c>
    </row>
    <row r="58" customFormat="false" ht="15" hidden="false" customHeight="false" outlineLevel="0" collapsed="false">
      <c r="A58" s="12" t="n">
        <v>46254</v>
      </c>
      <c r="B58" s="10" t="n">
        <v>34.5</v>
      </c>
      <c r="C58" s="10" t="n">
        <v>38.5</v>
      </c>
      <c r="D58" s="10" t="n">
        <v>47.25</v>
      </c>
      <c r="E58" s="10" t="n">
        <v>50.4</v>
      </c>
      <c r="F58" s="10" t="n">
        <v>48.7</v>
      </c>
      <c r="G58" s="10" t="n">
        <v>37.7</v>
      </c>
      <c r="H58" s="10" t="n">
        <v>39.4</v>
      </c>
      <c r="I58" s="10" t="n">
        <v>38.65</v>
      </c>
      <c r="J58" s="10" t="n">
        <v>35.9</v>
      </c>
      <c r="K58" s="10" t="n">
        <v>43.2</v>
      </c>
      <c r="L58" s="10" t="n">
        <v>45.25</v>
      </c>
      <c r="M58" s="10" t="n">
        <v>42</v>
      </c>
      <c r="N58" s="10" t="n">
        <v>36</v>
      </c>
      <c r="O58" s="10" t="n">
        <v>42</v>
      </c>
      <c r="P58" s="10" t="n">
        <v>50.25</v>
      </c>
    </row>
    <row r="59" customFormat="false" ht="15" hidden="false" customHeight="false" outlineLevel="0" collapsed="false">
      <c r="A59" s="12" t="n">
        <v>46255</v>
      </c>
      <c r="B59" s="10" t="n">
        <v>34.25</v>
      </c>
      <c r="C59" s="10" t="n">
        <v>38</v>
      </c>
      <c r="D59" s="10" t="n">
        <v>46.5</v>
      </c>
      <c r="E59" s="10" t="n">
        <v>50.15</v>
      </c>
      <c r="F59" s="10" t="n">
        <v>48.45</v>
      </c>
      <c r="G59" s="10" t="n">
        <v>37.45</v>
      </c>
      <c r="H59" s="10" t="n">
        <v>39.4</v>
      </c>
      <c r="I59" s="10" t="n">
        <v>38.65</v>
      </c>
      <c r="J59" s="10" t="n">
        <v>35.9</v>
      </c>
      <c r="K59" s="10" t="n">
        <v>42.95</v>
      </c>
      <c r="L59" s="10" t="n">
        <v>45</v>
      </c>
      <c r="M59" s="10" t="n">
        <v>41.75</v>
      </c>
      <c r="N59" s="10" t="n">
        <v>35.75</v>
      </c>
      <c r="O59" s="10" t="n">
        <v>41.75</v>
      </c>
      <c r="P59" s="10" t="n">
        <v>50</v>
      </c>
    </row>
    <row r="60" customFormat="false" ht="15" hidden="false" customHeight="false" outlineLevel="0" collapsed="false">
      <c r="A60" s="12" t="n">
        <v>46258</v>
      </c>
      <c r="B60" s="10" t="n">
        <v>34.25</v>
      </c>
      <c r="C60" s="10" t="n">
        <v>38</v>
      </c>
      <c r="D60" s="10" t="n">
        <v>46.5</v>
      </c>
      <c r="E60" s="10" t="n">
        <v>50</v>
      </c>
      <c r="F60" s="10" t="n">
        <v>48.25</v>
      </c>
      <c r="G60" s="10" t="n">
        <v>37.25</v>
      </c>
      <c r="H60" s="10" t="n">
        <v>39.25</v>
      </c>
      <c r="I60" s="10" t="n">
        <v>38.5</v>
      </c>
      <c r="J60" s="10" t="n">
        <v>35.75</v>
      </c>
      <c r="K60" s="10" t="n">
        <v>42.75</v>
      </c>
      <c r="L60" s="10" t="n">
        <v>44.5</v>
      </c>
      <c r="M60" s="10" t="n">
        <v>41.5</v>
      </c>
      <c r="N60" s="10" t="n">
        <v>35.5</v>
      </c>
      <c r="O60" s="10" t="n">
        <v>41.5</v>
      </c>
      <c r="P60" s="10" t="n">
        <v>49.5</v>
      </c>
    </row>
    <row r="61" customFormat="false" ht="15" hidden="false" customHeight="false" outlineLevel="0" collapsed="false">
      <c r="A61" s="12" t="n">
        <v>46259</v>
      </c>
      <c r="B61" s="10" t="n">
        <v>34.25</v>
      </c>
      <c r="C61" s="10" t="n">
        <v>38</v>
      </c>
      <c r="D61" s="10" t="n">
        <v>46.5</v>
      </c>
      <c r="E61" s="10" t="n">
        <v>50</v>
      </c>
      <c r="F61" s="10" t="n">
        <v>48.25</v>
      </c>
      <c r="G61" s="10" t="n">
        <v>37.25</v>
      </c>
      <c r="H61" s="10" t="n">
        <v>39.25</v>
      </c>
      <c r="I61" s="10" t="n">
        <v>38.5</v>
      </c>
      <c r="J61" s="10" t="n">
        <v>35.75</v>
      </c>
      <c r="K61" s="10" t="n">
        <v>42.75</v>
      </c>
      <c r="L61" s="10" t="n">
        <v>44.5</v>
      </c>
      <c r="M61" s="10" t="n">
        <v>41.5</v>
      </c>
      <c r="N61" s="10" t="n">
        <v>35.5</v>
      </c>
      <c r="O61" s="10" t="n">
        <v>41.5</v>
      </c>
      <c r="P61" s="10" t="n">
        <v>49.5</v>
      </c>
    </row>
    <row r="62" customFormat="false" ht="15" hidden="false" customHeight="false" outlineLevel="0" collapsed="false">
      <c r="A62" s="12" t="n">
        <v>46260</v>
      </c>
      <c r="B62" s="10" t="n">
        <v>34.25</v>
      </c>
      <c r="C62" s="10" t="n">
        <v>38.25</v>
      </c>
      <c r="D62" s="10" t="n">
        <v>46.5</v>
      </c>
      <c r="E62" s="10" t="n">
        <v>50.2</v>
      </c>
      <c r="F62" s="10" t="n">
        <v>48.25</v>
      </c>
      <c r="G62" s="10" t="n">
        <v>37.25</v>
      </c>
      <c r="H62" s="10" t="n">
        <v>39.25</v>
      </c>
      <c r="I62" s="10" t="n">
        <v>38.5</v>
      </c>
      <c r="J62" s="10" t="n">
        <v>35.75</v>
      </c>
      <c r="K62" s="10" t="n">
        <v>42.75</v>
      </c>
      <c r="L62" s="10" t="n">
        <v>44.5</v>
      </c>
      <c r="M62" s="10" t="n">
        <v>41.5</v>
      </c>
      <c r="N62" s="10" t="n">
        <v>35.5</v>
      </c>
      <c r="O62" s="10" t="n">
        <v>41.5</v>
      </c>
      <c r="P62" s="10" t="n">
        <v>49.5</v>
      </c>
    </row>
    <row r="63" customFormat="false" ht="15" hidden="false" customHeight="false" outlineLevel="0" collapsed="false">
      <c r="A63" s="12" t="n">
        <v>46261</v>
      </c>
      <c r="B63" s="10" t="n">
        <v>34.25</v>
      </c>
      <c r="C63" s="10" t="n">
        <v>38</v>
      </c>
      <c r="D63" s="10" t="n">
        <v>46.25</v>
      </c>
      <c r="E63" s="10" t="n">
        <v>49.75</v>
      </c>
      <c r="F63" s="10" t="n">
        <v>47.75</v>
      </c>
      <c r="G63" s="10" t="n">
        <v>36.75</v>
      </c>
      <c r="H63" s="10" t="n">
        <v>39</v>
      </c>
      <c r="I63" s="10" t="n">
        <v>38.25</v>
      </c>
      <c r="J63" s="10" t="n">
        <v>35.5</v>
      </c>
      <c r="K63" s="10" t="n">
        <v>42</v>
      </c>
      <c r="L63" s="10" t="n">
        <v>43.75</v>
      </c>
      <c r="M63" s="10" t="n">
        <v>40.75</v>
      </c>
      <c r="N63" s="10" t="n">
        <v>35</v>
      </c>
      <c r="O63" s="10" t="n">
        <v>40.75</v>
      </c>
      <c r="P63" s="10" t="n">
        <v>48.75</v>
      </c>
    </row>
    <row r="64" customFormat="false" ht="15" hidden="false" customHeight="false" outlineLevel="0" collapsed="false">
      <c r="A64" s="12" t="n">
        <v>46262</v>
      </c>
      <c r="B64" s="10" t="n">
        <v>34.25</v>
      </c>
      <c r="C64" s="10" t="n">
        <v>38</v>
      </c>
      <c r="D64" s="10" t="n">
        <v>46.25</v>
      </c>
      <c r="E64" s="10" t="n">
        <v>49.25</v>
      </c>
      <c r="F64" s="10" t="n">
        <v>47.25</v>
      </c>
      <c r="G64" s="10" t="n">
        <v>36.25</v>
      </c>
      <c r="H64" s="10" t="n">
        <v>38.5</v>
      </c>
      <c r="I64" s="10" t="n">
        <v>37.5</v>
      </c>
      <c r="J64" s="10" t="n">
        <v>35</v>
      </c>
      <c r="K64" s="10" t="n">
        <v>41</v>
      </c>
      <c r="L64" s="10" t="n">
        <v>42.75</v>
      </c>
      <c r="M64" s="10" t="n">
        <v>40</v>
      </c>
      <c r="N64" s="10" t="n">
        <v>34.25</v>
      </c>
      <c r="O64" s="10" t="n">
        <v>39.75</v>
      </c>
      <c r="P64" s="10" t="n">
        <v>47.5</v>
      </c>
    </row>
    <row r="65" customFormat="false" ht="15" hidden="false" customHeight="false" outlineLevel="0" collapsed="false">
      <c r="A65" s="12" t="n">
        <v>46265</v>
      </c>
      <c r="B65" s="10" t="n">
        <v>34.25</v>
      </c>
      <c r="C65" s="10" t="n">
        <v>38</v>
      </c>
      <c r="D65" s="10" t="n">
        <v>46.25</v>
      </c>
      <c r="E65" s="10" t="n">
        <v>49.25</v>
      </c>
      <c r="F65" s="10" t="n">
        <v>47.25</v>
      </c>
      <c r="G65" s="10" t="n">
        <v>36.25</v>
      </c>
      <c r="H65" s="10" t="n">
        <v>38.5</v>
      </c>
      <c r="I65" s="10" t="n">
        <v>37.5</v>
      </c>
      <c r="J65" s="10" t="n">
        <v>35</v>
      </c>
      <c r="K65" s="10" t="n">
        <v>41.25</v>
      </c>
      <c r="L65" s="10" t="n">
        <v>43</v>
      </c>
      <c r="M65" s="10" t="n">
        <v>40.25</v>
      </c>
      <c r="N65" s="10" t="n">
        <v>33.75</v>
      </c>
      <c r="O65" s="10" t="n">
        <v>39.25</v>
      </c>
      <c r="P65" s="10" t="n">
        <v>47</v>
      </c>
    </row>
    <row r="66" customFormat="false" ht="15" hidden="false" customHeight="false" outlineLevel="0" collapsed="false">
      <c r="A66" s="12" t="n">
        <v>46266</v>
      </c>
      <c r="B66" s="10" t="n">
        <v>33.75</v>
      </c>
      <c r="C66" s="10" t="n">
        <v>37.75</v>
      </c>
      <c r="D66" s="10" t="n">
        <v>46.25</v>
      </c>
      <c r="E66" s="10" t="n">
        <v>49.25</v>
      </c>
      <c r="F66" s="10" t="n">
        <v>47.25</v>
      </c>
      <c r="G66" s="10" t="n">
        <v>36.25</v>
      </c>
      <c r="H66" s="10" t="n">
        <v>38.5</v>
      </c>
      <c r="I66" s="10" t="n">
        <v>37.5</v>
      </c>
      <c r="J66" s="10" t="n">
        <v>35</v>
      </c>
      <c r="K66" s="10" t="n">
        <v>41.25</v>
      </c>
      <c r="L66" s="10" t="n">
        <v>43</v>
      </c>
      <c r="M66" s="10" t="n">
        <v>40.25</v>
      </c>
      <c r="N66" s="10" t="n">
        <v>33.75</v>
      </c>
      <c r="O66" s="10" t="n">
        <v>39.25</v>
      </c>
      <c r="P66" s="10" t="n">
        <v>47</v>
      </c>
    </row>
    <row r="67" customFormat="false" ht="15" hidden="false" customHeight="false" outlineLevel="0" collapsed="false">
      <c r="A67" s="12" t="n">
        <v>46267</v>
      </c>
      <c r="B67" s="10" t="n">
        <v>33.5</v>
      </c>
      <c r="C67" s="10" t="n">
        <v>37.75</v>
      </c>
      <c r="D67" s="10" t="n">
        <v>46.25</v>
      </c>
      <c r="E67" s="10" t="n">
        <v>49.5</v>
      </c>
      <c r="F67" s="10" t="n">
        <v>47.5</v>
      </c>
      <c r="G67" s="10" t="n">
        <v>36.25</v>
      </c>
      <c r="H67" s="10" t="n">
        <v>38.25</v>
      </c>
      <c r="I67" s="10" t="n">
        <v>37.25</v>
      </c>
      <c r="J67" s="10" t="n">
        <v>34.75</v>
      </c>
      <c r="K67" s="10" t="n">
        <v>41.25</v>
      </c>
      <c r="L67" s="10" t="n">
        <v>43</v>
      </c>
      <c r="M67" s="10" t="n">
        <v>40.25</v>
      </c>
      <c r="N67" s="10" t="n">
        <v>34.25</v>
      </c>
      <c r="O67" s="10" t="n">
        <v>39.75</v>
      </c>
      <c r="P67" s="10" t="n">
        <v>47.5</v>
      </c>
    </row>
    <row r="68" customFormat="false" ht="15" hidden="false" customHeight="false" outlineLevel="0" collapsed="false">
      <c r="A68" s="12" t="n">
        <v>46268</v>
      </c>
      <c r="B68" s="10" t="n">
        <v>33.5</v>
      </c>
      <c r="C68" s="10" t="n">
        <v>37.5</v>
      </c>
      <c r="D68" s="10" t="n">
        <v>46</v>
      </c>
      <c r="E68" s="10" t="n">
        <v>49.75</v>
      </c>
      <c r="F68" s="10" t="n">
        <v>47.5</v>
      </c>
      <c r="G68" s="10" t="n">
        <v>36.5</v>
      </c>
      <c r="H68" s="10" t="n">
        <v>38.75</v>
      </c>
      <c r="I68" s="10" t="n">
        <v>37.75</v>
      </c>
      <c r="J68" s="10" t="n">
        <v>35.25</v>
      </c>
      <c r="K68" s="10" t="n">
        <v>41.75</v>
      </c>
      <c r="L68" s="10" t="n">
        <v>43.5</v>
      </c>
      <c r="M68" s="10" t="n">
        <v>40.75</v>
      </c>
      <c r="N68" s="10" t="n">
        <v>34.25</v>
      </c>
      <c r="O68" s="10" t="n">
        <v>41.5</v>
      </c>
      <c r="P68" s="10" t="n">
        <v>49.5</v>
      </c>
    </row>
    <row r="69" customFormat="false" ht="15" hidden="false" customHeight="false" outlineLevel="0" collapsed="false">
      <c r="A69" s="12" t="n">
        <v>46269</v>
      </c>
      <c r="B69" s="10" t="n">
        <v>33.5</v>
      </c>
      <c r="C69" s="10" t="n">
        <v>37.5</v>
      </c>
      <c r="D69" s="10" t="n">
        <v>46.75</v>
      </c>
      <c r="E69" s="10" t="n">
        <v>49.75</v>
      </c>
      <c r="F69" s="10" t="n">
        <v>47.5</v>
      </c>
      <c r="G69" s="10" t="n">
        <v>36.25</v>
      </c>
      <c r="H69" s="10" t="n">
        <v>39</v>
      </c>
      <c r="I69" s="10" t="n">
        <v>38</v>
      </c>
      <c r="J69" s="10" t="n">
        <v>35.5</v>
      </c>
      <c r="K69" s="10" t="n">
        <v>41.75</v>
      </c>
      <c r="L69" s="10" t="n">
        <v>43.5</v>
      </c>
      <c r="M69" s="10" t="n">
        <v>40.75</v>
      </c>
      <c r="N69" s="10" t="n">
        <v>34.5</v>
      </c>
      <c r="O69" s="10" t="n">
        <v>41.5</v>
      </c>
      <c r="P69" s="10" t="n">
        <v>50</v>
      </c>
    </row>
    <row r="70" customFormat="false" ht="15" hidden="false" customHeight="false" outlineLevel="0" collapsed="false">
      <c r="A70" s="12" t="n">
        <v>46272</v>
      </c>
      <c r="B70" s="10" t="n">
        <v>33.5</v>
      </c>
      <c r="C70" s="10" t="n">
        <v>37.5</v>
      </c>
      <c r="D70" s="10" t="n">
        <v>46.75</v>
      </c>
      <c r="E70" s="10" t="n">
        <v>49.75</v>
      </c>
      <c r="F70" s="10" t="n">
        <v>47.5</v>
      </c>
      <c r="G70" s="10" t="n">
        <v>36.25</v>
      </c>
      <c r="H70" s="10" t="n">
        <v>39</v>
      </c>
      <c r="I70" s="10" t="n">
        <v>38</v>
      </c>
      <c r="J70" s="10" t="n">
        <v>35.5</v>
      </c>
      <c r="K70" s="10" t="n">
        <v>41.75</v>
      </c>
      <c r="L70" s="10" t="n">
        <v>43.5</v>
      </c>
      <c r="M70" s="10" t="n">
        <v>40.75</v>
      </c>
      <c r="N70" s="10" t="n">
        <v>34.5</v>
      </c>
      <c r="O70" s="10" t="n">
        <v>41.5</v>
      </c>
      <c r="P70" s="10" t="n">
        <v>50</v>
      </c>
    </row>
    <row r="71" customFormat="false" ht="15" hidden="false" customHeight="false" outlineLevel="0" collapsed="false">
      <c r="A71" s="12" t="n">
        <v>46273</v>
      </c>
      <c r="B71" s="10" t="n">
        <v>32.5</v>
      </c>
      <c r="C71" s="10" t="n">
        <v>36.5</v>
      </c>
      <c r="D71" s="10" t="n">
        <v>46.25</v>
      </c>
      <c r="E71" s="10" t="n">
        <v>49.5</v>
      </c>
      <c r="F71" s="10" t="n">
        <v>47.5</v>
      </c>
      <c r="G71" s="10" t="n">
        <v>36</v>
      </c>
      <c r="H71" s="10" t="n">
        <v>39</v>
      </c>
      <c r="I71" s="10" t="n">
        <v>38</v>
      </c>
      <c r="J71" s="10" t="n">
        <v>35.5</v>
      </c>
      <c r="K71" s="10" t="n">
        <v>41.75</v>
      </c>
      <c r="L71" s="10" t="n">
        <v>43.5</v>
      </c>
      <c r="M71" s="10" t="n">
        <v>40.75</v>
      </c>
      <c r="N71" s="10" t="n">
        <v>34.5</v>
      </c>
      <c r="O71" s="10" t="n">
        <v>41.5</v>
      </c>
      <c r="P71" s="10" t="n">
        <v>50</v>
      </c>
    </row>
    <row r="72" customFormat="false" ht="15" hidden="false" customHeight="false" outlineLevel="0" collapsed="false">
      <c r="A72" s="12" t="n">
        <v>46274</v>
      </c>
      <c r="B72" s="10" t="n">
        <v>32.5</v>
      </c>
      <c r="C72" s="10" t="n">
        <v>37</v>
      </c>
      <c r="D72" s="10" t="n">
        <v>46</v>
      </c>
      <c r="E72" s="10" t="n">
        <v>49.5</v>
      </c>
      <c r="F72" s="10" t="n">
        <v>47.75</v>
      </c>
      <c r="G72" s="10" t="n">
        <v>36</v>
      </c>
      <c r="H72" s="10" t="n">
        <v>40</v>
      </c>
      <c r="I72" s="10" t="n">
        <v>39.25</v>
      </c>
      <c r="J72" s="10" t="n">
        <v>35</v>
      </c>
      <c r="K72" s="10" t="n">
        <v>42</v>
      </c>
      <c r="L72" s="10" t="n">
        <v>43.75</v>
      </c>
      <c r="M72" s="10" t="n">
        <v>41</v>
      </c>
      <c r="N72" s="10" t="n">
        <v>34.5</v>
      </c>
      <c r="O72" s="10" t="n">
        <v>41.5</v>
      </c>
      <c r="P72" s="10" t="n">
        <v>50</v>
      </c>
    </row>
    <row r="73" customFormat="false" ht="15" hidden="false" customHeight="false" outlineLevel="0" collapsed="false">
      <c r="A73" s="12" t="n">
        <v>46275</v>
      </c>
      <c r="B73" s="10" t="n">
        <v>33.25</v>
      </c>
      <c r="C73" s="10" t="n">
        <v>37.5</v>
      </c>
      <c r="D73" s="10" t="n">
        <v>46.25</v>
      </c>
      <c r="E73" s="10" t="n">
        <v>50.5</v>
      </c>
      <c r="F73" s="10" t="n">
        <v>48.5</v>
      </c>
      <c r="G73" s="10" t="n">
        <v>36.5</v>
      </c>
      <c r="H73" s="10" t="n">
        <v>41</v>
      </c>
      <c r="I73" s="10" t="n">
        <v>40</v>
      </c>
      <c r="J73" s="10" t="n">
        <v>36</v>
      </c>
      <c r="K73" s="10" t="n">
        <v>43.75</v>
      </c>
      <c r="L73" s="10" t="n">
        <v>45.5</v>
      </c>
      <c r="M73" s="10" t="n">
        <v>42.75</v>
      </c>
      <c r="N73" s="10" t="n">
        <v>36</v>
      </c>
      <c r="O73" s="10" t="n">
        <v>43</v>
      </c>
      <c r="P73" s="10" t="n">
        <v>51.5</v>
      </c>
    </row>
    <row r="74" customFormat="false" ht="15" hidden="false" customHeight="false" outlineLevel="0" collapsed="false">
      <c r="A74" s="12" t="n">
        <v>46276</v>
      </c>
      <c r="B74" s="10" t="n">
        <v>33.25</v>
      </c>
      <c r="C74" s="10" t="n">
        <v>37.5</v>
      </c>
      <c r="D74" s="10" t="n">
        <v>46.25</v>
      </c>
      <c r="E74" s="10" t="n">
        <v>50.75</v>
      </c>
      <c r="F74" s="10" t="n">
        <v>49</v>
      </c>
      <c r="G74" s="10" t="n">
        <v>37</v>
      </c>
      <c r="H74" s="10" t="n">
        <v>41.25</v>
      </c>
      <c r="I74" s="10" t="n">
        <v>40.25</v>
      </c>
      <c r="J74" s="10" t="n">
        <v>36.25</v>
      </c>
      <c r="K74" s="10" t="n">
        <v>44.25</v>
      </c>
      <c r="L74" s="10" t="n">
        <v>46</v>
      </c>
      <c r="M74" s="10" t="n">
        <v>43.25</v>
      </c>
      <c r="N74" s="10" t="n">
        <v>36.5</v>
      </c>
      <c r="O74" s="10" t="n">
        <v>43.5</v>
      </c>
      <c r="P74" s="10" t="n">
        <v>52</v>
      </c>
    </row>
    <row r="75" customFormat="false" ht="15" hidden="false" customHeight="false" outlineLevel="0" collapsed="false">
      <c r="A75" s="12" t="n">
        <v>46279</v>
      </c>
      <c r="B75" s="10" t="n">
        <v>33.25</v>
      </c>
      <c r="C75" s="10" t="n">
        <v>37.25</v>
      </c>
      <c r="D75" s="10" t="n">
        <v>46.25</v>
      </c>
      <c r="E75" s="10" t="n">
        <v>51.55</v>
      </c>
      <c r="F75" s="10" t="n">
        <v>49.8</v>
      </c>
      <c r="G75" s="10" t="n">
        <v>37</v>
      </c>
      <c r="H75" s="10" t="n">
        <v>41.25</v>
      </c>
      <c r="I75" s="10" t="n">
        <v>40.25</v>
      </c>
      <c r="J75" s="10" t="n">
        <v>36.25</v>
      </c>
      <c r="K75" s="10" t="n">
        <v>44.5</v>
      </c>
      <c r="L75" s="10" t="n">
        <v>46.25</v>
      </c>
      <c r="M75" s="10" t="n">
        <v>43.5</v>
      </c>
      <c r="N75" s="10" t="n">
        <v>37</v>
      </c>
      <c r="O75" s="10" t="n">
        <v>44</v>
      </c>
      <c r="P75" s="10" t="n">
        <v>52.5</v>
      </c>
    </row>
    <row r="76" customFormat="false" ht="15" hidden="false" customHeight="false" outlineLevel="0" collapsed="false">
      <c r="A76" s="12" t="n">
        <v>46280</v>
      </c>
      <c r="B76" s="10" t="n">
        <v>33.25</v>
      </c>
      <c r="C76" s="10" t="n">
        <v>37.25</v>
      </c>
      <c r="D76" s="10" t="n">
        <v>46.25</v>
      </c>
      <c r="E76" s="10" t="n">
        <v>51.55</v>
      </c>
      <c r="F76" s="10" t="n">
        <v>49.8</v>
      </c>
      <c r="G76" s="10" t="n">
        <v>37</v>
      </c>
      <c r="H76" s="10" t="n">
        <v>41.25</v>
      </c>
      <c r="I76" s="10" t="n">
        <v>40.25</v>
      </c>
      <c r="J76" s="10" t="n">
        <v>36.25</v>
      </c>
      <c r="K76" s="10" t="n">
        <v>44.5</v>
      </c>
      <c r="L76" s="10" t="n">
        <v>46.25</v>
      </c>
      <c r="M76" s="10" t="n">
        <v>43.5</v>
      </c>
      <c r="N76" s="10" t="n">
        <v>37</v>
      </c>
      <c r="O76" s="10" t="n">
        <v>44</v>
      </c>
      <c r="P76" s="10" t="n">
        <v>52.5</v>
      </c>
    </row>
    <row r="77" customFormat="false" ht="15" hidden="false" customHeight="false" outlineLevel="0" collapsed="false">
      <c r="A77" s="12" t="n">
        <v>46281</v>
      </c>
      <c r="B77" s="10" t="n">
        <v>33</v>
      </c>
      <c r="C77" s="10" t="n">
        <v>37.25</v>
      </c>
      <c r="D77" s="10" t="n">
        <v>46</v>
      </c>
      <c r="E77" s="10" t="n">
        <v>51</v>
      </c>
      <c r="F77" s="10" t="n">
        <v>49.75</v>
      </c>
      <c r="G77" s="10" t="n">
        <v>36.9</v>
      </c>
      <c r="H77" s="10" t="n">
        <v>40.95</v>
      </c>
      <c r="I77" s="10" t="n">
        <v>39.95</v>
      </c>
      <c r="J77" s="10" t="n">
        <v>36</v>
      </c>
      <c r="K77" s="10" t="n">
        <v>44.5</v>
      </c>
      <c r="L77" s="10" t="n">
        <v>46.25</v>
      </c>
      <c r="M77" s="10" t="n">
        <v>43.5</v>
      </c>
      <c r="N77" s="10" t="n">
        <v>37</v>
      </c>
      <c r="O77" s="10" t="n">
        <v>44</v>
      </c>
      <c r="P77" s="10" t="n">
        <v>52.5</v>
      </c>
    </row>
    <row r="78" customFormat="false" ht="15" hidden="false" customHeight="false" outlineLevel="0" collapsed="false">
      <c r="A78" s="12" t="n">
        <v>46282</v>
      </c>
      <c r="B78" s="10" t="n">
        <v>33</v>
      </c>
      <c r="C78" s="10" t="n">
        <v>37.25</v>
      </c>
      <c r="D78" s="10" t="n">
        <v>46</v>
      </c>
      <c r="E78" s="10" t="n">
        <v>51</v>
      </c>
      <c r="F78" s="10" t="n">
        <v>49.75</v>
      </c>
      <c r="G78" s="10" t="n">
        <v>36.9</v>
      </c>
      <c r="H78" s="10" t="n">
        <v>40.95</v>
      </c>
      <c r="I78" s="10" t="n">
        <v>39.95</v>
      </c>
      <c r="J78" s="10" t="n">
        <v>36</v>
      </c>
      <c r="K78" s="10" t="n">
        <v>44.5</v>
      </c>
      <c r="L78" s="10" t="n">
        <v>46.25</v>
      </c>
      <c r="M78" s="10" t="n">
        <v>43.5</v>
      </c>
      <c r="N78" s="10" t="n">
        <v>37</v>
      </c>
      <c r="O78" s="10" t="n">
        <v>44</v>
      </c>
      <c r="P78" s="10" t="n">
        <v>52.5</v>
      </c>
    </row>
    <row r="79" customFormat="false" ht="15" hidden="false" customHeight="false" outlineLevel="0" collapsed="false">
      <c r="A79" s="12" t="n">
        <v>46283</v>
      </c>
      <c r="B79" s="10" t="n">
        <v>33</v>
      </c>
      <c r="C79" s="10" t="n">
        <v>37.25</v>
      </c>
      <c r="D79" s="10" t="n">
        <v>46</v>
      </c>
      <c r="E79" s="10" t="n">
        <v>51</v>
      </c>
      <c r="F79" s="10" t="n">
        <v>49.75</v>
      </c>
      <c r="G79" s="10" t="n">
        <v>36.9</v>
      </c>
      <c r="H79" s="10" t="n">
        <v>40.95</v>
      </c>
      <c r="I79" s="10" t="n">
        <v>39.95</v>
      </c>
      <c r="J79" s="10" t="n">
        <v>36</v>
      </c>
      <c r="K79" s="10" t="n">
        <v>44.5</v>
      </c>
      <c r="L79" s="10" t="n">
        <v>46.25</v>
      </c>
      <c r="M79" s="10" t="n">
        <v>43.5</v>
      </c>
      <c r="N79" s="10" t="n">
        <v>37</v>
      </c>
      <c r="O79" s="10" t="n">
        <v>44</v>
      </c>
      <c r="P79" s="10" t="n">
        <v>52.5</v>
      </c>
    </row>
    <row r="80" customFormat="false" ht="15" hidden="false" customHeight="false" outlineLevel="0" collapsed="false">
      <c r="A80" s="12" t="n">
        <v>46286</v>
      </c>
      <c r="B80" s="10" t="n">
        <v>33</v>
      </c>
      <c r="C80" s="10" t="n">
        <v>37.25</v>
      </c>
      <c r="D80" s="10" t="n">
        <v>46</v>
      </c>
      <c r="E80" s="10" t="n">
        <v>51</v>
      </c>
      <c r="F80" s="10" t="n">
        <v>49.75</v>
      </c>
      <c r="G80" s="10" t="n">
        <v>36.9</v>
      </c>
      <c r="H80" s="10" t="n">
        <v>40.95</v>
      </c>
      <c r="I80" s="10" t="n">
        <v>39.95</v>
      </c>
      <c r="J80" s="10" t="n">
        <v>36</v>
      </c>
      <c r="K80" s="10" t="n">
        <v>44.5</v>
      </c>
      <c r="L80" s="10" t="n">
        <v>46.25</v>
      </c>
      <c r="M80" s="10" t="n">
        <v>43.5</v>
      </c>
      <c r="N80" s="10" t="n">
        <v>37</v>
      </c>
      <c r="O80" s="10" t="n">
        <v>44</v>
      </c>
      <c r="P80" s="10" t="n">
        <v>52.5</v>
      </c>
    </row>
    <row r="81" customFormat="false" ht="15" hidden="false" customHeight="false" outlineLevel="0" collapsed="false">
      <c r="A81" s="12" t="n">
        <v>46287</v>
      </c>
      <c r="B81" s="10" t="n">
        <v>31.5</v>
      </c>
      <c r="C81" s="10" t="n">
        <v>36.5</v>
      </c>
      <c r="D81" s="10" t="n">
        <v>44.5</v>
      </c>
      <c r="E81" s="10" t="n">
        <v>51</v>
      </c>
      <c r="F81" s="10" t="n">
        <v>49.75</v>
      </c>
      <c r="G81" s="10" t="n">
        <v>36.95</v>
      </c>
      <c r="H81" s="10" t="n">
        <v>41</v>
      </c>
      <c r="I81" s="10" t="n">
        <v>40</v>
      </c>
      <c r="J81" s="10" t="n">
        <v>36</v>
      </c>
      <c r="K81" s="10" t="n">
        <v>44.5</v>
      </c>
      <c r="L81" s="10" t="n">
        <v>46.25</v>
      </c>
      <c r="M81" s="10" t="n">
        <v>43.5</v>
      </c>
      <c r="N81" s="10" t="n">
        <v>37</v>
      </c>
      <c r="O81" s="10" t="n">
        <v>44</v>
      </c>
      <c r="P81" s="10" t="n">
        <v>52.5</v>
      </c>
    </row>
    <row r="82" customFormat="false" ht="15" hidden="false" customHeight="false" outlineLevel="0" collapsed="false">
      <c r="A82" s="12" t="n">
        <v>46288</v>
      </c>
      <c r="B82" s="10" t="n">
        <v>31.5</v>
      </c>
      <c r="C82" s="10" t="n">
        <v>36.75</v>
      </c>
      <c r="D82" s="10" t="n">
        <v>44.75</v>
      </c>
      <c r="E82" s="10" t="n">
        <v>50.7</v>
      </c>
      <c r="F82" s="10" t="n">
        <v>49.5</v>
      </c>
      <c r="G82" s="10" t="n">
        <v>36.7</v>
      </c>
      <c r="H82" s="10" t="n">
        <v>41.2</v>
      </c>
      <c r="I82" s="10" t="n">
        <v>40.2</v>
      </c>
      <c r="J82" s="10" t="n">
        <v>36.2</v>
      </c>
      <c r="K82" s="10" t="n">
        <v>44.7</v>
      </c>
      <c r="L82" s="10" t="n">
        <v>46.45</v>
      </c>
      <c r="M82" s="10" t="n">
        <v>43.7</v>
      </c>
      <c r="N82" s="10" t="n">
        <v>37.25</v>
      </c>
      <c r="O82" s="10" t="n">
        <v>44.25</v>
      </c>
      <c r="P82" s="10" t="n">
        <v>52.75</v>
      </c>
    </row>
    <row r="83" customFormat="false" ht="15" hidden="false" customHeight="false" outlineLevel="0" collapsed="false">
      <c r="A83" s="12" t="n">
        <v>46289</v>
      </c>
      <c r="B83" s="10" t="n">
        <v>33</v>
      </c>
      <c r="C83" s="10" t="n">
        <v>36.75</v>
      </c>
      <c r="D83" s="10" t="n">
        <v>44.75</v>
      </c>
      <c r="E83" s="10" t="n">
        <v>50.7</v>
      </c>
      <c r="F83" s="10" t="n">
        <v>49.5</v>
      </c>
      <c r="G83" s="10" t="n">
        <v>36.7</v>
      </c>
      <c r="H83" s="10" t="n">
        <v>41.2</v>
      </c>
      <c r="I83" s="10" t="n">
        <v>40.2</v>
      </c>
      <c r="J83" s="10" t="n">
        <v>36.2</v>
      </c>
      <c r="K83" s="10" t="n">
        <v>44.7</v>
      </c>
      <c r="L83" s="10" t="n">
        <v>46.45</v>
      </c>
      <c r="M83" s="10" t="n">
        <v>43.7</v>
      </c>
      <c r="N83" s="10" t="n">
        <v>37.25</v>
      </c>
      <c r="O83" s="10" t="n">
        <v>44.25</v>
      </c>
      <c r="P83" s="10" t="n">
        <v>52.75</v>
      </c>
    </row>
    <row r="84" customFormat="false" ht="15" hidden="false" customHeight="false" outlineLevel="0" collapsed="false">
      <c r="A84" s="12" t="n">
        <v>46290</v>
      </c>
      <c r="B84" s="10" t="n">
        <v>33</v>
      </c>
      <c r="C84" s="10" t="n">
        <v>36.75</v>
      </c>
      <c r="D84" s="10" t="n">
        <v>44.75</v>
      </c>
      <c r="E84" s="10" t="n">
        <v>50.7</v>
      </c>
      <c r="F84" s="10" t="n">
        <v>49.5</v>
      </c>
      <c r="G84" s="10" t="n">
        <v>36.7</v>
      </c>
      <c r="H84" s="10" t="n">
        <v>41.2</v>
      </c>
      <c r="I84" s="10" t="n">
        <v>40.2</v>
      </c>
      <c r="J84" s="10" t="n">
        <v>36.2</v>
      </c>
      <c r="K84" s="10" t="n">
        <v>44.7</v>
      </c>
      <c r="L84" s="10" t="n">
        <v>46.45</v>
      </c>
      <c r="M84" s="10" t="n">
        <v>43.7</v>
      </c>
      <c r="N84" s="10" t="n">
        <v>37.25</v>
      </c>
      <c r="O84" s="10" t="n">
        <v>44.25</v>
      </c>
      <c r="P84" s="10" t="n">
        <v>52.75</v>
      </c>
    </row>
    <row r="85" customFormat="false" ht="15" hidden="false" customHeight="false" outlineLevel="0" collapsed="false">
      <c r="A85" s="12" t="n">
        <v>46293</v>
      </c>
      <c r="B85" s="10" t="n">
        <v>34</v>
      </c>
      <c r="C85" s="10" t="n">
        <v>38</v>
      </c>
      <c r="D85" s="10" t="n">
        <v>45.5</v>
      </c>
      <c r="E85" s="10" t="n">
        <v>50.7</v>
      </c>
      <c r="F85" s="10" t="n">
        <v>49.5</v>
      </c>
      <c r="G85" s="10" t="n">
        <v>36.7</v>
      </c>
      <c r="H85" s="10" t="n">
        <v>41.2</v>
      </c>
      <c r="I85" s="10" t="n">
        <v>40.2</v>
      </c>
      <c r="J85" s="10" t="n">
        <v>36.2</v>
      </c>
      <c r="K85" s="10" t="n">
        <v>44.7</v>
      </c>
      <c r="L85" s="10" t="n">
        <v>46.45</v>
      </c>
      <c r="M85" s="10" t="n">
        <v>43.7</v>
      </c>
      <c r="N85" s="10" t="n">
        <v>37.75</v>
      </c>
      <c r="O85" s="10" t="n">
        <v>44.75</v>
      </c>
      <c r="P85" s="10" t="n">
        <v>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4" min="1" style="0" width="13"/>
  </cols>
  <sheetData>
    <row r="1" customFormat="false" ht="45" hidden="false" customHeight="true" outlineLevel="0" collapsed="false">
      <c r="A1" s="4" t="s">
        <v>134</v>
      </c>
      <c r="B1" s="4" t="s">
        <v>135</v>
      </c>
      <c r="C1" s="4" t="s">
        <v>136</v>
      </c>
      <c r="D1" s="4" t="s">
        <v>137</v>
      </c>
      <c r="E1" s="4" t="s">
        <v>138</v>
      </c>
      <c r="F1" s="4" t="s">
        <v>139</v>
      </c>
      <c r="G1" s="4" t="s">
        <v>29</v>
      </c>
      <c r="H1" s="4" t="s">
        <v>27</v>
      </c>
      <c r="I1" s="4" t="s">
        <v>101</v>
      </c>
      <c r="J1" s="4" t="s">
        <v>140</v>
      </c>
      <c r="K1" s="4" t="s">
        <v>141</v>
      </c>
      <c r="L1" s="4" t="s">
        <v>142</v>
      </c>
      <c r="M1" s="4" t="s">
        <v>102</v>
      </c>
      <c r="N1" s="4" t="s">
        <v>143</v>
      </c>
    </row>
    <row r="2" customFormat="false" ht="15" hidden="false" customHeight="false" outlineLevel="0" collapsed="false">
      <c r="A2" s="5" t="s">
        <v>144</v>
      </c>
      <c r="B2" s="5" t="n">
        <v>1</v>
      </c>
      <c r="C2" s="5" t="s">
        <v>145</v>
      </c>
      <c r="D2" s="6" t="n">
        <v>-1.9</v>
      </c>
      <c r="E2" s="6" t="n">
        <v>1.1</v>
      </c>
      <c r="F2" s="5" t="n">
        <v>9991</v>
      </c>
      <c r="G2" s="5" t="n">
        <v>1426</v>
      </c>
      <c r="H2" s="5" t="n">
        <v>1605</v>
      </c>
      <c r="I2" s="5" t="n">
        <v>843</v>
      </c>
      <c r="J2" s="5" t="n">
        <v>1198</v>
      </c>
      <c r="K2" s="5" t="n">
        <v>1586</v>
      </c>
      <c r="L2" s="5" t="n">
        <v>1987</v>
      </c>
      <c r="M2" s="5" t="n">
        <v>2395</v>
      </c>
      <c r="N2" s="5" t="n">
        <v>606</v>
      </c>
    </row>
    <row r="3" customFormat="false" ht="15" hidden="false" customHeight="false" outlineLevel="0" collapsed="false">
      <c r="A3" s="5" t="s">
        <v>146</v>
      </c>
      <c r="B3" s="5" t="n">
        <v>2</v>
      </c>
      <c r="C3" s="5" t="s">
        <v>145</v>
      </c>
      <c r="D3" s="6" t="n">
        <v>-2.7</v>
      </c>
      <c r="E3" s="6" t="n">
        <v>1.5</v>
      </c>
      <c r="F3" s="5" t="n">
        <v>9961</v>
      </c>
      <c r="G3" s="5" t="n">
        <v>1347</v>
      </c>
      <c r="H3" s="5" t="n">
        <v>1526</v>
      </c>
      <c r="I3" s="5" t="n">
        <v>769</v>
      </c>
      <c r="J3" s="5" t="n">
        <v>1143</v>
      </c>
      <c r="K3" s="5" t="n">
        <v>1516</v>
      </c>
      <c r="L3" s="5" t="n">
        <v>1934</v>
      </c>
      <c r="M3" s="5" t="n">
        <v>2248</v>
      </c>
      <c r="N3" s="5" t="n">
        <v>598</v>
      </c>
    </row>
    <row r="4" customFormat="false" ht="15" hidden="false" customHeight="false" outlineLevel="0" collapsed="false">
      <c r="A4" s="5" t="s">
        <v>147</v>
      </c>
      <c r="B4" s="5" t="n">
        <v>3</v>
      </c>
      <c r="C4" s="5" t="s">
        <v>145</v>
      </c>
      <c r="D4" s="6" t="n">
        <v>-3.9</v>
      </c>
      <c r="E4" s="6" t="n">
        <v>3.9</v>
      </c>
      <c r="F4" s="5" t="n">
        <v>9921</v>
      </c>
      <c r="G4" s="5" t="n">
        <v>2046</v>
      </c>
      <c r="H4" s="5" t="n">
        <v>2024</v>
      </c>
      <c r="I4" s="5" t="n">
        <v>856</v>
      </c>
      <c r="J4" s="5" t="n">
        <v>1344</v>
      </c>
      <c r="K4" s="5" t="n">
        <v>2014</v>
      </c>
      <c r="L4" s="5" t="n">
        <v>2732</v>
      </c>
      <c r="M4" s="5" t="n">
        <v>3229</v>
      </c>
      <c r="N4" s="5" t="n">
        <v>922</v>
      </c>
    </row>
    <row r="5" customFormat="false" ht="15" hidden="false" customHeight="false" outlineLevel="0" collapsed="false">
      <c r="A5" s="5" t="s">
        <v>148</v>
      </c>
      <c r="B5" s="5" t="n">
        <v>4</v>
      </c>
      <c r="C5" s="5" t="s">
        <v>145</v>
      </c>
      <c r="D5" s="6" t="n">
        <v>-10.2</v>
      </c>
      <c r="E5" s="6" t="n">
        <v>3.9</v>
      </c>
      <c r="F5" s="5" t="n">
        <v>9687</v>
      </c>
      <c r="G5" s="5" t="n">
        <v>1822</v>
      </c>
      <c r="H5" s="5" t="n">
        <v>2037</v>
      </c>
      <c r="I5" s="5" t="n">
        <v>951</v>
      </c>
      <c r="J5" s="5" t="n">
        <v>1419</v>
      </c>
      <c r="K5" s="5" t="n">
        <v>1933</v>
      </c>
      <c r="L5" s="5" t="n">
        <v>2545</v>
      </c>
      <c r="M5" s="5" t="n">
        <v>3316</v>
      </c>
      <c r="N5" s="5" t="n">
        <v>920</v>
      </c>
    </row>
    <row r="6" customFormat="false" ht="15" hidden="false" customHeight="false" outlineLevel="0" collapsed="false">
      <c r="A6" s="5" t="s">
        <v>149</v>
      </c>
      <c r="B6" s="5" t="n">
        <v>5</v>
      </c>
      <c r="C6" s="5" t="s">
        <v>145</v>
      </c>
      <c r="D6" s="6" t="n">
        <v>-9.1</v>
      </c>
      <c r="E6" s="6" t="n">
        <v>2.6</v>
      </c>
      <c r="F6" s="5" t="n">
        <v>9747</v>
      </c>
      <c r="G6" s="5" t="n">
        <v>1250</v>
      </c>
      <c r="H6" s="5" t="n">
        <v>1543</v>
      </c>
      <c r="I6" s="5" t="n">
        <v>666</v>
      </c>
      <c r="J6" s="5" t="n">
        <v>1055</v>
      </c>
      <c r="K6" s="5" t="n">
        <v>1510</v>
      </c>
      <c r="L6" s="5" t="n">
        <v>2010</v>
      </c>
      <c r="M6" s="5" t="n">
        <v>2472</v>
      </c>
      <c r="N6" s="5" t="n">
        <v>721</v>
      </c>
    </row>
    <row r="7" customFormat="false" ht="15" hidden="false" customHeight="false" outlineLevel="0" collapsed="false">
      <c r="A7" s="5" t="s">
        <v>150</v>
      </c>
      <c r="B7" s="5" t="n">
        <v>6</v>
      </c>
      <c r="C7" s="5" t="s">
        <v>145</v>
      </c>
      <c r="D7" s="6" t="n">
        <v>-6.3</v>
      </c>
      <c r="E7" s="6" t="n">
        <v>2.6</v>
      </c>
      <c r="F7" s="5" t="n">
        <v>9852</v>
      </c>
      <c r="G7" s="5" t="n">
        <v>1300</v>
      </c>
      <c r="H7" s="5" t="n">
        <v>1438</v>
      </c>
      <c r="I7" s="5" t="n">
        <v>472</v>
      </c>
      <c r="J7" s="5" t="n">
        <v>862</v>
      </c>
      <c r="K7" s="5" t="n">
        <v>1368</v>
      </c>
      <c r="L7" s="5" t="n">
        <v>1946</v>
      </c>
      <c r="M7" s="5" t="n">
        <v>2546</v>
      </c>
      <c r="N7" s="5" t="n">
        <v>825</v>
      </c>
    </row>
    <row r="8" customFormat="false" ht="15" hidden="false" customHeight="false" outlineLevel="0" collapsed="false">
      <c r="A8" s="5" t="s">
        <v>151</v>
      </c>
      <c r="B8" s="5" t="n">
        <v>7</v>
      </c>
      <c r="C8" s="5" t="s">
        <v>145</v>
      </c>
      <c r="D8" s="6" t="n">
        <v>-4</v>
      </c>
      <c r="E8" s="6" t="n">
        <v>2.9</v>
      </c>
      <c r="F8" s="5" t="n">
        <v>9951</v>
      </c>
      <c r="G8" s="5" t="n">
        <v>1485</v>
      </c>
      <c r="H8" s="5" t="n">
        <v>1434</v>
      </c>
      <c r="I8" s="5" t="n">
        <v>444</v>
      </c>
      <c r="J8" s="5" t="n">
        <v>891</v>
      </c>
      <c r="K8" s="5" t="n">
        <v>1403</v>
      </c>
      <c r="L8" s="5" t="n">
        <v>1904</v>
      </c>
      <c r="M8" s="5" t="n">
        <v>2456</v>
      </c>
      <c r="N8" s="5" t="n">
        <v>800</v>
      </c>
    </row>
    <row r="9" customFormat="false" ht="15" hidden="false" customHeight="false" outlineLevel="0" collapsed="false">
      <c r="A9" s="5" t="s">
        <v>152</v>
      </c>
      <c r="B9" s="5" t="n">
        <v>8</v>
      </c>
      <c r="C9" s="5" t="s">
        <v>145</v>
      </c>
      <c r="D9" s="6" t="n">
        <v>-3.4</v>
      </c>
      <c r="E9" s="6" t="n">
        <v>3.6</v>
      </c>
      <c r="F9" s="5" t="n">
        <v>9971</v>
      </c>
      <c r="G9" s="5" t="n">
        <v>1837</v>
      </c>
      <c r="H9" s="5" t="n">
        <v>1632</v>
      </c>
      <c r="I9" s="5" t="n">
        <v>476</v>
      </c>
      <c r="J9" s="5" t="n">
        <v>939</v>
      </c>
      <c r="K9" s="5" t="n">
        <v>1575</v>
      </c>
      <c r="L9" s="5" t="n">
        <v>2290</v>
      </c>
      <c r="M9" s="5" t="n">
        <v>2900</v>
      </c>
      <c r="N9" s="5" t="n">
        <v>927</v>
      </c>
    </row>
    <row r="10" customFormat="false" ht="15" hidden="false" customHeight="false" outlineLevel="0" collapsed="false">
      <c r="A10" s="5" t="s">
        <v>153</v>
      </c>
      <c r="B10" s="5" t="n">
        <v>9</v>
      </c>
      <c r="C10" s="5" t="s">
        <v>145</v>
      </c>
      <c r="D10" s="6" t="n">
        <v>-4.3</v>
      </c>
      <c r="E10" s="6" t="n">
        <v>3.3</v>
      </c>
      <c r="F10" s="5" t="n">
        <v>10146</v>
      </c>
      <c r="G10" s="5" t="n">
        <v>1867</v>
      </c>
      <c r="H10" s="5" t="n">
        <v>1452</v>
      </c>
      <c r="I10" s="5" t="n">
        <v>328</v>
      </c>
      <c r="J10" s="5" t="n">
        <v>789</v>
      </c>
      <c r="K10" s="5" t="n">
        <v>1434</v>
      </c>
      <c r="L10" s="5" t="n">
        <v>2074</v>
      </c>
      <c r="M10" s="5" t="n">
        <v>2636</v>
      </c>
      <c r="N10" s="5" t="n">
        <v>896</v>
      </c>
    </row>
    <row r="11" customFormat="false" ht="15" hidden="false" customHeight="false" outlineLevel="0" collapsed="false">
      <c r="A11" s="5" t="s">
        <v>154</v>
      </c>
      <c r="B11" s="5" t="n">
        <v>10</v>
      </c>
      <c r="C11" s="5" t="s">
        <v>155</v>
      </c>
      <c r="D11" s="6" t="n">
        <v>-4.4</v>
      </c>
      <c r="E11" s="6" t="n">
        <v>3.8</v>
      </c>
      <c r="F11" s="5" t="n">
        <v>10170</v>
      </c>
      <c r="G11" s="5" t="n">
        <v>1991</v>
      </c>
      <c r="H11" s="5" t="n">
        <v>1498</v>
      </c>
      <c r="I11" s="5" t="n">
        <v>458</v>
      </c>
      <c r="J11" s="5" t="n">
        <v>939</v>
      </c>
      <c r="K11" s="5" t="n">
        <v>1496</v>
      </c>
      <c r="L11" s="5" t="n">
        <v>2051</v>
      </c>
      <c r="M11" s="5" t="n">
        <v>2559</v>
      </c>
      <c r="N11" s="5" t="n">
        <v>806</v>
      </c>
    </row>
    <row r="12" customFormat="false" ht="15" hidden="false" customHeight="false" outlineLevel="0" collapsed="false">
      <c r="A12" s="5" t="s">
        <v>156</v>
      </c>
      <c r="B12" s="5" t="n">
        <v>11</v>
      </c>
      <c r="C12" s="5" t="s">
        <v>155</v>
      </c>
      <c r="D12" s="6" t="n">
        <v>-2.9</v>
      </c>
      <c r="E12" s="6" t="n">
        <v>5</v>
      </c>
      <c r="F12" s="5" t="n">
        <v>10155</v>
      </c>
      <c r="G12" s="5" t="n">
        <v>2022</v>
      </c>
      <c r="H12" s="5" t="n">
        <v>1543</v>
      </c>
      <c r="I12" s="5" t="n">
        <v>531</v>
      </c>
      <c r="J12" s="5" t="n">
        <v>983</v>
      </c>
      <c r="K12" s="5" t="n">
        <v>1532</v>
      </c>
      <c r="L12" s="5" t="n">
        <v>2082</v>
      </c>
      <c r="M12" s="5" t="n">
        <v>2602</v>
      </c>
      <c r="N12" s="5" t="n">
        <v>798</v>
      </c>
    </row>
    <row r="13" customFormat="false" ht="15" hidden="false" customHeight="false" outlineLevel="0" collapsed="false">
      <c r="A13" s="5" t="s">
        <v>157</v>
      </c>
      <c r="B13" s="5" t="n">
        <v>12</v>
      </c>
      <c r="C13" s="5" t="s">
        <v>155</v>
      </c>
      <c r="D13" s="6" t="n">
        <v>-0.8</v>
      </c>
      <c r="E13" s="6" t="n">
        <v>5.9</v>
      </c>
      <c r="F13" s="5" t="n">
        <v>10144</v>
      </c>
      <c r="G13" s="5" t="n">
        <v>2059</v>
      </c>
      <c r="H13" s="5" t="n">
        <v>1548</v>
      </c>
      <c r="I13" s="5" t="n">
        <v>468</v>
      </c>
      <c r="J13" s="5" t="n">
        <v>990</v>
      </c>
      <c r="K13" s="5" t="n">
        <v>1600</v>
      </c>
      <c r="L13" s="5" t="n">
        <v>2121</v>
      </c>
      <c r="M13" s="5" t="n">
        <v>2573</v>
      </c>
      <c r="N13" s="5" t="n">
        <v>817</v>
      </c>
    </row>
    <row r="14" customFormat="false" ht="15" hidden="false" customHeight="false" outlineLevel="0" collapsed="false">
      <c r="A14" s="5" t="s">
        <v>158</v>
      </c>
      <c r="B14" s="5" t="n">
        <v>13</v>
      </c>
      <c r="C14" s="5" t="s">
        <v>155</v>
      </c>
      <c r="D14" s="6" t="n">
        <v>-0.1</v>
      </c>
      <c r="E14" s="6" t="n">
        <v>6</v>
      </c>
      <c r="F14" s="5" t="n">
        <v>10150</v>
      </c>
      <c r="G14" s="5" t="n">
        <v>2044</v>
      </c>
      <c r="H14" s="5" t="n">
        <v>1522</v>
      </c>
      <c r="I14" s="5" t="n">
        <v>411</v>
      </c>
      <c r="J14" s="5" t="n">
        <v>961</v>
      </c>
      <c r="K14" s="5" t="n">
        <v>1527</v>
      </c>
      <c r="L14" s="5" t="n">
        <v>2120</v>
      </c>
      <c r="M14" s="5" t="n">
        <v>2598</v>
      </c>
      <c r="N14" s="5" t="n">
        <v>836</v>
      </c>
    </row>
    <row r="15" customFormat="false" ht="15" hidden="false" customHeight="false" outlineLevel="0" collapsed="false">
      <c r="A15" s="5" t="s">
        <v>159</v>
      </c>
      <c r="B15" s="5" t="n">
        <v>14</v>
      </c>
      <c r="C15" s="5" t="s">
        <v>155</v>
      </c>
      <c r="D15" s="6" t="n">
        <v>0.6</v>
      </c>
      <c r="E15" s="6" t="n">
        <v>6.3</v>
      </c>
      <c r="F15" s="5" t="n">
        <v>10153</v>
      </c>
      <c r="G15" s="5" t="n">
        <v>2089</v>
      </c>
      <c r="H15" s="5" t="n">
        <v>1578</v>
      </c>
      <c r="I15" s="5" t="n">
        <v>502</v>
      </c>
      <c r="J15" s="5" t="n">
        <v>1002</v>
      </c>
      <c r="K15" s="5" t="n">
        <v>1604</v>
      </c>
      <c r="L15" s="5" t="n">
        <v>2150</v>
      </c>
      <c r="M15" s="5" t="n">
        <v>2632</v>
      </c>
      <c r="N15" s="5" t="n">
        <v>812</v>
      </c>
    </row>
    <row r="16" customFormat="false" ht="15" hidden="false" customHeight="false" outlineLevel="0" collapsed="false">
      <c r="A16" s="5" t="s">
        <v>160</v>
      </c>
      <c r="B16" s="5" t="n">
        <v>15</v>
      </c>
      <c r="C16" s="5" t="s">
        <v>155</v>
      </c>
      <c r="D16" s="6" t="n">
        <v>1</v>
      </c>
      <c r="E16" s="6" t="n">
        <v>6.2</v>
      </c>
      <c r="F16" s="5" t="n">
        <v>10163</v>
      </c>
      <c r="G16" s="5" t="n">
        <v>2057</v>
      </c>
      <c r="H16" s="5" t="n">
        <v>1533</v>
      </c>
      <c r="I16" s="5" t="n">
        <v>424</v>
      </c>
      <c r="J16" s="5" t="n">
        <v>949</v>
      </c>
      <c r="K16" s="5" t="n">
        <v>1546</v>
      </c>
      <c r="L16" s="5" t="n">
        <v>2131</v>
      </c>
      <c r="M16" s="5" t="n">
        <v>2585</v>
      </c>
      <c r="N16" s="5" t="n">
        <v>835</v>
      </c>
    </row>
    <row r="17" customFormat="false" ht="15" hidden="false" customHeight="false" outlineLevel="0" collapsed="false">
      <c r="A17" s="5" t="s">
        <v>161</v>
      </c>
      <c r="B17" s="5" t="n">
        <v>16</v>
      </c>
      <c r="C17" s="5" t="s">
        <v>155</v>
      </c>
      <c r="D17" s="6" t="n">
        <v>1.1</v>
      </c>
      <c r="E17" s="6" t="n">
        <v>5.5</v>
      </c>
      <c r="F17" s="5" t="n">
        <v>10176</v>
      </c>
      <c r="G17" s="5" t="n">
        <v>2073</v>
      </c>
      <c r="H17" s="5" t="n">
        <v>1521</v>
      </c>
      <c r="I17" s="5" t="n">
        <v>423</v>
      </c>
      <c r="J17" s="5" t="n">
        <v>907</v>
      </c>
      <c r="K17" s="5" t="n">
        <v>1529</v>
      </c>
      <c r="L17" s="5" t="n">
        <v>2130</v>
      </c>
      <c r="M17" s="5" t="n">
        <v>2609</v>
      </c>
      <c r="N17" s="5" t="n">
        <v>845</v>
      </c>
    </row>
    <row r="18" customFormat="false" ht="15" hidden="false" customHeight="false" outlineLevel="0" collapsed="false">
      <c r="A18" s="5" t="s">
        <v>162</v>
      </c>
      <c r="B18" s="5" t="n">
        <v>17</v>
      </c>
      <c r="C18" s="5" t="s">
        <v>155</v>
      </c>
      <c r="D18" s="6" t="n">
        <v>0.8</v>
      </c>
      <c r="E18" s="6" t="n">
        <v>5.6</v>
      </c>
      <c r="F18" s="5" t="n">
        <v>10202</v>
      </c>
      <c r="G18" s="5" t="n">
        <v>2055</v>
      </c>
      <c r="H18" s="5" t="n">
        <v>1506</v>
      </c>
      <c r="I18" s="5" t="n">
        <v>422</v>
      </c>
      <c r="J18" s="5" t="n">
        <v>927</v>
      </c>
      <c r="K18" s="5" t="n">
        <v>1531</v>
      </c>
      <c r="L18" s="5" t="n">
        <v>2090</v>
      </c>
      <c r="M18" s="5" t="n">
        <v>2598</v>
      </c>
      <c r="N18" s="5" t="n">
        <v>833</v>
      </c>
    </row>
    <row r="19" customFormat="false" ht="15" hidden="false" customHeight="false" outlineLevel="0" collapsed="false">
      <c r="A19" s="5" t="s">
        <v>163</v>
      </c>
      <c r="B19" s="5" t="n">
        <v>18</v>
      </c>
      <c r="C19" s="5" t="s">
        <v>155</v>
      </c>
      <c r="D19" s="6" t="n">
        <v>0.5</v>
      </c>
      <c r="E19" s="6" t="n">
        <v>5.8</v>
      </c>
      <c r="F19" s="5" t="n">
        <v>10217</v>
      </c>
      <c r="G19" s="5" t="n">
        <v>2064</v>
      </c>
      <c r="H19" s="5" t="n">
        <v>1500</v>
      </c>
      <c r="I19" s="5" t="n">
        <v>416</v>
      </c>
      <c r="J19" s="5" t="n">
        <v>944</v>
      </c>
      <c r="K19" s="5" t="n">
        <v>1510</v>
      </c>
      <c r="L19" s="5" t="n">
        <v>2077</v>
      </c>
      <c r="M19" s="5" t="n">
        <v>2573</v>
      </c>
      <c r="N19" s="5" t="n">
        <v>831</v>
      </c>
    </row>
    <row r="20" customFormat="false" ht="15" hidden="false" customHeight="false" outlineLevel="0" collapsed="false">
      <c r="A20" s="5" t="s">
        <v>164</v>
      </c>
      <c r="B20" s="5" t="n">
        <v>19</v>
      </c>
      <c r="C20" s="5" t="s">
        <v>155</v>
      </c>
      <c r="D20" s="6" t="n">
        <v>0.5</v>
      </c>
      <c r="E20" s="6" t="n">
        <v>6.2</v>
      </c>
      <c r="F20" s="5" t="n">
        <v>10232</v>
      </c>
      <c r="G20" s="5" t="n">
        <v>2120</v>
      </c>
      <c r="H20" s="5" t="n">
        <v>1524</v>
      </c>
      <c r="I20" s="5" t="n">
        <v>499</v>
      </c>
      <c r="J20" s="5" t="n">
        <v>991</v>
      </c>
      <c r="K20" s="5" t="n">
        <v>1531</v>
      </c>
      <c r="L20" s="5" t="n">
        <v>2072</v>
      </c>
      <c r="M20" s="5" t="n">
        <v>2543</v>
      </c>
      <c r="N20" s="5" t="n">
        <v>800</v>
      </c>
    </row>
    <row r="21" customFormat="false" ht="15" hidden="false" customHeight="false" outlineLevel="0" collapsed="false">
      <c r="A21" s="5" t="s">
        <v>165</v>
      </c>
      <c r="B21" s="5" t="n">
        <v>20</v>
      </c>
      <c r="C21" s="5" t="s">
        <v>155</v>
      </c>
      <c r="D21" s="6" t="n">
        <v>0.8</v>
      </c>
      <c r="E21" s="6" t="n">
        <v>6.4</v>
      </c>
      <c r="F21" s="5" t="n">
        <v>10258</v>
      </c>
      <c r="G21" s="5" t="n">
        <v>2142</v>
      </c>
      <c r="H21" s="5" t="n">
        <v>1524</v>
      </c>
      <c r="I21" s="5" t="n">
        <v>437</v>
      </c>
      <c r="J21" s="5" t="n">
        <v>937</v>
      </c>
      <c r="K21" s="5" t="n">
        <v>1522</v>
      </c>
      <c r="L21" s="5" t="n">
        <v>2113</v>
      </c>
      <c r="M21" s="5" t="n">
        <v>2656</v>
      </c>
      <c r="N21" s="5" t="n">
        <v>842</v>
      </c>
    </row>
    <row r="22" customFormat="false" ht="15" hidden="false" customHeight="false" outlineLevel="0" collapsed="false">
      <c r="A22" s="5" t="s">
        <v>166</v>
      </c>
      <c r="B22" s="5" t="n">
        <v>21</v>
      </c>
      <c r="C22" s="5" t="s">
        <v>155</v>
      </c>
      <c r="D22" s="6" t="n">
        <v>0.7</v>
      </c>
      <c r="E22" s="6" t="n">
        <v>6.6</v>
      </c>
      <c r="F22" s="5" t="n">
        <v>10261</v>
      </c>
      <c r="G22" s="5" t="n">
        <v>2072</v>
      </c>
      <c r="H22" s="5" t="n">
        <v>1483</v>
      </c>
      <c r="I22" s="5" t="n">
        <v>446</v>
      </c>
      <c r="J22" s="5" t="n">
        <v>905</v>
      </c>
      <c r="K22" s="5" t="n">
        <v>1466</v>
      </c>
      <c r="L22" s="5" t="n">
        <v>2049</v>
      </c>
      <c r="M22" s="5" t="n">
        <v>2568</v>
      </c>
      <c r="N22" s="5" t="n">
        <v>821</v>
      </c>
    </row>
    <row r="23" customFormat="false" ht="15" hidden="false" customHeight="false" outlineLevel="0" collapsed="false">
      <c r="A23" s="5" t="s">
        <v>167</v>
      </c>
      <c r="B23" s="5" t="n">
        <v>22</v>
      </c>
      <c r="C23" s="5" t="s">
        <v>155</v>
      </c>
      <c r="D23" s="6" t="n">
        <v>0.5</v>
      </c>
      <c r="E23" s="6" t="n">
        <v>6.4</v>
      </c>
      <c r="F23" s="5" t="n">
        <v>10305</v>
      </c>
      <c r="G23" s="5" t="n">
        <v>2148</v>
      </c>
      <c r="H23" s="5" t="n">
        <v>1537</v>
      </c>
      <c r="I23" s="5" t="n">
        <v>457</v>
      </c>
      <c r="J23" s="5" t="n">
        <v>976</v>
      </c>
      <c r="K23" s="5" t="n">
        <v>1544</v>
      </c>
      <c r="L23" s="5" t="n">
        <v>2115</v>
      </c>
      <c r="M23" s="5" t="n">
        <v>2574</v>
      </c>
      <c r="N23" s="5" t="n">
        <v>817</v>
      </c>
    </row>
    <row r="24" customFormat="false" ht="15" hidden="false" customHeight="false" outlineLevel="0" collapsed="false">
      <c r="A24" s="5" t="s">
        <v>168</v>
      </c>
      <c r="B24" s="5" t="n">
        <v>23</v>
      </c>
      <c r="C24" s="5" t="s">
        <v>155</v>
      </c>
      <c r="D24" s="6" t="n">
        <v>0.3</v>
      </c>
      <c r="E24" s="6" t="n">
        <v>6.5</v>
      </c>
      <c r="F24" s="5" t="n">
        <v>10322</v>
      </c>
      <c r="G24" s="5" t="n">
        <v>2162</v>
      </c>
      <c r="H24" s="5" t="n">
        <v>1554</v>
      </c>
      <c r="I24" s="5" t="n">
        <v>433</v>
      </c>
      <c r="J24" s="5" t="n">
        <v>952</v>
      </c>
      <c r="K24" s="5" t="n">
        <v>1586</v>
      </c>
      <c r="L24" s="5" t="n">
        <v>2145</v>
      </c>
      <c r="M24" s="5" t="n">
        <v>2641</v>
      </c>
      <c r="N24" s="5" t="n">
        <v>840</v>
      </c>
    </row>
    <row r="25" customFormat="false" ht="15" hidden="false" customHeight="false" outlineLevel="0" collapsed="false">
      <c r="A25" s="5" t="s">
        <v>169</v>
      </c>
      <c r="B25" s="5" t="n">
        <v>24</v>
      </c>
      <c r="C25" s="5" t="s">
        <v>155</v>
      </c>
      <c r="D25" s="6" t="n">
        <v>0.3</v>
      </c>
      <c r="E25" s="6" t="n">
        <v>6.2</v>
      </c>
      <c r="F25" s="5" t="n">
        <v>10334</v>
      </c>
      <c r="G25" s="5" t="n">
        <v>2098</v>
      </c>
      <c r="H25" s="5" t="n">
        <v>1508</v>
      </c>
      <c r="I25" s="5" t="n">
        <v>468</v>
      </c>
      <c r="J25" s="5" t="n">
        <v>976</v>
      </c>
      <c r="K25" s="5" t="n">
        <v>1515</v>
      </c>
      <c r="L25" s="5" t="n">
        <v>2072</v>
      </c>
      <c r="M25" s="5" t="n">
        <v>2520</v>
      </c>
      <c r="N25" s="5" t="n">
        <v>804</v>
      </c>
    </row>
    <row r="26" customFormat="false" ht="15" hidden="false" customHeight="false" outlineLevel="0" collapsed="false">
      <c r="A26" s="5" t="s">
        <v>170</v>
      </c>
      <c r="B26" s="5" t="n">
        <v>25</v>
      </c>
      <c r="C26" s="5" t="s">
        <v>155</v>
      </c>
      <c r="D26" s="6" t="n">
        <v>0.8</v>
      </c>
      <c r="E26" s="6" t="n">
        <v>6.5</v>
      </c>
      <c r="F26" s="5" t="n">
        <v>10353</v>
      </c>
      <c r="G26" s="5" t="n">
        <v>2137</v>
      </c>
      <c r="H26" s="5" t="n">
        <v>1507</v>
      </c>
      <c r="I26" s="5" t="n">
        <v>477</v>
      </c>
      <c r="J26" s="5" t="n">
        <v>957</v>
      </c>
      <c r="K26" s="5" t="n">
        <v>1486</v>
      </c>
      <c r="L26" s="5" t="n">
        <v>2080</v>
      </c>
      <c r="M26" s="5" t="n">
        <v>2597</v>
      </c>
      <c r="N26" s="5" t="n">
        <v>834</v>
      </c>
    </row>
    <row r="27" customFormat="false" ht="15" hidden="false" customHeight="false" outlineLevel="0" collapsed="false">
      <c r="A27" s="5" t="s">
        <v>171</v>
      </c>
      <c r="B27" s="5" t="n">
        <v>26</v>
      </c>
      <c r="C27" s="5" t="s">
        <v>155</v>
      </c>
      <c r="D27" s="6" t="n">
        <v>2</v>
      </c>
      <c r="E27" s="6" t="n">
        <v>6.6</v>
      </c>
      <c r="F27" s="5" t="n">
        <v>10372</v>
      </c>
      <c r="G27" s="5" t="n">
        <v>2123</v>
      </c>
      <c r="H27" s="5" t="n">
        <v>1498</v>
      </c>
      <c r="I27" s="5" t="n">
        <v>430</v>
      </c>
      <c r="J27" s="5" t="n">
        <v>925</v>
      </c>
      <c r="K27" s="5" t="n">
        <v>1523</v>
      </c>
      <c r="L27" s="5" t="n">
        <v>2070</v>
      </c>
      <c r="M27" s="5" t="n">
        <v>2565</v>
      </c>
      <c r="N27" s="5" t="n">
        <v>820</v>
      </c>
    </row>
    <row r="28" customFormat="false" ht="15" hidden="false" customHeight="false" outlineLevel="0" collapsed="false">
      <c r="A28" s="5" t="s">
        <v>172</v>
      </c>
      <c r="B28" s="5" t="n">
        <v>27</v>
      </c>
      <c r="C28" s="5" t="s">
        <v>155</v>
      </c>
      <c r="D28" s="6" t="n">
        <v>1.9</v>
      </c>
      <c r="E28" s="6" t="n">
        <v>6.4</v>
      </c>
      <c r="F28" s="5" t="n">
        <v>10378</v>
      </c>
      <c r="G28" s="5" t="n">
        <v>2112</v>
      </c>
      <c r="H28" s="5" t="n">
        <v>1483</v>
      </c>
      <c r="I28" s="5" t="n">
        <v>457</v>
      </c>
      <c r="J28" s="5" t="n">
        <v>915</v>
      </c>
      <c r="K28" s="5" t="n">
        <v>1471</v>
      </c>
      <c r="L28" s="5" t="n">
        <v>2048</v>
      </c>
      <c r="M28" s="5" t="n">
        <v>2564</v>
      </c>
      <c r="N28" s="5" t="n">
        <v>815</v>
      </c>
    </row>
    <row r="29" customFormat="false" ht="15" hidden="false" customHeight="false" outlineLevel="0" collapsed="false">
      <c r="A29" s="5" t="s">
        <v>173</v>
      </c>
      <c r="B29" s="5" t="n">
        <v>28</v>
      </c>
      <c r="C29" s="5" t="s">
        <v>155</v>
      </c>
      <c r="D29" s="6" t="n">
        <v>1.9</v>
      </c>
      <c r="E29" s="6" t="n">
        <v>6.9</v>
      </c>
      <c r="F29" s="5" t="n">
        <v>10409</v>
      </c>
      <c r="G29" s="5" t="n">
        <v>2153</v>
      </c>
      <c r="H29" s="5" t="n">
        <v>1500</v>
      </c>
      <c r="I29" s="5" t="n">
        <v>450</v>
      </c>
      <c r="J29" s="5" t="n">
        <v>933</v>
      </c>
      <c r="K29" s="5" t="n">
        <v>1498</v>
      </c>
      <c r="L29" s="5" t="n">
        <v>2061</v>
      </c>
      <c r="M29" s="5" t="n">
        <v>2561</v>
      </c>
      <c r="N29" s="5" t="n">
        <v>811</v>
      </c>
    </row>
    <row r="30" customFormat="false" ht="15" hidden="false" customHeight="false" outlineLevel="0" collapsed="false">
      <c r="A30" s="5" t="s">
        <v>174</v>
      </c>
      <c r="B30" s="5" t="n">
        <v>29</v>
      </c>
      <c r="C30" s="5" t="s">
        <v>155</v>
      </c>
      <c r="D30" s="6" t="n">
        <v>1.6</v>
      </c>
      <c r="E30" s="6" t="n">
        <v>6.9</v>
      </c>
      <c r="F30" s="5" t="n">
        <v>10443</v>
      </c>
      <c r="G30" s="5" t="n">
        <v>2171</v>
      </c>
      <c r="H30" s="5" t="n">
        <v>1493</v>
      </c>
      <c r="I30" s="5" t="n">
        <v>379</v>
      </c>
      <c r="J30" s="5" t="n">
        <v>926</v>
      </c>
      <c r="K30" s="5" t="n">
        <v>1503</v>
      </c>
      <c r="L30" s="5" t="n">
        <v>2074</v>
      </c>
      <c r="M30" s="5" t="n">
        <v>2585</v>
      </c>
      <c r="N30" s="5" t="n">
        <v>842</v>
      </c>
    </row>
    <row r="31" customFormat="false" ht="15" hidden="false" customHeight="false" outlineLevel="0" collapsed="false">
      <c r="A31" s="5" t="s">
        <v>175</v>
      </c>
      <c r="B31" s="5" t="n">
        <v>30</v>
      </c>
      <c r="C31" s="5" t="s">
        <v>155</v>
      </c>
      <c r="D31" s="6" t="n">
        <v>1.7</v>
      </c>
      <c r="E31" s="6" t="n">
        <v>7</v>
      </c>
      <c r="F31" s="5" t="n">
        <v>10460</v>
      </c>
      <c r="G31" s="5" t="n">
        <v>2148</v>
      </c>
      <c r="H31" s="5" t="n">
        <v>1462</v>
      </c>
      <c r="I31" s="5" t="n">
        <v>380</v>
      </c>
      <c r="J31" s="5" t="n">
        <v>866</v>
      </c>
      <c r="K31" s="5" t="n">
        <v>1482</v>
      </c>
      <c r="L31" s="5" t="n">
        <v>2041</v>
      </c>
      <c r="M31" s="5" t="n">
        <v>2514</v>
      </c>
      <c r="N31" s="5" t="n">
        <v>831</v>
      </c>
    </row>
    <row r="32" customFormat="false" ht="15" hidden="false" customHeight="false" outlineLevel="0" collapsed="false">
      <c r="A32" s="5" t="s">
        <v>176</v>
      </c>
      <c r="B32" s="5" t="n">
        <v>31</v>
      </c>
      <c r="C32" s="5" t="s">
        <v>155</v>
      </c>
      <c r="D32" s="6" t="n">
        <v>1.8</v>
      </c>
      <c r="E32" s="6" t="n">
        <v>7</v>
      </c>
      <c r="F32" s="5" t="n">
        <v>10478</v>
      </c>
      <c r="G32" s="5" t="n">
        <v>2139</v>
      </c>
      <c r="H32" s="5" t="n">
        <v>1460</v>
      </c>
      <c r="I32" s="5" t="n">
        <v>362</v>
      </c>
      <c r="J32" s="5" t="n">
        <v>871</v>
      </c>
      <c r="K32" s="5" t="n">
        <v>1499</v>
      </c>
      <c r="L32" s="5" t="n">
        <v>2035</v>
      </c>
      <c r="M32" s="5" t="n">
        <v>2546</v>
      </c>
      <c r="N32" s="5" t="n">
        <v>838</v>
      </c>
    </row>
    <row r="33" customFormat="false" ht="15" hidden="false" customHeight="false" outlineLevel="0" collapsed="false">
      <c r="A33" s="5" t="s">
        <v>177</v>
      </c>
      <c r="B33" s="5" t="n">
        <v>32</v>
      </c>
      <c r="C33" s="5" t="s">
        <v>155</v>
      </c>
      <c r="D33" s="6" t="n">
        <v>2.4</v>
      </c>
      <c r="E33" s="6" t="n">
        <v>7.2</v>
      </c>
      <c r="F33" s="5" t="n">
        <v>10512</v>
      </c>
      <c r="G33" s="5" t="n">
        <v>2168</v>
      </c>
      <c r="H33" s="5" t="n">
        <v>1466</v>
      </c>
      <c r="I33" s="5" t="n">
        <v>420</v>
      </c>
      <c r="J33" s="5" t="n">
        <v>886</v>
      </c>
      <c r="K33" s="5" t="n">
        <v>1472</v>
      </c>
      <c r="L33" s="5" t="n">
        <v>2061</v>
      </c>
      <c r="M33" s="5" t="n">
        <v>2534</v>
      </c>
      <c r="N33" s="5" t="n">
        <v>820</v>
      </c>
    </row>
    <row r="34" customFormat="false" ht="15" hidden="false" customHeight="false" outlineLevel="0" collapsed="false">
      <c r="A34" s="5" t="s">
        <v>178</v>
      </c>
      <c r="B34" s="5" t="n">
        <v>33</v>
      </c>
      <c r="C34" s="5" t="s">
        <v>155</v>
      </c>
      <c r="D34" s="6" t="n">
        <v>2.6</v>
      </c>
      <c r="E34" s="6" t="n">
        <v>7.4</v>
      </c>
      <c r="F34" s="5" t="n">
        <v>10525</v>
      </c>
      <c r="G34" s="5" t="n">
        <v>2157</v>
      </c>
      <c r="H34" s="5" t="n">
        <v>1465</v>
      </c>
      <c r="I34" s="5" t="n">
        <v>427</v>
      </c>
      <c r="J34" s="5" t="n">
        <v>912</v>
      </c>
      <c r="K34" s="5" t="n">
        <v>1493</v>
      </c>
      <c r="L34" s="5" t="n">
        <v>2021</v>
      </c>
      <c r="M34" s="5" t="n">
        <v>2471</v>
      </c>
      <c r="N34" s="5" t="n">
        <v>802</v>
      </c>
    </row>
    <row r="35" customFormat="false" ht="15" hidden="false" customHeight="false" outlineLevel="0" collapsed="false">
      <c r="A35" s="5" t="s">
        <v>179</v>
      </c>
      <c r="B35" s="5" t="n">
        <v>34</v>
      </c>
      <c r="C35" s="5" t="s">
        <v>155</v>
      </c>
      <c r="D35" s="6" t="n">
        <v>2.3</v>
      </c>
      <c r="E35" s="6" t="n">
        <v>6.8</v>
      </c>
      <c r="F35" s="5" t="n">
        <v>10558</v>
      </c>
      <c r="G35" s="5" t="n">
        <v>2132</v>
      </c>
      <c r="H35" s="5" t="n">
        <v>1414</v>
      </c>
      <c r="I35" s="5" t="n">
        <v>330</v>
      </c>
      <c r="J35" s="5" t="n">
        <v>866</v>
      </c>
      <c r="K35" s="5" t="n">
        <v>1425</v>
      </c>
      <c r="L35" s="5" t="n">
        <v>1969</v>
      </c>
      <c r="M35" s="5" t="n">
        <v>2507</v>
      </c>
      <c r="N35" s="5" t="n">
        <v>823</v>
      </c>
    </row>
    <row r="36" customFormat="false" ht="15" hidden="false" customHeight="false" outlineLevel="0" collapsed="false">
      <c r="A36" s="5" t="s">
        <v>180</v>
      </c>
      <c r="B36" s="5" t="n">
        <v>35</v>
      </c>
      <c r="C36" s="5" t="s">
        <v>155</v>
      </c>
      <c r="D36" s="6" t="n">
        <v>1.9</v>
      </c>
      <c r="E36" s="6" t="n">
        <v>6.9</v>
      </c>
      <c r="F36" s="5" t="n">
        <v>10595</v>
      </c>
      <c r="G36" s="5" t="n">
        <v>2154</v>
      </c>
      <c r="H36" s="5" t="n">
        <v>1437</v>
      </c>
      <c r="I36" s="5" t="n">
        <v>358</v>
      </c>
      <c r="J36" s="5" t="n">
        <v>886</v>
      </c>
      <c r="K36" s="5" t="n">
        <v>1450</v>
      </c>
      <c r="L36" s="5" t="n">
        <v>2000</v>
      </c>
      <c r="M36" s="5" t="n">
        <v>2506</v>
      </c>
      <c r="N36" s="5" t="n">
        <v>820</v>
      </c>
    </row>
    <row r="37" customFormat="false" ht="15" hidden="false" customHeight="false" outlineLevel="0" collapsed="false">
      <c r="A37" s="5" t="s">
        <v>181</v>
      </c>
      <c r="B37" s="5" t="n">
        <v>36</v>
      </c>
      <c r="C37" s="5" t="s">
        <v>155</v>
      </c>
      <c r="D37" s="6" t="n">
        <v>1.5</v>
      </c>
      <c r="E37" s="6" t="n">
        <v>7.2</v>
      </c>
      <c r="F37" s="5" t="n">
        <v>10621</v>
      </c>
      <c r="G37" s="5" t="n">
        <v>2160</v>
      </c>
      <c r="H37" s="5" t="n">
        <v>1420</v>
      </c>
      <c r="I37" s="5" t="n">
        <v>382</v>
      </c>
      <c r="J37" s="5" t="n">
        <v>835</v>
      </c>
      <c r="K37" s="5" t="n">
        <v>1420</v>
      </c>
      <c r="L37" s="5" t="n">
        <v>1996</v>
      </c>
      <c r="M37" s="5" t="n">
        <v>2469</v>
      </c>
      <c r="N37" s="5" t="n">
        <v>825</v>
      </c>
    </row>
    <row r="38" customFormat="false" ht="15" hidden="false" customHeight="false" outlineLevel="0" collapsed="false">
      <c r="A38" s="5" t="s">
        <v>182</v>
      </c>
      <c r="B38" s="5" t="n">
        <v>37</v>
      </c>
      <c r="C38" s="5" t="s">
        <v>155</v>
      </c>
      <c r="D38" s="6" t="n">
        <v>1.5</v>
      </c>
      <c r="E38" s="6" t="n">
        <v>6.9</v>
      </c>
      <c r="F38" s="5" t="n">
        <v>10636</v>
      </c>
      <c r="G38" s="5" t="n">
        <v>2134</v>
      </c>
      <c r="H38" s="5" t="n">
        <v>1412</v>
      </c>
      <c r="I38" s="5" t="n">
        <v>373</v>
      </c>
      <c r="J38" s="5" t="n">
        <v>847</v>
      </c>
      <c r="K38" s="5" t="n">
        <v>1410</v>
      </c>
      <c r="L38" s="5" t="n">
        <v>2008</v>
      </c>
      <c r="M38" s="5" t="n">
        <v>2480</v>
      </c>
      <c r="N38" s="5" t="n">
        <v>825</v>
      </c>
    </row>
    <row r="39" customFormat="false" ht="15" hidden="false" customHeight="false" outlineLevel="0" collapsed="false">
      <c r="A39" s="5" t="s">
        <v>183</v>
      </c>
      <c r="B39" s="5" t="n">
        <v>38</v>
      </c>
      <c r="C39" s="5" t="s">
        <v>155</v>
      </c>
      <c r="D39" s="6" t="n">
        <v>1.9</v>
      </c>
      <c r="E39" s="6" t="n">
        <v>6.5</v>
      </c>
      <c r="F39" s="5" t="n">
        <v>10664</v>
      </c>
      <c r="G39" s="5" t="n">
        <v>2173</v>
      </c>
      <c r="H39" s="5" t="n">
        <v>1468</v>
      </c>
      <c r="I39" s="5" t="n">
        <v>388</v>
      </c>
      <c r="J39" s="5" t="n">
        <v>892</v>
      </c>
      <c r="K39" s="5" t="n">
        <v>1452</v>
      </c>
      <c r="L39" s="5" t="n">
        <v>2059</v>
      </c>
      <c r="M39" s="5" t="n">
        <v>2557</v>
      </c>
      <c r="N39" s="5" t="n">
        <v>825</v>
      </c>
    </row>
    <row r="40" customFormat="false" ht="15" hidden="false" customHeight="false" outlineLevel="0" collapsed="false">
      <c r="A40" s="5" t="s">
        <v>184</v>
      </c>
      <c r="B40" s="5" t="n">
        <v>39</v>
      </c>
      <c r="C40" s="5" t="s">
        <v>155</v>
      </c>
      <c r="D40" s="6" t="n">
        <v>2</v>
      </c>
      <c r="E40" s="6" t="n">
        <v>7</v>
      </c>
      <c r="F40" s="5" t="n">
        <v>10694</v>
      </c>
      <c r="G40" s="5" t="n">
        <v>2154</v>
      </c>
      <c r="H40" s="5" t="n">
        <v>1454</v>
      </c>
      <c r="I40" s="5" t="n">
        <v>400</v>
      </c>
      <c r="J40" s="5" t="n">
        <v>887</v>
      </c>
      <c r="K40" s="5" t="n">
        <v>1463</v>
      </c>
      <c r="L40" s="5" t="n">
        <v>2032</v>
      </c>
      <c r="M40" s="5" t="n">
        <v>2499</v>
      </c>
      <c r="N40" s="5" t="n">
        <v>824</v>
      </c>
    </row>
    <row r="41" customFormat="false" ht="15" hidden="false" customHeight="false" outlineLevel="0" collapsed="false">
      <c r="A41" s="5" t="s">
        <v>185</v>
      </c>
      <c r="B41" s="5" t="n">
        <v>40</v>
      </c>
      <c r="C41" s="5" t="s">
        <v>155</v>
      </c>
      <c r="D41" s="6" t="n">
        <v>2.3</v>
      </c>
      <c r="E41" s="6" t="n">
        <v>6.7</v>
      </c>
      <c r="F41" s="5" t="n">
        <v>10701</v>
      </c>
      <c r="G41" s="5" t="n">
        <v>2163</v>
      </c>
      <c r="H41" s="5" t="n">
        <v>1441</v>
      </c>
      <c r="I41" s="5" t="n">
        <v>401</v>
      </c>
      <c r="J41" s="5" t="n">
        <v>885</v>
      </c>
      <c r="K41" s="5" t="n">
        <v>1448</v>
      </c>
      <c r="L41" s="5" t="n">
        <v>2017</v>
      </c>
      <c r="M41" s="5" t="n">
        <v>2516</v>
      </c>
      <c r="N41" s="5" t="n">
        <v>830</v>
      </c>
    </row>
    <row r="42" customFormat="false" ht="15" hidden="false" customHeight="false" outlineLevel="0" collapsed="false">
      <c r="A42" s="5" t="s">
        <v>186</v>
      </c>
      <c r="B42" s="5" t="n">
        <v>41</v>
      </c>
      <c r="C42" s="5" t="s">
        <v>155</v>
      </c>
      <c r="D42" s="6" t="n">
        <v>2</v>
      </c>
      <c r="E42" s="6" t="n">
        <v>6.4</v>
      </c>
      <c r="F42" s="5" t="n">
        <v>10731</v>
      </c>
      <c r="G42" s="5" t="n">
        <v>2133</v>
      </c>
      <c r="H42" s="5" t="n">
        <v>1441</v>
      </c>
      <c r="I42" s="5" t="n">
        <v>399</v>
      </c>
      <c r="J42" s="5" t="n">
        <v>882</v>
      </c>
      <c r="K42" s="5" t="n">
        <v>1440</v>
      </c>
      <c r="L42" s="5" t="n">
        <v>2020</v>
      </c>
      <c r="M42" s="5" t="n">
        <v>2475</v>
      </c>
      <c r="N42" s="5" t="n">
        <v>802</v>
      </c>
    </row>
    <row r="43" customFormat="false" ht="15" hidden="false" customHeight="false" outlineLevel="0" collapsed="false">
      <c r="A43" s="5" t="s">
        <v>187</v>
      </c>
      <c r="B43" s="5" t="n">
        <v>42</v>
      </c>
      <c r="C43" s="5" t="s">
        <v>155</v>
      </c>
      <c r="D43" s="6" t="n">
        <v>2.2</v>
      </c>
      <c r="E43" s="6" t="n">
        <v>6.1</v>
      </c>
      <c r="F43" s="5" t="n">
        <v>10749</v>
      </c>
      <c r="G43" s="5" t="n">
        <v>2123</v>
      </c>
      <c r="H43" s="5" t="n">
        <v>1443</v>
      </c>
      <c r="I43" s="5" t="n">
        <v>320</v>
      </c>
      <c r="J43" s="5" t="n">
        <v>893</v>
      </c>
      <c r="K43" s="5" t="n">
        <v>1452</v>
      </c>
      <c r="L43" s="5" t="n">
        <v>2018</v>
      </c>
      <c r="M43" s="5" t="n">
        <v>2515</v>
      </c>
      <c r="N43" s="5" t="n">
        <v>822</v>
      </c>
    </row>
    <row r="44" customFormat="false" ht="15" hidden="false" customHeight="false" outlineLevel="0" collapsed="false">
      <c r="A44" s="5" t="s">
        <v>188</v>
      </c>
      <c r="B44" s="5" t="n">
        <v>43</v>
      </c>
      <c r="C44" s="5" t="s">
        <v>155</v>
      </c>
      <c r="D44" s="6" t="n">
        <v>2</v>
      </c>
      <c r="E44" s="6" t="n">
        <v>6.2</v>
      </c>
      <c r="F44" s="5" t="n">
        <v>10782</v>
      </c>
      <c r="G44" s="5" t="n">
        <v>2142</v>
      </c>
      <c r="H44" s="5" t="n">
        <v>1464</v>
      </c>
      <c r="I44" s="5" t="n">
        <v>372</v>
      </c>
      <c r="J44" s="5" t="n">
        <v>853</v>
      </c>
      <c r="K44" s="5" t="n">
        <v>1471</v>
      </c>
      <c r="L44" s="5" t="n">
        <v>2064</v>
      </c>
      <c r="M44" s="5" t="n">
        <v>2551</v>
      </c>
      <c r="N44" s="5" t="n">
        <v>848</v>
      </c>
    </row>
    <row r="45" customFormat="false" ht="15" hidden="false" customHeight="false" outlineLevel="0" collapsed="false">
      <c r="A45" s="5" t="s">
        <v>189</v>
      </c>
      <c r="B45" s="5" t="n">
        <v>44</v>
      </c>
      <c r="C45" s="5" t="s">
        <v>155</v>
      </c>
      <c r="D45" s="6" t="n">
        <v>1.9</v>
      </c>
      <c r="E45" s="6" t="n">
        <v>6.2</v>
      </c>
      <c r="F45" s="5" t="n">
        <v>10813</v>
      </c>
      <c r="G45" s="5" t="n">
        <v>2127</v>
      </c>
      <c r="H45" s="5" t="n">
        <v>1445</v>
      </c>
      <c r="I45" s="5" t="n">
        <v>328</v>
      </c>
      <c r="J45" s="5" t="n">
        <v>848</v>
      </c>
      <c r="K45" s="5" t="n">
        <v>1467</v>
      </c>
      <c r="L45" s="5" t="n">
        <v>2042</v>
      </c>
      <c r="M45" s="5" t="n">
        <v>2540</v>
      </c>
      <c r="N45" s="5" t="n">
        <v>846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0"/>
    <col collapsed="false" customWidth="true" hidden="false" outlineLevel="0" max="3" min="3" style="0" width="16"/>
    <col collapsed="false" customWidth="true" hidden="false" outlineLevel="0" max="4" min="4" style="0" width="22"/>
    <col collapsed="false" customWidth="true" hidden="false" outlineLevel="0" max="6" min="5" style="0" width="16"/>
    <col collapsed="false" customWidth="true" hidden="false" outlineLevel="0" max="7" min="7" style="0" width="11"/>
    <col collapsed="false" customWidth="true" hidden="false" outlineLevel="0" max="8" min="8" style="0" width="40"/>
    <col collapsed="false" customWidth="true" hidden="false" outlineLevel="0" max="9" min="9" style="0" width="20"/>
  </cols>
  <sheetData>
    <row r="1" customFormat="false" ht="15" hidden="false" customHeight="false" outlineLevel="0" collapsed="false">
      <c r="A1" s="13" t="s">
        <v>190</v>
      </c>
    </row>
    <row r="3" customFormat="false" ht="23.85" hidden="false" customHeight="false" outlineLevel="0" collapsed="false">
      <c r="A3" s="9" t="s">
        <v>110</v>
      </c>
      <c r="B3" s="9" t="s">
        <v>191</v>
      </c>
      <c r="C3" s="9" t="s">
        <v>192</v>
      </c>
      <c r="D3" s="9" t="s">
        <v>193</v>
      </c>
      <c r="E3" s="9" t="s">
        <v>194</v>
      </c>
      <c r="F3" s="9" t="s">
        <v>195</v>
      </c>
      <c r="G3" s="9" t="s">
        <v>196</v>
      </c>
      <c r="H3" s="9" t="s">
        <v>197</v>
      </c>
      <c r="I3" s="9" t="s">
        <v>198</v>
      </c>
    </row>
    <row r="4" customFormat="false" ht="15" hidden="false" customHeight="false" outlineLevel="0" collapsed="false">
      <c r="A4" s="0" t="s">
        <v>118</v>
      </c>
      <c r="B4" s="0" t="s">
        <v>199</v>
      </c>
      <c r="C4" s="14" t="n">
        <v>1859.9</v>
      </c>
      <c r="D4" s="14" t="n">
        <v>2105.74193548387</v>
      </c>
      <c r="E4" s="0" t="str">
        <f aca="false">IF(ABS(C4)&lt;1,IF(D4&gt;C4+50,"above",IF(D4&lt;C4-50,"below","average")),IF(D4&gt;C4*1.1,"above",IF(D4&lt;C4*0.9,"below","average")))</f>
        <v>above</v>
      </c>
      <c r="F4" s="15" t="s">
        <v>200</v>
      </c>
      <c r="G4" s="16"/>
      <c r="H4" s="16"/>
      <c r="I4" s="16"/>
    </row>
    <row r="5" customFormat="false" ht="15" hidden="false" customHeight="false" outlineLevel="0" collapsed="false">
      <c r="A5" s="0" t="s">
        <v>118</v>
      </c>
      <c r="B5" s="0" t="s">
        <v>201</v>
      </c>
      <c r="C5" s="14" t="n">
        <v>10418</v>
      </c>
      <c r="D5" s="14" t="n">
        <v>10357.6129032258</v>
      </c>
      <c r="E5" s="0" t="str">
        <f aca="false">IF(ABS(C5)&lt;1,IF(D5&gt;C5+50,"above",IF(D5&lt;C5-50,"below","average")),IF(D5&gt;C5*1.1,"above",IF(D5&lt;C5*0.9,"below","average")))</f>
        <v>average</v>
      </c>
      <c r="F5" s="15" t="s">
        <v>202</v>
      </c>
      <c r="G5" s="16"/>
      <c r="H5" s="16"/>
      <c r="I5" s="16"/>
    </row>
    <row r="6" customFormat="false" ht="15" hidden="false" customHeight="false" outlineLevel="0" collapsed="false">
      <c r="A6" s="0" t="s">
        <v>118</v>
      </c>
      <c r="B6" s="0" t="s">
        <v>203</v>
      </c>
      <c r="C6" s="14" t="n">
        <v>8664.6</v>
      </c>
      <c r="D6" s="14" t="n">
        <v>9878.91025641026</v>
      </c>
      <c r="E6" s="0" t="str">
        <f aca="false">IF(ABS(C6)&lt;1,IF(D6&gt;C6+50,"above",IF(D6&lt;C6-50,"below","average")),IF(D6&gt;C6*1.1,"above",IF(D6&lt;C6*0.9,"below","average")))</f>
        <v>above</v>
      </c>
      <c r="F6" s="15" t="s">
        <v>204</v>
      </c>
      <c r="G6" s="16"/>
      <c r="H6" s="16"/>
      <c r="I6" s="16"/>
    </row>
    <row r="7" customFormat="false" ht="15" hidden="false" customHeight="false" outlineLevel="0" collapsed="false">
      <c r="A7" s="0" t="s">
        <v>118</v>
      </c>
      <c r="B7" s="0" t="s">
        <v>205</v>
      </c>
      <c r="C7" s="14" t="n">
        <v>1119</v>
      </c>
      <c r="D7" s="14" t="n">
        <v>1500.64516129032</v>
      </c>
      <c r="E7" s="0" t="str">
        <f aca="false">IF(ABS(C7)&lt;1,IF(D7&gt;C7+50,"above",IF(D7&lt;C7-50,"below","average")),IF(D7&gt;C7*1.1,"above",IF(D7&lt;C7*0.9,"below","average")))</f>
        <v>above</v>
      </c>
      <c r="F7" s="15" t="s">
        <v>204</v>
      </c>
      <c r="G7" s="16"/>
      <c r="H7" s="16"/>
      <c r="I7" s="16"/>
    </row>
    <row r="8" customFormat="false" ht="15" hidden="false" customHeight="false" outlineLevel="0" collapsed="false">
      <c r="A8" s="0" t="s">
        <v>118</v>
      </c>
      <c r="B8" s="0" t="s">
        <v>206</v>
      </c>
      <c r="C8" s="14" t="n">
        <v>1.2</v>
      </c>
      <c r="D8" s="14" t="n">
        <v>1.7243</v>
      </c>
      <c r="E8" s="0" t="str">
        <f aca="false">IF(ABS(C8)&lt;1,IF(D8&gt;C8+50,"above",IF(D8&lt;C8-50,"below","average")),IF(D8&gt;C8*1.1,"above",IF(D8&lt;C8*0.9,"below","average")))</f>
        <v>above</v>
      </c>
      <c r="F8" s="15" t="s">
        <v>202</v>
      </c>
      <c r="G8" s="16"/>
      <c r="H8" s="16"/>
      <c r="I8" s="16"/>
    </row>
    <row r="9" customFormat="false" ht="15" hidden="false" customHeight="false" outlineLevel="0" collapsed="false">
      <c r="A9" s="0" t="s">
        <v>118</v>
      </c>
      <c r="B9" s="0" t="s">
        <v>207</v>
      </c>
      <c r="C9" s="14" t="n">
        <v>-278.7</v>
      </c>
      <c r="D9" s="14" t="n">
        <v>-257.116551459293</v>
      </c>
      <c r="E9" s="0" t="str">
        <f aca="false">IF(ABS(C9)&lt;1,IF(D9&gt;C9+50,"above",IF(D9&lt;C9-50,"below","average")),IF(D9&gt;C9*1.1,"above",IF(D9&lt;C9*0.9,"below","average")))</f>
        <v>above</v>
      </c>
      <c r="F9" s="15" t="s">
        <v>204</v>
      </c>
      <c r="G9" s="16"/>
      <c r="H9" s="16"/>
      <c r="I9" s="16"/>
    </row>
    <row r="10" customFormat="false" ht="15" hidden="false" customHeight="false" outlineLevel="0" collapsed="false">
      <c r="A10" s="0" t="s">
        <v>118</v>
      </c>
      <c r="B10" s="0" t="s">
        <v>208</v>
      </c>
      <c r="C10" s="14" t="n">
        <v>8</v>
      </c>
      <c r="D10" s="14" t="n">
        <v>3</v>
      </c>
      <c r="E10" s="0" t="str">
        <f aca="false">IF(ABS(C10)&lt;1,IF(D10&gt;C10+50,"above",IF(D10&lt;C10-50,"below","average")),IF(D10&gt;C10*1.1,"above",IF(D10&lt;C10*0.9,"below","average")))</f>
        <v>below</v>
      </c>
      <c r="F10" s="15" t="s">
        <v>209</v>
      </c>
      <c r="G10" s="16"/>
      <c r="H10" s="16"/>
      <c r="I10" s="16"/>
    </row>
    <row r="11" customFormat="false" ht="15" hidden="false" customHeight="false" outlineLevel="0" collapsed="false">
      <c r="A11" s="0" t="s">
        <v>118</v>
      </c>
      <c r="B11" s="0" t="s">
        <v>210</v>
      </c>
      <c r="C11" s="0" t="n">
        <v>47.1</v>
      </c>
      <c r="D11" s="14" t="n">
        <v>34</v>
      </c>
      <c r="E11" s="0" t="str">
        <f aca="false">IF(ABS(C11)&lt;1,IF(D11&gt;C11+50,"above",IF(D11&lt;C11-50,"below","average")),IF(D11&gt;C11*1.1,"above",IF(D11&lt;C11*0.9,"below","average")))</f>
        <v>below</v>
      </c>
      <c r="F11" s="15" t="s">
        <v>211</v>
      </c>
      <c r="G11" s="16"/>
      <c r="H11" s="16"/>
      <c r="I11" s="16"/>
    </row>
    <row r="12" customFormat="false" ht="15" hidden="false" customHeight="false" outlineLevel="0" collapsed="false">
      <c r="A12" s="0" t="s">
        <v>118</v>
      </c>
      <c r="B12" s="0" t="s">
        <v>212</v>
      </c>
      <c r="C12" s="11" t="n">
        <v>9.7112985989724</v>
      </c>
      <c r="D12" s="14" t="n">
        <v>-13.1</v>
      </c>
      <c r="E12" s="0" t="str">
        <f aca="false">IF(ABS(C12)&lt;1,IF(D12&gt;C12+50,"above",IF(D12&lt;C12-50,"below","average")),IF(D12&gt;C12*1.1,"above",IF(D12&lt;C12*0.9,"below","average")))</f>
        <v>below</v>
      </c>
      <c r="F12" s="15" t="s">
        <v>213</v>
      </c>
      <c r="G12" s="16"/>
      <c r="H12" s="16"/>
      <c r="I12" s="16"/>
    </row>
    <row r="14" customFormat="false" ht="15" hidden="false" customHeight="false" outlineLevel="0" collapsed="false">
      <c r="A14" s="0" t="s">
        <v>119</v>
      </c>
      <c r="B14" s="0" t="s">
        <v>199</v>
      </c>
      <c r="C14" s="14" t="n">
        <v>1617.8</v>
      </c>
      <c r="D14" s="14" t="n">
        <v>2137.6</v>
      </c>
      <c r="E14" s="0" t="str">
        <f aca="false">IF(ABS(C14)&lt;1,IF(D14&gt;C14+50,"above",IF(D14&lt;C14-50,"below","average")),IF(D14&gt;C14*1.1,"above",IF(D14&lt;C14*0.9,"below","average")))</f>
        <v>above</v>
      </c>
      <c r="F14" s="15" t="s">
        <v>200</v>
      </c>
      <c r="G14" s="16"/>
      <c r="H14" s="16"/>
      <c r="I14" s="16"/>
    </row>
    <row r="15" customFormat="false" ht="15" hidden="false" customHeight="false" outlineLevel="0" collapsed="false">
      <c r="A15" s="0" t="s">
        <v>119</v>
      </c>
      <c r="B15" s="0" t="s">
        <v>201</v>
      </c>
      <c r="C15" s="14" t="n">
        <v>11080</v>
      </c>
      <c r="D15" s="14" t="n">
        <v>10755.2</v>
      </c>
      <c r="E15" s="0" t="str">
        <f aca="false">IF(ABS(C15)&lt;1,IF(D15&gt;C15+50,"above",IF(D15&lt;C15-50,"below","average")),IF(D15&gt;C15*1.1,"above",IF(D15&lt;C15*0.9,"below","average")))</f>
        <v>average</v>
      </c>
      <c r="F15" s="15" t="s">
        <v>202</v>
      </c>
      <c r="G15" s="16"/>
      <c r="H15" s="16"/>
      <c r="I15" s="16"/>
    </row>
    <row r="16" customFormat="false" ht="15" hidden="false" customHeight="false" outlineLevel="0" collapsed="false">
      <c r="A16" s="0" t="s">
        <v>119</v>
      </c>
      <c r="B16" s="0" t="s">
        <v>203</v>
      </c>
      <c r="C16" s="14" t="n">
        <v>9553.1</v>
      </c>
      <c r="D16" s="14" t="n">
        <v>11531.0087112135</v>
      </c>
      <c r="E16" s="0" t="str">
        <f aca="false">IF(ABS(C16)&lt;1,IF(D16&gt;C16+50,"above",IF(D16&lt;C16-50,"below","average")),IF(D16&gt;C16*1.1,"above",IF(D16&lt;C16*0.9,"below","average")))</f>
        <v>above</v>
      </c>
      <c r="F16" s="15" t="s">
        <v>204</v>
      </c>
      <c r="G16" s="16"/>
      <c r="H16" s="16"/>
      <c r="I16" s="16"/>
    </row>
    <row r="17" customFormat="false" ht="15" hidden="false" customHeight="false" outlineLevel="0" collapsed="false">
      <c r="A17" s="0" t="s">
        <v>119</v>
      </c>
      <c r="B17" s="0" t="s">
        <v>205</v>
      </c>
      <c r="C17" s="14" t="n">
        <v>1054</v>
      </c>
      <c r="D17" s="14" t="n">
        <v>1455.6</v>
      </c>
      <c r="E17" s="0" t="str">
        <f aca="false">IF(ABS(C17)&lt;1,IF(D17&gt;C17+50,"above",IF(D17&lt;C17-50,"below","average")),IF(D17&gt;C17*1.1,"above",IF(D17&lt;C17*0.9,"below","average")))</f>
        <v>above</v>
      </c>
      <c r="F17" s="15" t="s">
        <v>204</v>
      </c>
      <c r="G17" s="16"/>
      <c r="H17" s="16"/>
      <c r="I17" s="16"/>
    </row>
    <row r="18" customFormat="false" ht="15" hidden="false" customHeight="false" outlineLevel="0" collapsed="false">
      <c r="A18" s="0" t="s">
        <v>119</v>
      </c>
      <c r="B18" s="0" t="s">
        <v>206</v>
      </c>
      <c r="C18" s="14" t="n">
        <v>1.8</v>
      </c>
      <c r="D18" s="14" t="n">
        <v>1.9244</v>
      </c>
      <c r="E18" s="0" t="str">
        <f aca="false">IF(ABS(C18)&lt;1,IF(D18&gt;C18+50,"above",IF(D18&lt;C18-50,"below","average")),IF(D18&gt;C18*1.1,"above",IF(D18&lt;C18*0.9,"below","average")))</f>
        <v>average</v>
      </c>
      <c r="F18" s="15" t="s">
        <v>202</v>
      </c>
      <c r="G18" s="16"/>
      <c r="H18" s="16"/>
      <c r="I18" s="16"/>
    </row>
    <row r="19" customFormat="false" ht="15" hidden="false" customHeight="false" outlineLevel="0" collapsed="false">
      <c r="A19" s="0" t="s">
        <v>119</v>
      </c>
      <c r="B19" s="0" t="s">
        <v>207</v>
      </c>
      <c r="C19" s="14" t="n">
        <v>-123.1</v>
      </c>
      <c r="D19" s="14" t="n">
        <v>-257.116551459293</v>
      </c>
      <c r="E19" s="0" t="str">
        <f aca="false">IF(ABS(C19)&lt;1,IF(D19&gt;C19+50,"above",IF(D19&lt;C19-50,"below","average")),IF(D19&gt;C19*1.1,"above",IF(D19&lt;C19*0.9,"below","average")))</f>
        <v>below</v>
      </c>
      <c r="F19" s="15" t="s">
        <v>204</v>
      </c>
      <c r="G19" s="16"/>
      <c r="H19" s="16"/>
      <c r="I19" s="16"/>
    </row>
    <row r="20" customFormat="false" ht="15" hidden="false" customHeight="false" outlineLevel="0" collapsed="false">
      <c r="A20" s="0" t="s">
        <v>119</v>
      </c>
      <c r="B20" s="0" t="s">
        <v>208</v>
      </c>
      <c r="C20" s="14" t="n">
        <v>7.5</v>
      </c>
      <c r="D20" s="14" t="n">
        <v>3</v>
      </c>
      <c r="E20" s="0" t="str">
        <f aca="false">IF(ABS(C20)&lt;1,IF(D20&gt;C20+50,"above",IF(D20&lt;C20-50,"below","average")),IF(D20&gt;C20*1.1,"above",IF(D20&lt;C20*0.9,"below","average")))</f>
        <v>below</v>
      </c>
      <c r="F20" s="15" t="s">
        <v>209</v>
      </c>
      <c r="G20" s="16"/>
      <c r="H20" s="16"/>
      <c r="I20" s="16"/>
    </row>
    <row r="21" customFormat="false" ht="15" hidden="false" customHeight="false" outlineLevel="0" collapsed="false">
      <c r="A21" s="0" t="s">
        <v>119</v>
      </c>
      <c r="B21" s="0" t="s">
        <v>210</v>
      </c>
      <c r="C21" s="0" t="n">
        <v>67.6</v>
      </c>
      <c r="D21" s="14" t="n">
        <v>38</v>
      </c>
      <c r="E21" s="0" t="str">
        <f aca="false">IF(ABS(C21)&lt;1,IF(D21&gt;C21+50,"above",IF(D21&lt;C21-50,"below","average")),IF(D21&gt;C21*1.1,"above",IF(D21&lt;C21*0.9,"below","average")))</f>
        <v>below</v>
      </c>
      <c r="F21" s="15" t="s">
        <v>211</v>
      </c>
      <c r="G21" s="16"/>
      <c r="H21" s="16"/>
      <c r="I21" s="16"/>
    </row>
    <row r="22" customFormat="false" ht="15" hidden="false" customHeight="false" outlineLevel="0" collapsed="false">
      <c r="A22" s="0" t="s">
        <v>119</v>
      </c>
      <c r="B22" s="0" t="s">
        <v>214</v>
      </c>
      <c r="C22" s="11" t="n">
        <v>13.7122208538588</v>
      </c>
      <c r="D22" s="14" t="n">
        <v>-29.6</v>
      </c>
      <c r="E22" s="0" t="str">
        <f aca="false">IF(ABS(C22)&lt;1,IF(D22&gt;C22+50,"above",IF(D22&lt;C22-50,"below","average")),IF(D22&gt;C22*1.1,"above",IF(D22&lt;C22*0.9,"below","average")))</f>
        <v>below</v>
      </c>
      <c r="F22" s="15" t="s">
        <v>213</v>
      </c>
      <c r="G22" s="16"/>
      <c r="H22" s="16"/>
      <c r="I22" s="16"/>
    </row>
    <row r="24" customFormat="false" ht="15" hidden="false" customHeight="false" outlineLevel="0" collapsed="false">
      <c r="A24" s="0" t="s">
        <v>120</v>
      </c>
      <c r="B24" s="0" t="s">
        <v>199</v>
      </c>
      <c r="C24" s="14" t="n">
        <v>2003.8</v>
      </c>
      <c r="F24" s="15" t="s">
        <v>200</v>
      </c>
      <c r="G24" s="16"/>
      <c r="H24" s="16"/>
      <c r="I24" s="16"/>
    </row>
    <row r="25" customFormat="false" ht="15" hidden="false" customHeight="false" outlineLevel="0" collapsed="false">
      <c r="A25" s="0" t="s">
        <v>120</v>
      </c>
      <c r="B25" s="0" t="s">
        <v>201</v>
      </c>
      <c r="C25" s="14" t="n">
        <v>11638</v>
      </c>
      <c r="F25" s="15" t="s">
        <v>202</v>
      </c>
      <c r="G25" s="16"/>
      <c r="H25" s="16"/>
      <c r="I25" s="16"/>
    </row>
    <row r="26" customFormat="false" ht="15" hidden="false" customHeight="false" outlineLevel="0" collapsed="false">
      <c r="A26" s="0" t="s">
        <v>120</v>
      </c>
      <c r="B26" s="0" t="s">
        <v>203</v>
      </c>
      <c r="C26" s="14" t="n">
        <v>10932.8</v>
      </c>
      <c r="D26" s="14" t="n">
        <v>11836.5173133641</v>
      </c>
      <c r="E26" s="0" t="str">
        <f aca="false">IF(ABS(C26)&lt;1,IF(D26&gt;C26+50,"above",IF(D26&lt;C26-50,"below","average")),IF(D26&gt;C26*1.1,"above",IF(D26&lt;C26*0.9,"below","average")))</f>
        <v>average</v>
      </c>
      <c r="F26" s="15" t="s">
        <v>204</v>
      </c>
      <c r="G26" s="16"/>
      <c r="H26" s="16"/>
      <c r="I26" s="16"/>
    </row>
    <row r="27" customFormat="false" ht="15" hidden="false" customHeight="false" outlineLevel="0" collapsed="false">
      <c r="A27" s="0" t="s">
        <v>120</v>
      </c>
      <c r="B27" s="0" t="s">
        <v>205</v>
      </c>
      <c r="C27" s="14" t="n">
        <v>2049</v>
      </c>
      <c r="F27" s="15" t="s">
        <v>204</v>
      </c>
      <c r="G27" s="16"/>
      <c r="H27" s="16"/>
      <c r="I27" s="16"/>
    </row>
    <row r="28" customFormat="false" ht="15" hidden="false" customHeight="false" outlineLevel="0" collapsed="false">
      <c r="A28" s="0" t="s">
        <v>120</v>
      </c>
      <c r="B28" s="0" t="s">
        <v>206</v>
      </c>
      <c r="C28" s="14" t="n">
        <v>2.4</v>
      </c>
      <c r="D28" s="14" t="n">
        <v>2.1905</v>
      </c>
      <c r="E28" s="0" t="str">
        <f aca="false">IF(ABS(C28)&lt;1,IF(D28&gt;C28+50,"above",IF(D28&lt;C28-50,"below","average")),IF(D28&gt;C28*1.1,"above",IF(D28&lt;C28*0.9,"below","average")))</f>
        <v>average</v>
      </c>
      <c r="F28" s="15" t="s">
        <v>202</v>
      </c>
      <c r="G28" s="16"/>
      <c r="H28" s="16"/>
      <c r="I28" s="16"/>
    </row>
    <row r="29" customFormat="false" ht="15" hidden="false" customHeight="false" outlineLevel="0" collapsed="false">
      <c r="A29" s="0" t="s">
        <v>120</v>
      </c>
      <c r="B29" s="0" t="s">
        <v>207</v>
      </c>
      <c r="C29" s="14" t="n">
        <v>-339.5</v>
      </c>
      <c r="D29" s="14" t="n">
        <v>-257.116551459293</v>
      </c>
      <c r="E29" s="0" t="str">
        <f aca="false">IF(ABS(C29)&lt;1,IF(D29&gt;C29+50,"above",IF(D29&lt;C29-50,"below","average")),IF(D29&gt;C29*1.1,"above",IF(D29&lt;C29*0.9,"below","average")))</f>
        <v>above</v>
      </c>
      <c r="F29" s="15" t="s">
        <v>204</v>
      </c>
      <c r="G29" s="16"/>
      <c r="H29" s="16"/>
      <c r="I29" s="16"/>
    </row>
    <row r="30" customFormat="false" ht="15" hidden="false" customHeight="false" outlineLevel="0" collapsed="false">
      <c r="A30" s="0" t="s">
        <v>120</v>
      </c>
      <c r="B30" s="0" t="s">
        <v>208</v>
      </c>
      <c r="C30" s="14" t="n">
        <v>1.5</v>
      </c>
      <c r="D30" s="14" t="n">
        <v>3</v>
      </c>
      <c r="E30" s="0" t="str">
        <f aca="false">IF(ABS(C30)&lt;1,IF(D30&gt;C30+50,"above",IF(D30&lt;C30-50,"below","average")),IF(D30&gt;C30*1.1,"above",IF(D30&lt;C30*0.9,"below","average")))</f>
        <v>above</v>
      </c>
      <c r="F30" s="15" t="s">
        <v>209</v>
      </c>
      <c r="G30" s="16"/>
      <c r="H30" s="16"/>
      <c r="I30" s="16"/>
    </row>
    <row r="31" customFormat="false" ht="15" hidden="false" customHeight="false" outlineLevel="0" collapsed="false">
      <c r="A31" s="0" t="s">
        <v>120</v>
      </c>
      <c r="B31" s="0" t="s">
        <v>210</v>
      </c>
      <c r="C31" s="0" t="n">
        <v>32.7</v>
      </c>
      <c r="D31" s="14" t="n">
        <v>45.5</v>
      </c>
      <c r="E31" s="0" t="str">
        <f aca="false">IF(ABS(C31)&lt;1,IF(D31&gt;C31+50,"above",IF(D31&lt;C31-50,"below","average")),IF(D31&gt;C31*1.1,"above",IF(D31&lt;C31*0.9,"below","average")))</f>
        <v>above</v>
      </c>
      <c r="F31" s="15" t="s">
        <v>211</v>
      </c>
      <c r="G31" s="16"/>
      <c r="H31" s="16"/>
      <c r="I31" s="16"/>
    </row>
    <row r="32" customFormat="false" ht="15" hidden="false" customHeight="false" outlineLevel="0" collapsed="false">
      <c r="A32" s="0" t="s">
        <v>120</v>
      </c>
      <c r="B32" s="0" t="s">
        <v>215</v>
      </c>
      <c r="C32" s="11" t="n">
        <v>10.8527676484339</v>
      </c>
      <c r="D32" s="14" t="n">
        <v>12.8</v>
      </c>
      <c r="E32" s="0" t="str">
        <f aca="false">IF(ABS(C32)&lt;1,IF(D32&gt;C32+50,"above",IF(D32&lt;C32-50,"below","average")),IF(D32&gt;C32*1.1,"above",IF(D32&lt;C32*0.9,"below","average")))</f>
        <v>above</v>
      </c>
      <c r="F32" s="15" t="s">
        <v>213</v>
      </c>
      <c r="G32" s="16"/>
      <c r="H32" s="16"/>
      <c r="I32" s="16"/>
    </row>
    <row r="34" customFormat="false" ht="15" hidden="false" customHeight="false" outlineLevel="0" collapsed="false">
      <c r="A34" s="0" t="s">
        <v>121</v>
      </c>
      <c r="B34" s="0" t="s">
        <v>199</v>
      </c>
      <c r="C34" s="14" t="n">
        <v>2177</v>
      </c>
      <c r="F34" s="15" t="s">
        <v>200</v>
      </c>
      <c r="G34" s="16"/>
      <c r="H34" s="16"/>
      <c r="I34" s="16"/>
    </row>
    <row r="35" customFormat="false" ht="15" hidden="false" customHeight="false" outlineLevel="0" collapsed="false">
      <c r="A35" s="0" t="s">
        <v>121</v>
      </c>
      <c r="B35" s="0" t="s">
        <v>201</v>
      </c>
      <c r="C35" s="14" t="n">
        <v>11192</v>
      </c>
      <c r="F35" s="15" t="s">
        <v>202</v>
      </c>
      <c r="G35" s="16"/>
      <c r="H35" s="16"/>
      <c r="I35" s="16"/>
    </row>
    <row r="36" customFormat="false" ht="15" hidden="false" customHeight="false" outlineLevel="0" collapsed="false">
      <c r="A36" s="0" t="s">
        <v>121</v>
      </c>
      <c r="B36" s="0" t="s">
        <v>203</v>
      </c>
      <c r="C36" s="14" t="n">
        <v>11107.7</v>
      </c>
      <c r="F36" s="15" t="s">
        <v>204</v>
      </c>
      <c r="G36" s="16"/>
      <c r="H36" s="16"/>
      <c r="I36" s="16"/>
    </row>
    <row r="37" customFormat="false" ht="15" hidden="false" customHeight="false" outlineLevel="0" collapsed="false">
      <c r="A37" s="0" t="s">
        <v>121</v>
      </c>
      <c r="B37" s="0" t="s">
        <v>205</v>
      </c>
      <c r="C37" s="14" t="n">
        <v>2810</v>
      </c>
      <c r="F37" s="15" t="s">
        <v>204</v>
      </c>
      <c r="G37" s="16"/>
      <c r="H37" s="16"/>
      <c r="I37" s="16"/>
    </row>
    <row r="38" customFormat="false" ht="15" hidden="false" customHeight="false" outlineLevel="0" collapsed="false">
      <c r="A38" s="0" t="s">
        <v>121</v>
      </c>
      <c r="B38" s="0" t="s">
        <v>206</v>
      </c>
      <c r="C38" s="14" t="n">
        <v>2</v>
      </c>
      <c r="D38" s="14" t="n">
        <v>2.2781</v>
      </c>
      <c r="E38" s="0" t="str">
        <f aca="false">IF(ABS(C38)&lt;1,IF(D38&gt;C38+50,"above",IF(D38&lt;C38-50,"below","average")),IF(D38&gt;C38*1.1,"above",IF(D38&lt;C38*0.9,"below","average")))</f>
        <v>above</v>
      </c>
      <c r="F38" s="15" t="s">
        <v>202</v>
      </c>
      <c r="G38" s="16"/>
      <c r="H38" s="16"/>
      <c r="I38" s="16"/>
    </row>
    <row r="39" customFormat="false" ht="15" hidden="false" customHeight="false" outlineLevel="0" collapsed="false">
      <c r="A39" s="0" t="s">
        <v>121</v>
      </c>
      <c r="B39" s="0" t="s">
        <v>207</v>
      </c>
      <c r="C39" s="14" t="n">
        <v>-430.8</v>
      </c>
      <c r="D39" s="14" t="n">
        <v>-257.116551459293</v>
      </c>
      <c r="E39" s="0" t="str">
        <f aca="false">IF(ABS(C39)&lt;1,IF(D39&gt;C39+50,"above",IF(D39&lt;C39-50,"below","average")),IF(D39&gt;C39*1.1,"above",IF(D39&lt;C39*0.9,"below","average")))</f>
        <v>above</v>
      </c>
      <c r="F39" s="15" t="s">
        <v>204</v>
      </c>
      <c r="G39" s="16"/>
      <c r="H39" s="16"/>
      <c r="I39" s="16"/>
    </row>
    <row r="40" customFormat="false" ht="15" hidden="false" customHeight="false" outlineLevel="0" collapsed="false">
      <c r="A40" s="0" t="s">
        <v>121</v>
      </c>
      <c r="B40" s="0" t="s">
        <v>208</v>
      </c>
      <c r="C40" s="14" t="n">
        <v>2</v>
      </c>
      <c r="D40" s="14" t="n">
        <v>3</v>
      </c>
      <c r="E40" s="0" t="str">
        <f aca="false">IF(ABS(C40)&lt;1,IF(D40&gt;C40+50,"above",IF(D40&lt;C40-50,"below","average")),IF(D40&gt;C40*1.1,"above",IF(D40&lt;C40*0.9,"below","average")))</f>
        <v>above</v>
      </c>
      <c r="F40" s="15" t="s">
        <v>209</v>
      </c>
      <c r="G40" s="16"/>
      <c r="H40" s="16"/>
      <c r="I40" s="16"/>
    </row>
    <row r="41" customFormat="false" ht="15" hidden="false" customHeight="false" outlineLevel="0" collapsed="false">
      <c r="A41" s="0" t="s">
        <v>121</v>
      </c>
      <c r="B41" s="0" t="s">
        <v>210</v>
      </c>
      <c r="C41" s="0" t="n">
        <v>35</v>
      </c>
      <c r="D41" s="14" t="n">
        <v>50.7</v>
      </c>
      <c r="E41" s="0" t="str">
        <f aca="false">IF(ABS(C41)&lt;1,IF(D41&gt;C41+50,"above",IF(D41&lt;C41-50,"below","average")),IF(D41&gt;C41*1.1,"above",IF(D41&lt;C41*0.9,"below","average")))</f>
        <v>above</v>
      </c>
      <c r="F41" s="15" t="s">
        <v>211</v>
      </c>
      <c r="G41" s="16"/>
      <c r="H41" s="16"/>
      <c r="I41" s="16"/>
    </row>
    <row r="42" customFormat="false" ht="15" hidden="false" customHeight="false" outlineLevel="0" collapsed="false">
      <c r="A42" s="0" t="s">
        <v>121</v>
      </c>
      <c r="B42" s="0" t="s">
        <v>216</v>
      </c>
      <c r="C42" s="11" t="n">
        <v>11.0929711190695</v>
      </c>
      <c r="D42" s="14" t="n">
        <v>15.7</v>
      </c>
      <c r="E42" s="0" t="str">
        <f aca="false">IF(ABS(C42)&lt;1,IF(D42&gt;C42+50,"above",IF(D42&lt;C42-50,"below","average")),IF(D42&gt;C42*1.1,"above",IF(D42&lt;C42*0.9,"below","average")))</f>
        <v>above</v>
      </c>
      <c r="F42" s="15" t="s">
        <v>213</v>
      </c>
      <c r="G42" s="16"/>
      <c r="H42" s="16"/>
      <c r="I42"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2026-09-29T20:55:07Z</dcterms:created>
  <dc:creator>openpyxl</dc:creator>
  <dc:description/>
  <dc:language>en-US</dc:language>
  <cp:lastModifiedBy/>
  <dcterms:modified xsi:type="dcterms:W3CDTF">2026-09-29T20:55:10Z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